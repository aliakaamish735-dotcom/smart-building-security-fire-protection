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2.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harts/chart5.xml" ContentType="application/vnd.openxmlformats-officedocument.drawingml.chart+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drawings/drawing3.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OneDrive\Documents\foldersneededforsensors\data_set\"/>
    </mc:Choice>
  </mc:AlternateContent>
  <xr:revisionPtr revIDLastSave="0" documentId="13_ncr:1_{055F7E78-FD1E-4546-A092-30A574514D3A}" xr6:coauthVersionLast="47" xr6:coauthVersionMax="47" xr10:uidLastSave="{00000000-0000-0000-0000-000000000000}"/>
  <bookViews>
    <workbookView xWindow="-108" yWindow="-108" windowWidth="23256" windowHeight="12456" xr2:uid="{00000000-000D-0000-FFFF-FFFF00000000}"/>
  </bookViews>
  <sheets>
    <sheet name="00_Cover" sheetId="1" r:id="rId1"/>
    <sheet name="01_Dashboard" sheetId="2" r:id="rId2"/>
    <sheet name="02_Parameters" sheetId="3" r:id="rId3"/>
    <sheet name="03_Master_Data" sheetId="4" r:id="rId4"/>
    <sheet name="04_Clean_TimeSeries" sheetId="5" r:id="rId5"/>
    <sheet name="05_Long_Observations" sheetId="6" r:id="rId6"/>
    <sheet name="06_Calibration" sheetId="7" r:id="rId7"/>
    <sheet name="07_Event_Log" sheetId="8" r:id="rId8"/>
    <sheet name="08_Complete_Data_Archive" sheetId="9" r:id="rId9"/>
    <sheet name="09_Data_Dictionary" sheetId="10" r:id="rId10"/>
    <sheet name="10_Analysis_Data" sheetId="11" r:id="rId11"/>
    <sheet name="11_Firmware_Calibration" sheetId="12" r:id="rId12"/>
    <sheet name="12_Nominal_References" sheetId="13" r:id="rId13"/>
    <sheet name="13_Statistical_Calibration" sheetId="14" r:id="rId14"/>
  </sheets>
  <calcPr calcId="191029"/>
</workbook>
</file>

<file path=xl/calcChain.xml><?xml version="1.0" encoding="utf-8"?>
<calcChain xmlns="http://schemas.openxmlformats.org/spreadsheetml/2006/main">
  <c r="D28" i="14" l="1"/>
  <c r="C28" i="14"/>
  <c r="B28" i="14"/>
  <c r="D27" i="14"/>
  <c r="C27" i="14"/>
  <c r="B27" i="14"/>
  <c r="E26" i="14"/>
  <c r="D26" i="14"/>
  <c r="I14" i="14" s="1"/>
  <c r="J14" i="14" s="1"/>
  <c r="K14" i="14" s="1"/>
  <c r="O46" i="14" s="1"/>
  <c r="C26" i="14"/>
  <c r="B26" i="14"/>
  <c r="D25" i="14"/>
  <c r="E25" i="14" s="1"/>
  <c r="F25" i="14" s="1"/>
  <c r="C25" i="14"/>
  <c r="B25" i="14"/>
  <c r="H20" i="14"/>
  <c r="N52" i="14" s="1"/>
  <c r="G20" i="14"/>
  <c r="G19" i="14"/>
  <c r="H19" i="14" s="1"/>
  <c r="N51" i="14" s="1"/>
  <c r="H18" i="14"/>
  <c r="G18" i="14"/>
  <c r="G28" i="14" s="1"/>
  <c r="G17" i="14"/>
  <c r="H17" i="14" s="1"/>
  <c r="N49" i="14" s="1"/>
  <c r="H16" i="14"/>
  <c r="N48" i="14" s="1"/>
  <c r="G16" i="14"/>
  <c r="G15" i="14"/>
  <c r="G14" i="14"/>
  <c r="H14" i="14" s="1"/>
  <c r="N46" i="14" s="1"/>
  <c r="H13" i="14"/>
  <c r="N45" i="14" s="1"/>
  <c r="G13" i="14"/>
  <c r="H12" i="14"/>
  <c r="G12" i="14"/>
  <c r="G26" i="14" s="1"/>
  <c r="G11" i="14"/>
  <c r="H11" i="14" s="1"/>
  <c r="N43" i="14" s="1"/>
  <c r="H10" i="14"/>
  <c r="N42" i="14" s="1"/>
  <c r="G10" i="14"/>
  <c r="G9" i="14"/>
  <c r="G19" i="7"/>
  <c r="E19" i="7"/>
  <c r="F19" i="7" s="1"/>
  <c r="H19" i="7" s="1"/>
  <c r="E18" i="7"/>
  <c r="F18" i="7" s="1"/>
  <c r="E17" i="7"/>
  <c r="F17" i="7" s="1"/>
  <c r="E16" i="7"/>
  <c r="G15" i="7"/>
  <c r="E15" i="7"/>
  <c r="F15" i="7" s="1"/>
  <c r="E14" i="7"/>
  <c r="F14" i="7" s="1"/>
  <c r="E13" i="7"/>
  <c r="F13" i="7" s="1"/>
  <c r="H13" i="7" s="1"/>
  <c r="E12" i="7"/>
  <c r="F12" i="7" s="1"/>
  <c r="E11" i="7"/>
  <c r="F11" i="7" s="1"/>
  <c r="H11" i="7" s="1"/>
  <c r="E10" i="7"/>
  <c r="G9" i="7"/>
  <c r="E9" i="7"/>
  <c r="F9" i="7" s="1"/>
  <c r="H9" i="7" s="1"/>
  <c r="E8" i="7"/>
  <c r="F8" i="7" s="1"/>
  <c r="O7" i="7"/>
  <c r="F7" i="7"/>
  <c r="E7" i="7"/>
  <c r="O6" i="7"/>
  <c r="E6" i="7"/>
  <c r="O5" i="7"/>
  <c r="F5" i="7"/>
  <c r="E5" i="7"/>
  <c r="AR372" i="4"/>
  <c r="AQ372" i="4"/>
  <c r="AO372" i="4"/>
  <c r="AN372" i="4"/>
  <c r="AM372" i="4"/>
  <c r="AK372" i="4"/>
  <c r="AJ372" i="4"/>
  <c r="AI372" i="4"/>
  <c r="AH372" i="4"/>
  <c r="AE372" i="4"/>
  <c r="AF372" i="4" s="1"/>
  <c r="AC372" i="4"/>
  <c r="AB372" i="4"/>
  <c r="Y372" i="4"/>
  <c r="X372" i="4"/>
  <c r="V372" i="4"/>
  <c r="T372" i="4"/>
  <c r="R372" i="4"/>
  <c r="P372" i="4"/>
  <c r="AX372" i="4" s="1"/>
  <c r="AY372" i="4" s="1"/>
  <c r="M372" i="4"/>
  <c r="D372" i="4"/>
  <c r="AX371" i="4"/>
  <c r="AY371" i="4" s="1"/>
  <c r="AR371" i="4"/>
  <c r="AQ371" i="4"/>
  <c r="AO371" i="4"/>
  <c r="AN371" i="4"/>
  <c r="AM371" i="4"/>
  <c r="AK371" i="4"/>
  <c r="AJ371" i="4"/>
  <c r="AI371" i="4"/>
  <c r="AH371" i="4"/>
  <c r="AF371" i="4"/>
  <c r="AE371" i="4"/>
  <c r="AC371" i="4"/>
  <c r="AB371" i="4"/>
  <c r="Y371" i="4"/>
  <c r="X371" i="4"/>
  <c r="V371" i="4"/>
  <c r="T371" i="4"/>
  <c r="R371" i="4"/>
  <c r="P371" i="4"/>
  <c r="M371" i="4"/>
  <c r="D371" i="4"/>
  <c r="AR370" i="4"/>
  <c r="AQ370" i="4"/>
  <c r="AO370" i="4"/>
  <c r="AN370" i="4"/>
  <c r="AM370" i="4"/>
  <c r="AK370" i="4"/>
  <c r="AJ370" i="4"/>
  <c r="AI370" i="4"/>
  <c r="AH370" i="4"/>
  <c r="AB370" i="4"/>
  <c r="Y370" i="4"/>
  <c r="X370" i="4"/>
  <c r="AC370" i="4" s="1"/>
  <c r="V370" i="4"/>
  <c r="T370" i="4"/>
  <c r="R370" i="4"/>
  <c r="P370" i="4"/>
  <c r="M370" i="4"/>
  <c r="D370" i="4"/>
  <c r="AX369" i="4"/>
  <c r="AY369" i="4" s="1"/>
  <c r="AR369" i="4"/>
  <c r="AQ369" i="4"/>
  <c r="AO369" i="4"/>
  <c r="AN369" i="4"/>
  <c r="AM369" i="4"/>
  <c r="AK369" i="4"/>
  <c r="AJ369" i="4"/>
  <c r="AI369" i="4"/>
  <c r="AH369" i="4"/>
  <c r="AF369" i="4"/>
  <c r="AE369" i="4"/>
  <c r="AC369" i="4"/>
  <c r="AB369" i="4"/>
  <c r="Y369" i="4"/>
  <c r="X369" i="4"/>
  <c r="V369" i="4"/>
  <c r="T369" i="4"/>
  <c r="R369" i="4"/>
  <c r="P369" i="4"/>
  <c r="M369" i="4"/>
  <c r="D369" i="4"/>
  <c r="AR368" i="4"/>
  <c r="AQ368" i="4"/>
  <c r="AN368" i="4"/>
  <c r="AM368" i="4"/>
  <c r="AK368" i="4"/>
  <c r="AJ368" i="4"/>
  <c r="AI368" i="4"/>
  <c r="AH368" i="4"/>
  <c r="AO368" i="4" s="1"/>
  <c r="AB368" i="4"/>
  <c r="Y368" i="4"/>
  <c r="X368" i="4"/>
  <c r="AC368" i="4" s="1"/>
  <c r="V368" i="4"/>
  <c r="T368" i="4"/>
  <c r="AX368" i="4" s="1"/>
  <c r="AY368" i="4" s="1"/>
  <c r="R368" i="4"/>
  <c r="P368" i="4"/>
  <c r="M368" i="4"/>
  <c r="D368" i="4"/>
  <c r="AX367" i="4"/>
  <c r="AY367" i="4" s="1"/>
  <c r="AR367" i="4"/>
  <c r="AQ367" i="4"/>
  <c r="AO367" i="4"/>
  <c r="AN367" i="4"/>
  <c r="AM367" i="4"/>
  <c r="AK367" i="4"/>
  <c r="AJ367" i="4"/>
  <c r="AI367" i="4"/>
  <c r="AH367" i="4"/>
  <c r="AF367" i="4"/>
  <c r="AE367" i="4"/>
  <c r="AC367" i="4"/>
  <c r="AB367" i="4"/>
  <c r="Y367" i="4"/>
  <c r="X367" i="4"/>
  <c r="V367" i="4"/>
  <c r="T367" i="4"/>
  <c r="R367" i="4"/>
  <c r="P367" i="4"/>
  <c r="M367" i="4"/>
  <c r="D367" i="4"/>
  <c r="AR366" i="4"/>
  <c r="AQ366" i="4"/>
  <c r="AN366" i="4"/>
  <c r="AM366" i="4"/>
  <c r="AK366" i="4"/>
  <c r="AJ366" i="4"/>
  <c r="AI366" i="4"/>
  <c r="AH366" i="4"/>
  <c r="AO366" i="4" s="1"/>
  <c r="AB366" i="4"/>
  <c r="Y366" i="4"/>
  <c r="X366" i="4"/>
  <c r="AC366" i="4" s="1"/>
  <c r="AE366" i="4" s="1"/>
  <c r="AF366" i="4" s="1"/>
  <c r="V366" i="4"/>
  <c r="T366" i="4"/>
  <c r="R366" i="4"/>
  <c r="P366" i="4"/>
  <c r="M366" i="4"/>
  <c r="D366" i="4"/>
  <c r="AY365" i="4"/>
  <c r="AX365" i="4"/>
  <c r="AR365" i="4"/>
  <c r="AQ365" i="4"/>
  <c r="AO365" i="4"/>
  <c r="AN365" i="4"/>
  <c r="AM365" i="4"/>
  <c r="AK365" i="4"/>
  <c r="AJ365" i="4"/>
  <c r="AI365" i="4"/>
  <c r="AH365" i="4"/>
  <c r="AF365" i="4"/>
  <c r="AE365" i="4"/>
  <c r="AC365" i="4"/>
  <c r="AB365" i="4"/>
  <c r="Y365" i="4"/>
  <c r="X365" i="4"/>
  <c r="V365" i="4"/>
  <c r="T365" i="4"/>
  <c r="R365" i="4"/>
  <c r="P365" i="4"/>
  <c r="M365" i="4"/>
  <c r="D365" i="4"/>
  <c r="AR364" i="4"/>
  <c r="AQ364" i="4"/>
  <c r="AO364" i="4"/>
  <c r="AN364" i="4"/>
  <c r="AM364" i="4"/>
  <c r="AK364" i="4"/>
  <c r="AJ364" i="4"/>
  <c r="AI364" i="4"/>
  <c r="AH364" i="4"/>
  <c r="AF364" i="4"/>
  <c r="AE364" i="4"/>
  <c r="AC364" i="4"/>
  <c r="AB364" i="4"/>
  <c r="Y364" i="4"/>
  <c r="X364" i="4"/>
  <c r="V364" i="4"/>
  <c r="T364" i="4"/>
  <c r="R364" i="4"/>
  <c r="P364" i="4"/>
  <c r="AX364" i="4" s="1"/>
  <c r="AY364" i="4" s="1"/>
  <c r="M364" i="4"/>
  <c r="D364" i="4"/>
  <c r="AY363" i="4"/>
  <c r="AX363" i="4"/>
  <c r="AR363" i="4"/>
  <c r="AQ363" i="4"/>
  <c r="AO363" i="4"/>
  <c r="AN363" i="4"/>
  <c r="AM363" i="4"/>
  <c r="AK363" i="4"/>
  <c r="AJ363" i="4"/>
  <c r="AI363" i="4"/>
  <c r="AH363" i="4"/>
  <c r="AF363" i="4"/>
  <c r="AE363" i="4"/>
  <c r="AC363" i="4"/>
  <c r="AB363" i="4"/>
  <c r="Y363" i="4"/>
  <c r="X363" i="4"/>
  <c r="V363" i="4"/>
  <c r="T363" i="4"/>
  <c r="R363" i="4"/>
  <c r="P363" i="4"/>
  <c r="M363" i="4"/>
  <c r="D363" i="4"/>
  <c r="AR362" i="4"/>
  <c r="AQ362" i="4"/>
  <c r="AO362" i="4"/>
  <c r="AN362" i="4"/>
  <c r="AM362" i="4"/>
  <c r="AK362" i="4"/>
  <c r="AJ362" i="4"/>
  <c r="AI362" i="4"/>
  <c r="AH362" i="4"/>
  <c r="AB362" i="4"/>
  <c r="Y362" i="4"/>
  <c r="X362" i="4"/>
  <c r="AC362" i="4" s="1"/>
  <c r="V362" i="4"/>
  <c r="T362" i="4"/>
  <c r="R362" i="4"/>
  <c r="P362" i="4"/>
  <c r="M362" i="4"/>
  <c r="D362" i="4"/>
  <c r="AX361" i="4"/>
  <c r="AY361" i="4" s="1"/>
  <c r="AR361" i="4"/>
  <c r="AQ361" i="4"/>
  <c r="AO361" i="4"/>
  <c r="AN361" i="4"/>
  <c r="AM361" i="4"/>
  <c r="AK361" i="4"/>
  <c r="AJ361" i="4"/>
  <c r="AI361" i="4"/>
  <c r="AH361" i="4"/>
  <c r="AF361" i="4"/>
  <c r="AE361" i="4"/>
  <c r="AC361" i="4"/>
  <c r="AB361" i="4"/>
  <c r="Y361" i="4"/>
  <c r="X361" i="4"/>
  <c r="V361" i="4"/>
  <c r="T361" i="4"/>
  <c r="R361" i="4"/>
  <c r="P361" i="4"/>
  <c r="M361" i="4"/>
  <c r="D361" i="4"/>
  <c r="AR360" i="4"/>
  <c r="AQ360" i="4"/>
  <c r="AN360" i="4"/>
  <c r="AM360" i="4"/>
  <c r="AK360" i="4"/>
  <c r="AJ360" i="4"/>
  <c r="AI360" i="4"/>
  <c r="AH360" i="4"/>
  <c r="AO360" i="4" s="1"/>
  <c r="AB360" i="4"/>
  <c r="Y360" i="4"/>
  <c r="X360" i="4"/>
  <c r="AC360" i="4" s="1"/>
  <c r="V360" i="4"/>
  <c r="T360" i="4"/>
  <c r="AX360" i="4" s="1"/>
  <c r="AY360" i="4" s="1"/>
  <c r="R360" i="4"/>
  <c r="P360" i="4"/>
  <c r="M360" i="4"/>
  <c r="D360" i="4"/>
  <c r="AX359" i="4"/>
  <c r="AY359" i="4" s="1"/>
  <c r="AR359" i="4"/>
  <c r="AQ359" i="4"/>
  <c r="AO359" i="4"/>
  <c r="AN359" i="4"/>
  <c r="AM359" i="4"/>
  <c r="AK359" i="4"/>
  <c r="AJ359" i="4"/>
  <c r="AI359" i="4"/>
  <c r="AH359" i="4"/>
  <c r="AF359" i="4"/>
  <c r="AE359" i="4"/>
  <c r="AC359" i="4"/>
  <c r="AB359" i="4"/>
  <c r="Y359" i="4"/>
  <c r="X359" i="4"/>
  <c r="V359" i="4"/>
  <c r="T359" i="4"/>
  <c r="R359" i="4"/>
  <c r="P359" i="4"/>
  <c r="M359" i="4"/>
  <c r="D359" i="4"/>
  <c r="AR358" i="4"/>
  <c r="AQ358" i="4"/>
  <c r="AO358" i="4"/>
  <c r="AN358" i="4"/>
  <c r="AM358" i="4"/>
  <c r="AK358" i="4"/>
  <c r="AJ358" i="4"/>
  <c r="AI358" i="4"/>
  <c r="AH358" i="4"/>
  <c r="AB358" i="4"/>
  <c r="Y358" i="4"/>
  <c r="X358" i="4"/>
  <c r="AC358" i="4" s="1"/>
  <c r="AE358" i="4" s="1"/>
  <c r="AF358" i="4" s="1"/>
  <c r="V358" i="4"/>
  <c r="T358" i="4"/>
  <c r="R358" i="4"/>
  <c r="P358" i="4"/>
  <c r="AX358" i="4" s="1"/>
  <c r="AY358" i="4" s="1"/>
  <c r="M358" i="4"/>
  <c r="D358" i="4"/>
  <c r="AY357" i="4"/>
  <c r="AX357" i="4"/>
  <c r="AR357" i="4"/>
  <c r="AQ357" i="4"/>
  <c r="AO357" i="4"/>
  <c r="AN357" i="4"/>
  <c r="AM357" i="4"/>
  <c r="AK357" i="4"/>
  <c r="AJ357" i="4"/>
  <c r="AI357" i="4"/>
  <c r="AH357" i="4"/>
  <c r="AF357" i="4"/>
  <c r="AE357" i="4"/>
  <c r="AC357" i="4"/>
  <c r="AB357" i="4"/>
  <c r="Y357" i="4"/>
  <c r="X357" i="4"/>
  <c r="V357" i="4"/>
  <c r="T357" i="4"/>
  <c r="R357" i="4"/>
  <c r="P357" i="4"/>
  <c r="M357" i="4"/>
  <c r="D357" i="4"/>
  <c r="AR356" i="4"/>
  <c r="AQ356" i="4"/>
  <c r="AO356" i="4"/>
  <c r="AN356" i="4"/>
  <c r="AM356" i="4"/>
  <c r="AK356" i="4"/>
  <c r="AJ356" i="4"/>
  <c r="AI356" i="4"/>
  <c r="AH356" i="4"/>
  <c r="AE356" i="4"/>
  <c r="AF356" i="4" s="1"/>
  <c r="AC356" i="4"/>
  <c r="AB356" i="4"/>
  <c r="Y356" i="4"/>
  <c r="X356" i="4"/>
  <c r="V356" i="4"/>
  <c r="T356" i="4"/>
  <c r="R356" i="4"/>
  <c r="P356" i="4"/>
  <c r="AX356" i="4" s="1"/>
  <c r="AY356" i="4" s="1"/>
  <c r="M356" i="4"/>
  <c r="D356" i="4"/>
  <c r="AY355" i="4"/>
  <c r="AX355" i="4"/>
  <c r="AR355" i="4"/>
  <c r="AQ355" i="4"/>
  <c r="AO355" i="4"/>
  <c r="AN355" i="4"/>
  <c r="AM355" i="4"/>
  <c r="AK355" i="4"/>
  <c r="AJ355" i="4"/>
  <c r="AI355" i="4"/>
  <c r="AH355" i="4"/>
  <c r="AF355" i="4"/>
  <c r="AE355" i="4"/>
  <c r="AC355" i="4"/>
  <c r="AB355" i="4"/>
  <c r="Y355" i="4"/>
  <c r="X355" i="4"/>
  <c r="V355" i="4"/>
  <c r="T355" i="4"/>
  <c r="R355" i="4"/>
  <c r="P355" i="4"/>
  <c r="M355" i="4"/>
  <c r="D355" i="4"/>
  <c r="AR354" i="4"/>
  <c r="AQ354" i="4"/>
  <c r="AO354" i="4"/>
  <c r="AN354" i="4"/>
  <c r="AM354" i="4"/>
  <c r="AK354" i="4"/>
  <c r="AJ354" i="4"/>
  <c r="AI354" i="4"/>
  <c r="AH354" i="4"/>
  <c r="AB354" i="4"/>
  <c r="Y354" i="4"/>
  <c r="X354" i="4"/>
  <c r="AC354" i="4" s="1"/>
  <c r="V354" i="4"/>
  <c r="T354" i="4"/>
  <c r="R354" i="4"/>
  <c r="P354" i="4"/>
  <c r="M354" i="4"/>
  <c r="D354" i="4"/>
  <c r="AR353" i="4"/>
  <c r="AQ353" i="4"/>
  <c r="AO353" i="4"/>
  <c r="AN353" i="4"/>
  <c r="AM353" i="4"/>
  <c r="AK353" i="4"/>
  <c r="AJ353" i="4"/>
  <c r="AI353" i="4"/>
  <c r="AH353" i="4"/>
  <c r="AB353" i="4"/>
  <c r="AE353" i="4" s="1"/>
  <c r="AF353" i="4" s="1"/>
  <c r="Y353" i="4"/>
  <c r="X353" i="4"/>
  <c r="AC353" i="4" s="1"/>
  <c r="V353" i="4"/>
  <c r="T353" i="4"/>
  <c r="R353" i="4"/>
  <c r="P353" i="4"/>
  <c r="M353" i="4"/>
  <c r="D353" i="4"/>
  <c r="AY352" i="4"/>
  <c r="AX352" i="4"/>
  <c r="AR352" i="4"/>
  <c r="AQ352" i="4"/>
  <c r="AO352" i="4"/>
  <c r="AN352" i="4"/>
  <c r="AM352" i="4"/>
  <c r="AK352" i="4"/>
  <c r="AJ352" i="4"/>
  <c r="AI352" i="4"/>
  <c r="AH352" i="4"/>
  <c r="AF352" i="4"/>
  <c r="AE352" i="4"/>
  <c r="AC352" i="4"/>
  <c r="AB352" i="4"/>
  <c r="Y352" i="4"/>
  <c r="X352" i="4"/>
  <c r="V352" i="4"/>
  <c r="T352" i="4"/>
  <c r="R352" i="4"/>
  <c r="P352" i="4"/>
  <c r="M352" i="4"/>
  <c r="D352" i="4"/>
  <c r="AR351" i="4"/>
  <c r="AQ351" i="4"/>
  <c r="AN351" i="4"/>
  <c r="AM351" i="4"/>
  <c r="AK351" i="4"/>
  <c r="AJ351" i="4"/>
  <c r="AI351" i="4"/>
  <c r="AH351" i="4"/>
  <c r="AO351" i="4" s="1"/>
  <c r="AB351" i="4"/>
  <c r="Y351" i="4"/>
  <c r="X351" i="4"/>
  <c r="V351" i="4"/>
  <c r="T351" i="4"/>
  <c r="R351" i="4"/>
  <c r="P351" i="4"/>
  <c r="M351" i="4"/>
  <c r="D351" i="4"/>
  <c r="AR350" i="4"/>
  <c r="AQ350" i="4"/>
  <c r="AO350" i="4"/>
  <c r="AN350" i="4"/>
  <c r="AM350" i="4"/>
  <c r="AK350" i="4"/>
  <c r="AJ350" i="4"/>
  <c r="AI350" i="4"/>
  <c r="AH350" i="4"/>
  <c r="AE350" i="4"/>
  <c r="AF350" i="4" s="1"/>
  <c r="AB350" i="4"/>
  <c r="Y350" i="4"/>
  <c r="X350" i="4"/>
  <c r="AC350" i="4" s="1"/>
  <c r="V350" i="4"/>
  <c r="T350" i="4"/>
  <c r="R350" i="4"/>
  <c r="P350" i="4"/>
  <c r="AX350" i="4" s="1"/>
  <c r="AY350" i="4" s="1"/>
  <c r="M350" i="4"/>
  <c r="D350" i="4"/>
  <c r="AY349" i="4"/>
  <c r="AX349" i="4"/>
  <c r="AR349" i="4"/>
  <c r="AQ349" i="4"/>
  <c r="AO349" i="4"/>
  <c r="AN349" i="4"/>
  <c r="AM349" i="4"/>
  <c r="AK349" i="4"/>
  <c r="AJ349" i="4"/>
  <c r="AI349" i="4"/>
  <c r="AH349" i="4"/>
  <c r="AF349" i="4"/>
  <c r="AE349" i="4"/>
  <c r="AC349" i="4"/>
  <c r="AB349" i="4"/>
  <c r="Y349" i="4"/>
  <c r="X349" i="4"/>
  <c r="V349" i="4"/>
  <c r="T349" i="4"/>
  <c r="R349" i="4"/>
  <c r="P349" i="4"/>
  <c r="M349" i="4"/>
  <c r="D349" i="4"/>
  <c r="AR348" i="4"/>
  <c r="AQ348" i="4"/>
  <c r="AO348" i="4"/>
  <c r="AN348" i="4"/>
  <c r="AM348" i="4"/>
  <c r="AK348" i="4"/>
  <c r="AJ348" i="4"/>
  <c r="AI348" i="4"/>
  <c r="AH348" i="4"/>
  <c r="AC348" i="4"/>
  <c r="AB348" i="4"/>
  <c r="AE348" i="4" s="1"/>
  <c r="AF348" i="4" s="1"/>
  <c r="Y348" i="4"/>
  <c r="X348" i="4"/>
  <c r="V348" i="4"/>
  <c r="T348" i="4"/>
  <c r="R348" i="4"/>
  <c r="P348" i="4"/>
  <c r="M348" i="4"/>
  <c r="D348" i="4"/>
  <c r="AR347" i="4"/>
  <c r="AQ347" i="4"/>
  <c r="AO347" i="4"/>
  <c r="AN347" i="4"/>
  <c r="AM347" i="4"/>
  <c r="AK347" i="4"/>
  <c r="AJ347" i="4"/>
  <c r="AI347" i="4"/>
  <c r="AH347" i="4"/>
  <c r="AC347" i="4"/>
  <c r="AE347" i="4" s="1"/>
  <c r="AF347" i="4" s="1"/>
  <c r="AB347" i="4"/>
  <c r="Y347" i="4"/>
  <c r="X347" i="4"/>
  <c r="V347" i="4"/>
  <c r="T347" i="4"/>
  <c r="R347" i="4"/>
  <c r="P347" i="4"/>
  <c r="AX347" i="4" s="1"/>
  <c r="AY347" i="4" s="1"/>
  <c r="M347" i="4"/>
  <c r="D347" i="4"/>
  <c r="AY346" i="4"/>
  <c r="AX346" i="4"/>
  <c r="AR346" i="4"/>
  <c r="AQ346" i="4"/>
  <c r="AO346" i="4"/>
  <c r="AN346" i="4"/>
  <c r="AM346" i="4"/>
  <c r="AK346" i="4"/>
  <c r="AJ346" i="4"/>
  <c r="AI346" i="4"/>
  <c r="AH346" i="4"/>
  <c r="AF346" i="4"/>
  <c r="AE346" i="4"/>
  <c r="AC346" i="4"/>
  <c r="AB346" i="4"/>
  <c r="Y346" i="4"/>
  <c r="X346" i="4"/>
  <c r="V346" i="4"/>
  <c r="T346" i="4"/>
  <c r="R346" i="4"/>
  <c r="P346" i="4"/>
  <c r="M346" i="4"/>
  <c r="D346" i="4"/>
  <c r="AX345" i="4"/>
  <c r="AY345" i="4" s="1"/>
  <c r="AR345" i="4"/>
  <c r="AQ345" i="4"/>
  <c r="AO345" i="4"/>
  <c r="AN345" i="4"/>
  <c r="AM345" i="4"/>
  <c r="AK345" i="4"/>
  <c r="AJ345" i="4"/>
  <c r="AI345" i="4"/>
  <c r="AH345" i="4"/>
  <c r="AB345" i="4"/>
  <c r="Y345" i="4"/>
  <c r="X345" i="4"/>
  <c r="AC345" i="4" s="1"/>
  <c r="V345" i="4"/>
  <c r="T345" i="4"/>
  <c r="R345" i="4"/>
  <c r="P345" i="4"/>
  <c r="M345" i="4"/>
  <c r="D345" i="4"/>
  <c r="AR344" i="4"/>
  <c r="AQ344" i="4"/>
  <c r="AN344" i="4"/>
  <c r="AM344" i="4"/>
  <c r="AK344" i="4"/>
  <c r="AJ344" i="4"/>
  <c r="AI344" i="4"/>
  <c r="AH344" i="4"/>
  <c r="AO344" i="4" s="1"/>
  <c r="AB344" i="4"/>
  <c r="Y344" i="4"/>
  <c r="X344" i="4"/>
  <c r="AC344" i="4" s="1"/>
  <c r="AE344" i="4" s="1"/>
  <c r="AF344" i="4" s="1"/>
  <c r="V344" i="4"/>
  <c r="T344" i="4"/>
  <c r="AX344" i="4" s="1"/>
  <c r="AY344" i="4" s="1"/>
  <c r="R344" i="4"/>
  <c r="P344" i="4"/>
  <c r="M344" i="4"/>
  <c r="D344" i="4"/>
  <c r="AX343" i="4"/>
  <c r="AY343" i="4" s="1"/>
  <c r="AR343" i="4"/>
  <c r="AQ343" i="4"/>
  <c r="AN343" i="4"/>
  <c r="AM343" i="4"/>
  <c r="AK343" i="4"/>
  <c r="AJ343" i="4"/>
  <c r="AI343" i="4"/>
  <c r="AH343" i="4"/>
  <c r="AO343" i="4" s="1"/>
  <c r="AB343" i="4"/>
  <c r="AE343" i="4" s="1"/>
  <c r="AF343" i="4" s="1"/>
  <c r="Y343" i="4"/>
  <c r="X343" i="4"/>
  <c r="AC343" i="4" s="1"/>
  <c r="V343" i="4"/>
  <c r="T343" i="4"/>
  <c r="R343" i="4"/>
  <c r="P343" i="4"/>
  <c r="M343" i="4"/>
  <c r="D343" i="4"/>
  <c r="AX342" i="4"/>
  <c r="AY342" i="4" s="1"/>
  <c r="AR342" i="4"/>
  <c r="AQ342" i="4"/>
  <c r="AO342" i="4"/>
  <c r="AN342" i="4"/>
  <c r="AM342" i="4"/>
  <c r="AK342" i="4"/>
  <c r="AJ342" i="4"/>
  <c r="AI342" i="4"/>
  <c r="AH342" i="4"/>
  <c r="AB342" i="4"/>
  <c r="Y342" i="4"/>
  <c r="X342" i="4"/>
  <c r="AC342" i="4" s="1"/>
  <c r="AE342" i="4" s="1"/>
  <c r="AF342" i="4" s="1"/>
  <c r="V342" i="4"/>
  <c r="T342" i="4"/>
  <c r="R342" i="4"/>
  <c r="P342" i="4"/>
  <c r="M342" i="4"/>
  <c r="D342" i="4"/>
  <c r="AR341" i="4"/>
  <c r="AQ341" i="4"/>
  <c r="AN341" i="4"/>
  <c r="AM341" i="4"/>
  <c r="AK341" i="4"/>
  <c r="AJ341" i="4"/>
  <c r="AI341" i="4"/>
  <c r="AH341" i="4"/>
  <c r="AO341" i="4" s="1"/>
  <c r="AC341" i="4"/>
  <c r="AE341" i="4" s="1"/>
  <c r="AF341" i="4" s="1"/>
  <c r="AB341" i="4"/>
  <c r="Y341" i="4"/>
  <c r="X341" i="4"/>
  <c r="V341" i="4"/>
  <c r="T341" i="4"/>
  <c r="R341" i="4"/>
  <c r="P341" i="4"/>
  <c r="M341" i="4"/>
  <c r="D341" i="4"/>
  <c r="AX340" i="4"/>
  <c r="AY340" i="4" s="1"/>
  <c r="AR340" i="4"/>
  <c r="AQ340" i="4"/>
  <c r="AO340" i="4"/>
  <c r="AN340" i="4"/>
  <c r="AM340" i="4"/>
  <c r="AK340" i="4"/>
  <c r="AJ340" i="4"/>
  <c r="AI340" i="4"/>
  <c r="AH340" i="4"/>
  <c r="AF340" i="4"/>
  <c r="AE340" i="4"/>
  <c r="AC340" i="4"/>
  <c r="AB340" i="4"/>
  <c r="Y340" i="4"/>
  <c r="X340" i="4"/>
  <c r="V340" i="4"/>
  <c r="T340" i="4"/>
  <c r="R340" i="4"/>
  <c r="P340" i="4"/>
  <c r="M340" i="4"/>
  <c r="D340" i="4"/>
  <c r="AR339" i="4"/>
  <c r="AQ339" i="4"/>
  <c r="AO339" i="4"/>
  <c r="AN339" i="4"/>
  <c r="AM339" i="4"/>
  <c r="AK339" i="4"/>
  <c r="AJ339" i="4"/>
  <c r="AI339" i="4"/>
  <c r="AH339" i="4"/>
  <c r="AC339" i="4"/>
  <c r="AE339" i="4" s="1"/>
  <c r="AF339" i="4" s="1"/>
  <c r="AB339" i="4"/>
  <c r="Y339" i="4"/>
  <c r="X339" i="4"/>
  <c r="V339" i="4"/>
  <c r="T339" i="4"/>
  <c r="R339" i="4"/>
  <c r="P339" i="4"/>
  <c r="AX339" i="4" s="1"/>
  <c r="AY339" i="4" s="1"/>
  <c r="M339" i="4"/>
  <c r="D339" i="4"/>
  <c r="AY338" i="4"/>
  <c r="AX338" i="4"/>
  <c r="AR338" i="4"/>
  <c r="AQ338" i="4"/>
  <c r="AO338" i="4"/>
  <c r="AN338" i="4"/>
  <c r="AM338" i="4"/>
  <c r="AK338" i="4"/>
  <c r="AJ338" i="4"/>
  <c r="AI338" i="4"/>
  <c r="AH338" i="4"/>
  <c r="AF338" i="4"/>
  <c r="AE338" i="4"/>
  <c r="AC338" i="4"/>
  <c r="AB338" i="4"/>
  <c r="Y338" i="4"/>
  <c r="X338" i="4"/>
  <c r="V338" i="4"/>
  <c r="T338" i="4"/>
  <c r="R338" i="4"/>
  <c r="P338" i="4"/>
  <c r="M338" i="4"/>
  <c r="D338" i="4"/>
  <c r="AX337" i="4"/>
  <c r="AY337" i="4" s="1"/>
  <c r="AR337" i="4"/>
  <c r="AQ337" i="4"/>
  <c r="AO337" i="4"/>
  <c r="AN337" i="4"/>
  <c r="AM337" i="4"/>
  <c r="AK337" i="4"/>
  <c r="AJ337" i="4"/>
  <c r="AI337" i="4"/>
  <c r="AH337" i="4"/>
  <c r="AB337" i="4"/>
  <c r="AE337" i="4" s="1"/>
  <c r="AF337" i="4" s="1"/>
  <c r="Y337" i="4"/>
  <c r="X337" i="4"/>
  <c r="AC337" i="4" s="1"/>
  <c r="V337" i="4"/>
  <c r="T337" i="4"/>
  <c r="R337" i="4"/>
  <c r="P337" i="4"/>
  <c r="M337" i="4"/>
  <c r="D337" i="4"/>
  <c r="AY336" i="4"/>
  <c r="AX336" i="4"/>
  <c r="AR336" i="4"/>
  <c r="AQ336" i="4"/>
  <c r="AO336" i="4"/>
  <c r="AN336" i="4"/>
  <c r="AM336" i="4"/>
  <c r="AK336" i="4"/>
  <c r="AJ336" i="4"/>
  <c r="AI336" i="4"/>
  <c r="AH336" i="4"/>
  <c r="AF336" i="4"/>
  <c r="AE336" i="4"/>
  <c r="AC336" i="4"/>
  <c r="AB336" i="4"/>
  <c r="Y336" i="4"/>
  <c r="X336" i="4"/>
  <c r="V336" i="4"/>
  <c r="T336" i="4"/>
  <c r="R336" i="4"/>
  <c r="P336" i="4"/>
  <c r="M336" i="4"/>
  <c r="D336" i="4"/>
  <c r="AR335" i="4"/>
  <c r="AQ335" i="4"/>
  <c r="AN335" i="4"/>
  <c r="AM335" i="4"/>
  <c r="AK335" i="4"/>
  <c r="AJ335" i="4"/>
  <c r="AI335" i="4"/>
  <c r="AH335" i="4"/>
  <c r="AO335" i="4" s="1"/>
  <c r="AB335" i="4"/>
  <c r="Y335" i="4"/>
  <c r="X335" i="4"/>
  <c r="V335" i="4"/>
  <c r="T335" i="4"/>
  <c r="R335" i="4"/>
  <c r="P335" i="4"/>
  <c r="M335" i="4"/>
  <c r="D335" i="4"/>
  <c r="AX334" i="4"/>
  <c r="AY334" i="4" s="1"/>
  <c r="AR334" i="4"/>
  <c r="AQ334" i="4"/>
  <c r="AO334" i="4"/>
  <c r="AN334" i="4"/>
  <c r="AM334" i="4"/>
  <c r="AK334" i="4"/>
  <c r="AJ334" i="4"/>
  <c r="AI334" i="4"/>
  <c r="AH334" i="4"/>
  <c r="AF334" i="4"/>
  <c r="AE334" i="4"/>
  <c r="AC334" i="4"/>
  <c r="AB334" i="4"/>
  <c r="Y334" i="4"/>
  <c r="X334" i="4"/>
  <c r="V334" i="4"/>
  <c r="T334" i="4"/>
  <c r="R334" i="4"/>
  <c r="P334" i="4"/>
  <c r="M334" i="4"/>
  <c r="D334" i="4"/>
  <c r="AR333" i="4"/>
  <c r="AQ333" i="4"/>
  <c r="AN333" i="4"/>
  <c r="AM333" i="4"/>
  <c r="AK333" i="4"/>
  <c r="AJ333" i="4"/>
  <c r="AI333" i="4"/>
  <c r="AH333" i="4"/>
  <c r="AO333" i="4" s="1"/>
  <c r="AC333" i="4"/>
  <c r="AE333" i="4" s="1"/>
  <c r="AF333" i="4" s="1"/>
  <c r="AB333" i="4"/>
  <c r="Y333" i="4"/>
  <c r="X333" i="4"/>
  <c r="V333" i="4"/>
  <c r="T333" i="4"/>
  <c r="R333" i="4"/>
  <c r="P333" i="4"/>
  <c r="M333" i="4"/>
  <c r="D333" i="4"/>
  <c r="AX332" i="4"/>
  <c r="AY332" i="4" s="1"/>
  <c r="AR332" i="4"/>
  <c r="AQ332" i="4"/>
  <c r="AO332" i="4"/>
  <c r="AN332" i="4"/>
  <c r="AM332" i="4"/>
  <c r="AK332" i="4"/>
  <c r="AJ332" i="4"/>
  <c r="AI332" i="4"/>
  <c r="AH332" i="4"/>
  <c r="AF332" i="4"/>
  <c r="AE332" i="4"/>
  <c r="AC332" i="4"/>
  <c r="AB332" i="4"/>
  <c r="Y332" i="4"/>
  <c r="X332" i="4"/>
  <c r="V332" i="4"/>
  <c r="T332" i="4"/>
  <c r="R332" i="4"/>
  <c r="P332" i="4"/>
  <c r="M332" i="4"/>
  <c r="D332" i="4"/>
  <c r="AR331" i="4"/>
  <c r="AQ331" i="4"/>
  <c r="AO331" i="4"/>
  <c r="AN331" i="4"/>
  <c r="AM331" i="4"/>
  <c r="AK331" i="4"/>
  <c r="AJ331" i="4"/>
  <c r="AI331" i="4"/>
  <c r="AH331" i="4"/>
  <c r="AC331" i="4"/>
  <c r="AE331" i="4" s="1"/>
  <c r="AF331" i="4" s="1"/>
  <c r="AB331" i="4"/>
  <c r="Y331" i="4"/>
  <c r="X331" i="4"/>
  <c r="V331" i="4"/>
  <c r="T331" i="4"/>
  <c r="R331" i="4"/>
  <c r="P331" i="4"/>
  <c r="AX331" i="4" s="1"/>
  <c r="AY331" i="4" s="1"/>
  <c r="M331" i="4"/>
  <c r="D331" i="4"/>
  <c r="AY330" i="4"/>
  <c r="AX330" i="4"/>
  <c r="AR330" i="4"/>
  <c r="AQ330" i="4"/>
  <c r="AO330" i="4"/>
  <c r="AN330" i="4"/>
  <c r="AM330" i="4"/>
  <c r="AK330" i="4"/>
  <c r="AJ330" i="4"/>
  <c r="AI330" i="4"/>
  <c r="AH330" i="4"/>
  <c r="AF330" i="4"/>
  <c r="AE330" i="4"/>
  <c r="AC330" i="4"/>
  <c r="AB330" i="4"/>
  <c r="Y330" i="4"/>
  <c r="X330" i="4"/>
  <c r="V330" i="4"/>
  <c r="T330" i="4"/>
  <c r="R330" i="4"/>
  <c r="P330" i="4"/>
  <c r="M330" i="4"/>
  <c r="D330" i="4"/>
  <c r="AX329" i="4"/>
  <c r="AY329" i="4" s="1"/>
  <c r="AR329" i="4"/>
  <c r="AQ329" i="4"/>
  <c r="AO329" i="4"/>
  <c r="AN329" i="4"/>
  <c r="AM329" i="4"/>
  <c r="AK329" i="4"/>
  <c r="AJ329" i="4"/>
  <c r="AI329" i="4"/>
  <c r="AH329" i="4"/>
  <c r="AB329" i="4"/>
  <c r="AE329" i="4" s="1"/>
  <c r="AF329" i="4" s="1"/>
  <c r="Y329" i="4"/>
  <c r="X329" i="4"/>
  <c r="AC329" i="4" s="1"/>
  <c r="V329" i="4"/>
  <c r="T329" i="4"/>
  <c r="R329" i="4"/>
  <c r="P329" i="4"/>
  <c r="M329" i="4"/>
  <c r="D329" i="4"/>
  <c r="AY328" i="4"/>
  <c r="AX328" i="4"/>
  <c r="AR328" i="4"/>
  <c r="AQ328" i="4"/>
  <c r="AO328" i="4"/>
  <c r="AN328" i="4"/>
  <c r="AM328" i="4"/>
  <c r="AK328" i="4"/>
  <c r="AJ328" i="4"/>
  <c r="AI328" i="4"/>
  <c r="AH328" i="4"/>
  <c r="AF328" i="4"/>
  <c r="AE328" i="4"/>
  <c r="AC328" i="4"/>
  <c r="AB328" i="4"/>
  <c r="Y328" i="4"/>
  <c r="X328" i="4"/>
  <c r="V328" i="4"/>
  <c r="T328" i="4"/>
  <c r="R328" i="4"/>
  <c r="P328" i="4"/>
  <c r="M328" i="4"/>
  <c r="D328" i="4"/>
  <c r="AR327" i="4"/>
  <c r="AQ327" i="4"/>
  <c r="AN327" i="4"/>
  <c r="AM327" i="4"/>
  <c r="AK327" i="4"/>
  <c r="AJ327" i="4"/>
  <c r="AI327" i="4"/>
  <c r="AH327" i="4"/>
  <c r="AO327" i="4" s="1"/>
  <c r="AB327" i="4"/>
  <c r="Y327" i="4"/>
  <c r="X327" i="4"/>
  <c r="V327" i="4"/>
  <c r="T327" i="4"/>
  <c r="R327" i="4"/>
  <c r="P327" i="4"/>
  <c r="M327" i="4"/>
  <c r="D327" i="4"/>
  <c r="AX326" i="4"/>
  <c r="AY326" i="4" s="1"/>
  <c r="AR326" i="4"/>
  <c r="AQ326" i="4"/>
  <c r="AO326" i="4"/>
  <c r="AN326" i="4"/>
  <c r="AM326" i="4"/>
  <c r="AK326" i="4"/>
  <c r="AJ326" i="4"/>
  <c r="AI326" i="4"/>
  <c r="AH326" i="4"/>
  <c r="AF326" i="4"/>
  <c r="AE326" i="4"/>
  <c r="AC326" i="4"/>
  <c r="AB326" i="4"/>
  <c r="Y326" i="4"/>
  <c r="X326" i="4"/>
  <c r="V326" i="4"/>
  <c r="T326" i="4"/>
  <c r="R326" i="4"/>
  <c r="P326" i="4"/>
  <c r="M326" i="4"/>
  <c r="D326" i="4"/>
  <c r="AY325" i="4"/>
  <c r="AX325" i="4"/>
  <c r="AR325" i="4"/>
  <c r="AQ325" i="4"/>
  <c r="AO325" i="4"/>
  <c r="AN325" i="4"/>
  <c r="AM325" i="4"/>
  <c r="AK325" i="4"/>
  <c r="AJ325" i="4"/>
  <c r="AI325" i="4"/>
  <c r="AH325" i="4"/>
  <c r="AF325" i="4"/>
  <c r="AE325" i="4"/>
  <c r="AC325" i="4"/>
  <c r="AB325" i="4"/>
  <c r="Y325" i="4"/>
  <c r="X325" i="4"/>
  <c r="V325" i="4"/>
  <c r="T325" i="4"/>
  <c r="R325" i="4"/>
  <c r="P325" i="4"/>
  <c r="M325" i="4"/>
  <c r="D325" i="4"/>
  <c r="AR324" i="4"/>
  <c r="AQ324" i="4"/>
  <c r="AO324" i="4"/>
  <c r="AN324" i="4"/>
  <c r="AM324" i="4"/>
  <c r="AK324" i="4"/>
  <c r="AJ324" i="4"/>
  <c r="AI324" i="4"/>
  <c r="AH324" i="4"/>
  <c r="AC324" i="4"/>
  <c r="AB324" i="4"/>
  <c r="AE324" i="4" s="1"/>
  <c r="AF324" i="4" s="1"/>
  <c r="Y324" i="4"/>
  <c r="X324" i="4"/>
  <c r="V324" i="4"/>
  <c r="T324" i="4"/>
  <c r="R324" i="4"/>
  <c r="P324" i="4"/>
  <c r="M324" i="4"/>
  <c r="D324" i="4"/>
  <c r="AR323" i="4"/>
  <c r="AQ323" i="4"/>
  <c r="AO323" i="4"/>
  <c r="AN323" i="4"/>
  <c r="AM323" i="4"/>
  <c r="AK323" i="4"/>
  <c r="AJ323" i="4"/>
  <c r="AI323" i="4"/>
  <c r="AH323" i="4"/>
  <c r="AC323" i="4"/>
  <c r="AE323" i="4" s="1"/>
  <c r="AF323" i="4" s="1"/>
  <c r="AB323" i="4"/>
  <c r="Y323" i="4"/>
  <c r="X323" i="4"/>
  <c r="V323" i="4"/>
  <c r="T323" i="4"/>
  <c r="R323" i="4"/>
  <c r="P323" i="4"/>
  <c r="AX323" i="4" s="1"/>
  <c r="AY323" i="4" s="1"/>
  <c r="M323" i="4"/>
  <c r="D323" i="4"/>
  <c r="AR322" i="4"/>
  <c r="AQ322" i="4"/>
  <c r="AN322" i="4"/>
  <c r="AM322" i="4"/>
  <c r="AK322" i="4"/>
  <c r="AJ322" i="4"/>
  <c r="AI322" i="4"/>
  <c r="AH322" i="4"/>
  <c r="AO322" i="4" s="1"/>
  <c r="AC322" i="4"/>
  <c r="AB322" i="4"/>
  <c r="AE322" i="4" s="1"/>
  <c r="AF322" i="4" s="1"/>
  <c r="Y322" i="4"/>
  <c r="X322" i="4"/>
  <c r="V322" i="4"/>
  <c r="T322" i="4"/>
  <c r="R322" i="4"/>
  <c r="P322" i="4"/>
  <c r="M322" i="4"/>
  <c r="D322" i="4"/>
  <c r="AX321" i="4"/>
  <c r="AY321" i="4" s="1"/>
  <c r="AR321" i="4"/>
  <c r="AQ321" i="4"/>
  <c r="AO321" i="4"/>
  <c r="AN321" i="4"/>
  <c r="AM321" i="4"/>
  <c r="AK321" i="4"/>
  <c r="AJ321" i="4"/>
  <c r="AI321" i="4"/>
  <c r="AH321" i="4"/>
  <c r="AB321" i="4"/>
  <c r="Y321" i="4"/>
  <c r="X321" i="4"/>
  <c r="AC321" i="4" s="1"/>
  <c r="V321" i="4"/>
  <c r="T321" i="4"/>
  <c r="R321" i="4"/>
  <c r="P321" i="4"/>
  <c r="M321" i="4"/>
  <c r="D321" i="4"/>
  <c r="AR320" i="4"/>
  <c r="AQ320" i="4"/>
  <c r="AN320" i="4"/>
  <c r="AM320" i="4"/>
  <c r="AK320" i="4"/>
  <c r="AJ320" i="4"/>
  <c r="AI320" i="4"/>
  <c r="AH320" i="4"/>
  <c r="AO320" i="4" s="1"/>
  <c r="AB320" i="4"/>
  <c r="Y320" i="4"/>
  <c r="X320" i="4"/>
  <c r="AC320" i="4" s="1"/>
  <c r="V320" i="4"/>
  <c r="T320" i="4"/>
  <c r="AX320" i="4" s="1"/>
  <c r="AY320" i="4" s="1"/>
  <c r="R320" i="4"/>
  <c r="P320" i="4"/>
  <c r="M320" i="4"/>
  <c r="D320" i="4"/>
  <c r="AX319" i="4"/>
  <c r="AY319" i="4" s="1"/>
  <c r="AR319" i="4"/>
  <c r="AQ319" i="4"/>
  <c r="AN319" i="4"/>
  <c r="AM319" i="4"/>
  <c r="AK319" i="4"/>
  <c r="AJ319" i="4"/>
  <c r="AI319" i="4"/>
  <c r="AH319" i="4"/>
  <c r="AO319" i="4" s="1"/>
  <c r="AB319" i="4"/>
  <c r="AE319" i="4" s="1"/>
  <c r="AF319" i="4" s="1"/>
  <c r="Y319" i="4"/>
  <c r="X319" i="4"/>
  <c r="AC319" i="4" s="1"/>
  <c r="V319" i="4"/>
  <c r="T319" i="4"/>
  <c r="R319" i="4"/>
  <c r="P319" i="4"/>
  <c r="M319" i="4"/>
  <c r="D319" i="4"/>
  <c r="AX318" i="4"/>
  <c r="AY318" i="4" s="1"/>
  <c r="AR318" i="4"/>
  <c r="AQ318" i="4"/>
  <c r="AO318" i="4"/>
  <c r="AN318" i="4"/>
  <c r="AM318" i="4"/>
  <c r="AK318" i="4"/>
  <c r="AJ318" i="4"/>
  <c r="AI318" i="4"/>
  <c r="AH318" i="4"/>
  <c r="AF318" i="4"/>
  <c r="AE318" i="4"/>
  <c r="AC318" i="4"/>
  <c r="AB318" i="4"/>
  <c r="Y318" i="4"/>
  <c r="X318" i="4"/>
  <c r="V318" i="4"/>
  <c r="T318" i="4"/>
  <c r="R318" i="4"/>
  <c r="P318" i="4"/>
  <c r="M318" i="4"/>
  <c r="D318" i="4"/>
  <c r="AR317" i="4"/>
  <c r="AQ317" i="4"/>
  <c r="AN317" i="4"/>
  <c r="AM317" i="4"/>
  <c r="AK317" i="4"/>
  <c r="AJ317" i="4"/>
  <c r="AI317" i="4"/>
  <c r="AH317" i="4"/>
  <c r="AO317" i="4" s="1"/>
  <c r="AC317" i="4"/>
  <c r="AE317" i="4" s="1"/>
  <c r="AF317" i="4" s="1"/>
  <c r="AB317" i="4"/>
  <c r="Y317" i="4"/>
  <c r="X317" i="4"/>
  <c r="V317" i="4"/>
  <c r="T317" i="4"/>
  <c r="R317" i="4"/>
  <c r="P317" i="4"/>
  <c r="AX317" i="4" s="1"/>
  <c r="AY317" i="4" s="1"/>
  <c r="M317" i="4"/>
  <c r="D317" i="4"/>
  <c r="AR316" i="4"/>
  <c r="AQ316" i="4"/>
  <c r="AO316" i="4"/>
  <c r="AN316" i="4"/>
  <c r="AM316" i="4"/>
  <c r="AK316" i="4"/>
  <c r="AJ316" i="4"/>
  <c r="AI316" i="4"/>
  <c r="AH316" i="4"/>
  <c r="AC316" i="4"/>
  <c r="AB316" i="4"/>
  <c r="Y316" i="4"/>
  <c r="X316" i="4"/>
  <c r="V316" i="4"/>
  <c r="T316" i="4"/>
  <c r="R316" i="4"/>
  <c r="P316" i="4"/>
  <c r="M316" i="4"/>
  <c r="D316" i="4"/>
  <c r="AX315" i="4"/>
  <c r="AY315" i="4" s="1"/>
  <c r="AR315" i="4"/>
  <c r="AQ315" i="4"/>
  <c r="AO315" i="4"/>
  <c r="AN315" i="4"/>
  <c r="AM315" i="4"/>
  <c r="AK315" i="4"/>
  <c r="AJ315" i="4"/>
  <c r="AI315" i="4"/>
  <c r="AH315" i="4"/>
  <c r="AF315" i="4"/>
  <c r="AE315" i="4"/>
  <c r="AC315" i="4"/>
  <c r="AB315" i="4"/>
  <c r="Y315" i="4"/>
  <c r="X315" i="4"/>
  <c r="V315" i="4"/>
  <c r="T315" i="4"/>
  <c r="R315" i="4"/>
  <c r="P315" i="4"/>
  <c r="M315" i="4"/>
  <c r="D315" i="4"/>
  <c r="AR314" i="4"/>
  <c r="AQ314" i="4"/>
  <c r="AO314" i="4"/>
  <c r="AN314" i="4"/>
  <c r="AM314" i="4"/>
  <c r="AK314" i="4"/>
  <c r="AJ314" i="4"/>
  <c r="AI314" i="4"/>
  <c r="AH314" i="4"/>
  <c r="AC314" i="4"/>
  <c r="AB314" i="4"/>
  <c r="AE314" i="4" s="1"/>
  <c r="AF314" i="4" s="1"/>
  <c r="Y314" i="4"/>
  <c r="X314" i="4"/>
  <c r="V314" i="4"/>
  <c r="T314" i="4"/>
  <c r="R314" i="4"/>
  <c r="P314" i="4"/>
  <c r="M314" i="4"/>
  <c r="D314" i="4"/>
  <c r="AX313" i="4"/>
  <c r="AY313" i="4" s="1"/>
  <c r="AR313" i="4"/>
  <c r="AQ313" i="4"/>
  <c r="AO313" i="4"/>
  <c r="AN313" i="4"/>
  <c r="AM313" i="4"/>
  <c r="AK313" i="4"/>
  <c r="AJ313" i="4"/>
  <c r="AI313" i="4"/>
  <c r="AH313" i="4"/>
  <c r="AF313" i="4"/>
  <c r="AE313" i="4"/>
  <c r="AC313" i="4"/>
  <c r="AB313" i="4"/>
  <c r="Y313" i="4"/>
  <c r="X313" i="4"/>
  <c r="V313" i="4"/>
  <c r="T313" i="4"/>
  <c r="R313" i="4"/>
  <c r="P313" i="4"/>
  <c r="M313" i="4"/>
  <c r="D313" i="4"/>
  <c r="AY312" i="4"/>
  <c r="AR312" i="4"/>
  <c r="AQ312" i="4"/>
  <c r="AN312" i="4"/>
  <c r="AM312" i="4"/>
  <c r="AK312" i="4"/>
  <c r="AJ312" i="4"/>
  <c r="AI312" i="4"/>
  <c r="AH312" i="4"/>
  <c r="AO312" i="4" s="1"/>
  <c r="AB312" i="4"/>
  <c r="Y312" i="4"/>
  <c r="X312" i="4"/>
  <c r="AC312" i="4" s="1"/>
  <c r="V312" i="4"/>
  <c r="T312" i="4"/>
  <c r="AX312" i="4" s="1"/>
  <c r="R312" i="4"/>
  <c r="P312" i="4"/>
  <c r="M312" i="4"/>
  <c r="D312" i="4"/>
  <c r="AX311" i="4"/>
  <c r="AY311" i="4" s="1"/>
  <c r="AR311" i="4"/>
  <c r="AQ311" i="4"/>
  <c r="AO311" i="4"/>
  <c r="AN311" i="4"/>
  <c r="AM311" i="4"/>
  <c r="AK311" i="4"/>
  <c r="AJ311" i="4"/>
  <c r="AI311" i="4"/>
  <c r="AH311" i="4"/>
  <c r="AF311" i="4"/>
  <c r="AE311" i="4"/>
  <c r="AC311" i="4"/>
  <c r="AB311" i="4"/>
  <c r="Y311" i="4"/>
  <c r="X311" i="4"/>
  <c r="V311" i="4"/>
  <c r="T311" i="4"/>
  <c r="R311" i="4"/>
  <c r="P311" i="4"/>
  <c r="M311" i="4"/>
  <c r="D311" i="4"/>
  <c r="AR310" i="4"/>
  <c r="AQ310" i="4"/>
  <c r="AO310" i="4"/>
  <c r="AN310" i="4"/>
  <c r="AM310" i="4"/>
  <c r="AK310" i="4"/>
  <c r="AJ310" i="4"/>
  <c r="AI310" i="4"/>
  <c r="AH310" i="4"/>
  <c r="AE310" i="4"/>
  <c r="AF310" i="4" s="1"/>
  <c r="AB310" i="4"/>
  <c r="Y310" i="4"/>
  <c r="X310" i="4"/>
  <c r="AC310" i="4" s="1"/>
  <c r="V310" i="4"/>
  <c r="T310" i="4"/>
  <c r="R310" i="4"/>
  <c r="P310" i="4"/>
  <c r="AX310" i="4" s="1"/>
  <c r="AY310" i="4" s="1"/>
  <c r="M310" i="4"/>
  <c r="D310" i="4"/>
  <c r="AR309" i="4"/>
  <c r="AQ309" i="4"/>
  <c r="AN309" i="4"/>
  <c r="AM309" i="4"/>
  <c r="AK309" i="4"/>
  <c r="AJ309" i="4"/>
  <c r="AI309" i="4"/>
  <c r="AH309" i="4"/>
  <c r="AO309" i="4" s="1"/>
  <c r="AF309" i="4"/>
  <c r="AC309" i="4"/>
  <c r="AE309" i="4" s="1"/>
  <c r="AB309" i="4"/>
  <c r="Y309" i="4"/>
  <c r="X309" i="4"/>
  <c r="V309" i="4"/>
  <c r="T309" i="4"/>
  <c r="R309" i="4"/>
  <c r="P309" i="4"/>
  <c r="M309" i="4"/>
  <c r="D309" i="4"/>
  <c r="AR308" i="4"/>
  <c r="AQ308" i="4"/>
  <c r="AO308" i="4"/>
  <c r="AN308" i="4"/>
  <c r="AM308" i="4"/>
  <c r="AK308" i="4"/>
  <c r="AJ308" i="4"/>
  <c r="AI308" i="4"/>
  <c r="AH308" i="4"/>
  <c r="AC308" i="4"/>
  <c r="AB308" i="4"/>
  <c r="AE308" i="4" s="1"/>
  <c r="AF308" i="4" s="1"/>
  <c r="Y308" i="4"/>
  <c r="X308" i="4"/>
  <c r="V308" i="4"/>
  <c r="T308" i="4"/>
  <c r="R308" i="4"/>
  <c r="P308" i="4"/>
  <c r="M308" i="4"/>
  <c r="D308" i="4"/>
  <c r="AR307" i="4"/>
  <c r="AQ307" i="4"/>
  <c r="AO307" i="4"/>
  <c r="AN307" i="4"/>
  <c r="AM307" i="4"/>
  <c r="AK307" i="4"/>
  <c r="AJ307" i="4"/>
  <c r="AI307" i="4"/>
  <c r="AH307" i="4"/>
  <c r="AC307" i="4"/>
  <c r="AB307" i="4"/>
  <c r="AE307" i="4" s="1"/>
  <c r="AF307" i="4" s="1"/>
  <c r="Y307" i="4"/>
  <c r="X307" i="4"/>
  <c r="V307" i="4"/>
  <c r="T307" i="4"/>
  <c r="R307" i="4"/>
  <c r="P307" i="4"/>
  <c r="M307" i="4"/>
  <c r="D307" i="4"/>
  <c r="AR306" i="4"/>
  <c r="AQ306" i="4"/>
  <c r="AO306" i="4"/>
  <c r="AN306" i="4"/>
  <c r="AM306" i="4"/>
  <c r="AK306" i="4"/>
  <c r="AJ306" i="4"/>
  <c r="AI306" i="4"/>
  <c r="AH306" i="4"/>
  <c r="AC306" i="4"/>
  <c r="AB306" i="4"/>
  <c r="AE306" i="4" s="1"/>
  <c r="AF306" i="4" s="1"/>
  <c r="Y306" i="4"/>
  <c r="X306" i="4"/>
  <c r="V306" i="4"/>
  <c r="T306" i="4"/>
  <c r="R306" i="4"/>
  <c r="P306" i="4"/>
  <c r="M306" i="4"/>
  <c r="D306" i="4"/>
  <c r="AX305" i="4"/>
  <c r="AY305" i="4" s="1"/>
  <c r="AR305" i="4"/>
  <c r="AQ305" i="4"/>
  <c r="AO305" i="4"/>
  <c r="AN305" i="4"/>
  <c r="AM305" i="4"/>
  <c r="AK305" i="4"/>
  <c r="AJ305" i="4"/>
  <c r="AI305" i="4"/>
  <c r="AH305" i="4"/>
  <c r="AF305" i="4"/>
  <c r="AE305" i="4"/>
  <c r="AC305" i="4"/>
  <c r="AB305" i="4"/>
  <c r="Y305" i="4"/>
  <c r="X305" i="4"/>
  <c r="V305" i="4"/>
  <c r="T305" i="4"/>
  <c r="R305" i="4"/>
  <c r="P305" i="4"/>
  <c r="M305" i="4"/>
  <c r="D305" i="4"/>
  <c r="AY304" i="4"/>
  <c r="AR304" i="4"/>
  <c r="AQ304" i="4"/>
  <c r="AN304" i="4"/>
  <c r="AM304" i="4"/>
  <c r="AK304" i="4"/>
  <c r="AJ304" i="4"/>
  <c r="AI304" i="4"/>
  <c r="AH304" i="4"/>
  <c r="AO304" i="4" s="1"/>
  <c r="AB304" i="4"/>
  <c r="Y304" i="4"/>
  <c r="X304" i="4"/>
  <c r="AC304" i="4" s="1"/>
  <c r="V304" i="4"/>
  <c r="T304" i="4"/>
  <c r="AX304" i="4" s="1"/>
  <c r="R304" i="4"/>
  <c r="P304" i="4"/>
  <c r="M304" i="4"/>
  <c r="D304" i="4"/>
  <c r="AR303" i="4"/>
  <c r="AQ303" i="4"/>
  <c r="AN303" i="4"/>
  <c r="AM303" i="4"/>
  <c r="AK303" i="4"/>
  <c r="AJ303" i="4"/>
  <c r="AI303" i="4"/>
  <c r="AH303" i="4"/>
  <c r="AO303" i="4" s="1"/>
  <c r="AB303" i="4"/>
  <c r="Y303" i="4"/>
  <c r="X303" i="4"/>
  <c r="V303" i="4"/>
  <c r="T303" i="4"/>
  <c r="R303" i="4"/>
  <c r="P303" i="4"/>
  <c r="M303" i="4"/>
  <c r="D303" i="4"/>
  <c r="AR302" i="4"/>
  <c r="AQ302" i="4"/>
  <c r="AN302" i="4"/>
  <c r="AM302" i="4"/>
  <c r="AK302" i="4"/>
  <c r="AJ302" i="4"/>
  <c r="AI302" i="4"/>
  <c r="AH302" i="4"/>
  <c r="AO302" i="4" s="1"/>
  <c r="AB302" i="4"/>
  <c r="Y302" i="4"/>
  <c r="X302" i="4"/>
  <c r="AC302" i="4" s="1"/>
  <c r="AE302" i="4" s="1"/>
  <c r="AF302" i="4" s="1"/>
  <c r="V302" i="4"/>
  <c r="T302" i="4"/>
  <c r="AX302" i="4" s="1"/>
  <c r="AY302" i="4" s="1"/>
  <c r="R302" i="4"/>
  <c r="P302" i="4"/>
  <c r="M302" i="4"/>
  <c r="D302" i="4"/>
  <c r="AR301" i="4"/>
  <c r="AQ301" i="4"/>
  <c r="AO301" i="4"/>
  <c r="AN301" i="4"/>
  <c r="AM301" i="4"/>
  <c r="AK301" i="4"/>
  <c r="AJ301" i="4"/>
  <c r="AI301" i="4"/>
  <c r="AH301" i="4"/>
  <c r="AC301" i="4"/>
  <c r="AE301" i="4" s="1"/>
  <c r="AF301" i="4" s="1"/>
  <c r="AB301" i="4"/>
  <c r="Y301" i="4"/>
  <c r="X301" i="4"/>
  <c r="V301" i="4"/>
  <c r="T301" i="4"/>
  <c r="R301" i="4"/>
  <c r="P301" i="4"/>
  <c r="AX301" i="4" s="1"/>
  <c r="AY301" i="4" s="1"/>
  <c r="M301" i="4"/>
  <c r="D301" i="4"/>
  <c r="AR300" i="4"/>
  <c r="AQ300" i="4"/>
  <c r="AO300" i="4"/>
  <c r="AN300" i="4"/>
  <c r="AM300" i="4"/>
  <c r="AK300" i="4"/>
  <c r="AJ300" i="4"/>
  <c r="AI300" i="4"/>
  <c r="AH300" i="4"/>
  <c r="AC300" i="4"/>
  <c r="AB300" i="4"/>
  <c r="AE300" i="4" s="1"/>
  <c r="AF300" i="4" s="1"/>
  <c r="Y300" i="4"/>
  <c r="X300" i="4"/>
  <c r="V300" i="4"/>
  <c r="T300" i="4"/>
  <c r="R300" i="4"/>
  <c r="P300" i="4"/>
  <c r="M300" i="4"/>
  <c r="D300" i="4"/>
  <c r="AR299" i="4"/>
  <c r="AQ299" i="4"/>
  <c r="AO299" i="4"/>
  <c r="AN299" i="4"/>
  <c r="AM299" i="4"/>
  <c r="AK299" i="4"/>
  <c r="AJ299" i="4"/>
  <c r="AI299" i="4"/>
  <c r="AH299" i="4"/>
  <c r="AC299" i="4"/>
  <c r="AE299" i="4" s="1"/>
  <c r="AF299" i="4" s="1"/>
  <c r="AB299" i="4"/>
  <c r="Y299" i="4"/>
  <c r="X299" i="4"/>
  <c r="V299" i="4"/>
  <c r="T299" i="4"/>
  <c r="R299" i="4"/>
  <c r="P299" i="4"/>
  <c r="AX299" i="4" s="1"/>
  <c r="AY299" i="4" s="1"/>
  <c r="M299" i="4"/>
  <c r="D299" i="4"/>
  <c r="AR298" i="4"/>
  <c r="AQ298" i="4"/>
  <c r="AO298" i="4"/>
  <c r="AN298" i="4"/>
  <c r="AM298" i="4"/>
  <c r="AK298" i="4"/>
  <c r="AJ298" i="4"/>
  <c r="AI298" i="4"/>
  <c r="AH298" i="4"/>
  <c r="AB298" i="4"/>
  <c r="AE298" i="4" s="1"/>
  <c r="AF298" i="4" s="1"/>
  <c r="Y298" i="4"/>
  <c r="X298" i="4"/>
  <c r="AC298" i="4" s="1"/>
  <c r="V298" i="4"/>
  <c r="T298" i="4"/>
  <c r="R298" i="4"/>
  <c r="P298" i="4"/>
  <c r="M298" i="4"/>
  <c r="D298" i="4"/>
  <c r="AX297" i="4"/>
  <c r="AY297" i="4" s="1"/>
  <c r="AR297" i="4"/>
  <c r="AQ297" i="4"/>
  <c r="AO297" i="4"/>
  <c r="AN297" i="4"/>
  <c r="AM297" i="4"/>
  <c r="AK297" i="4"/>
  <c r="AJ297" i="4"/>
  <c r="AI297" i="4"/>
  <c r="AH297" i="4"/>
  <c r="AF297" i="4"/>
  <c r="AE297" i="4"/>
  <c r="AC297" i="4"/>
  <c r="AB297" i="4"/>
  <c r="Y297" i="4"/>
  <c r="X297" i="4"/>
  <c r="V297" i="4"/>
  <c r="T297" i="4"/>
  <c r="R297" i="4"/>
  <c r="P297" i="4"/>
  <c r="M297" i="4"/>
  <c r="D297" i="4"/>
  <c r="AR296" i="4"/>
  <c r="AQ296" i="4"/>
  <c r="AN296" i="4"/>
  <c r="AM296" i="4"/>
  <c r="AK296" i="4"/>
  <c r="AJ296" i="4"/>
  <c r="AI296" i="4"/>
  <c r="AH296" i="4"/>
  <c r="AO296" i="4" s="1"/>
  <c r="AB296" i="4"/>
  <c r="AE296" i="4" s="1"/>
  <c r="AF296" i="4" s="1"/>
  <c r="Y296" i="4"/>
  <c r="X296" i="4"/>
  <c r="AC296" i="4" s="1"/>
  <c r="V296" i="4"/>
  <c r="T296" i="4"/>
  <c r="R296" i="4"/>
  <c r="P296" i="4"/>
  <c r="M296" i="4"/>
  <c r="D296" i="4"/>
  <c r="AR295" i="4"/>
  <c r="AQ295" i="4"/>
  <c r="AN295" i="4"/>
  <c r="AM295" i="4"/>
  <c r="AK295" i="4"/>
  <c r="AJ295" i="4"/>
  <c r="AI295" i="4"/>
  <c r="AH295" i="4"/>
  <c r="AO295" i="4" s="1"/>
  <c r="AB295" i="4"/>
  <c r="Y295" i="4"/>
  <c r="X295" i="4"/>
  <c r="AC295" i="4" s="1"/>
  <c r="V295" i="4"/>
  <c r="T295" i="4"/>
  <c r="AX295" i="4" s="1"/>
  <c r="AY295" i="4" s="1"/>
  <c r="R295" i="4"/>
  <c r="P295" i="4"/>
  <c r="M295" i="4"/>
  <c r="D295" i="4"/>
  <c r="AX294" i="4"/>
  <c r="AY294" i="4" s="1"/>
  <c r="AR294" i="4"/>
  <c r="AQ294" i="4"/>
  <c r="AO294" i="4"/>
  <c r="AN294" i="4"/>
  <c r="AM294" i="4"/>
  <c r="AK294" i="4"/>
  <c r="AJ294" i="4"/>
  <c r="AI294" i="4"/>
  <c r="AH294" i="4"/>
  <c r="AF294" i="4"/>
  <c r="AE294" i="4"/>
  <c r="AC294" i="4"/>
  <c r="AB294" i="4"/>
  <c r="Y294" i="4"/>
  <c r="X294" i="4"/>
  <c r="V294" i="4"/>
  <c r="T294" i="4"/>
  <c r="R294" i="4"/>
  <c r="P294" i="4"/>
  <c r="M294" i="4"/>
  <c r="D294" i="4"/>
  <c r="AR293" i="4"/>
  <c r="AQ293" i="4"/>
  <c r="AO293" i="4"/>
  <c r="AN293" i="4"/>
  <c r="AM293" i="4"/>
  <c r="AK293" i="4"/>
  <c r="AJ293" i="4"/>
  <c r="AI293" i="4"/>
  <c r="AH293" i="4"/>
  <c r="AC293" i="4"/>
  <c r="AE293" i="4" s="1"/>
  <c r="AF293" i="4" s="1"/>
  <c r="AB293" i="4"/>
  <c r="Y293" i="4"/>
  <c r="X293" i="4"/>
  <c r="V293" i="4"/>
  <c r="T293" i="4"/>
  <c r="R293" i="4"/>
  <c r="P293" i="4"/>
  <c r="AX293" i="4" s="1"/>
  <c r="AY293" i="4" s="1"/>
  <c r="M293" i="4"/>
  <c r="D293" i="4"/>
  <c r="AR292" i="4"/>
  <c r="AQ292" i="4"/>
  <c r="AO292" i="4"/>
  <c r="AN292" i="4"/>
  <c r="AM292" i="4"/>
  <c r="AK292" i="4"/>
  <c r="AJ292" i="4"/>
  <c r="AI292" i="4"/>
  <c r="AH292" i="4"/>
  <c r="AF292" i="4"/>
  <c r="AC292" i="4"/>
  <c r="AB292" i="4"/>
  <c r="AE292" i="4" s="1"/>
  <c r="Y292" i="4"/>
  <c r="X292" i="4"/>
  <c r="V292" i="4"/>
  <c r="T292" i="4"/>
  <c r="R292" i="4"/>
  <c r="P292" i="4"/>
  <c r="M292" i="4"/>
  <c r="D292" i="4"/>
  <c r="AX291" i="4"/>
  <c r="AY291" i="4" s="1"/>
  <c r="AR291" i="4"/>
  <c r="AQ291" i="4"/>
  <c r="AO291" i="4"/>
  <c r="AN291" i="4"/>
  <c r="AM291" i="4"/>
  <c r="AK291" i="4"/>
  <c r="AJ291" i="4"/>
  <c r="AI291" i="4"/>
  <c r="AH291" i="4"/>
  <c r="AF291" i="4"/>
  <c r="AE291" i="4"/>
  <c r="AC291" i="4"/>
  <c r="AB291" i="4"/>
  <c r="Y291" i="4"/>
  <c r="X291" i="4"/>
  <c r="V291" i="4"/>
  <c r="T291" i="4"/>
  <c r="R291" i="4"/>
  <c r="P291" i="4"/>
  <c r="M291" i="4"/>
  <c r="D291" i="4"/>
  <c r="AR290" i="4"/>
  <c r="AQ290" i="4"/>
  <c r="AO290" i="4"/>
  <c r="AN290" i="4"/>
  <c r="AM290" i="4"/>
  <c r="AK290" i="4"/>
  <c r="AJ290" i="4"/>
  <c r="AI290" i="4"/>
  <c r="AH290" i="4"/>
  <c r="AB290" i="4"/>
  <c r="Y290" i="4"/>
  <c r="X290" i="4"/>
  <c r="AC290" i="4" s="1"/>
  <c r="V290" i="4"/>
  <c r="T290" i="4"/>
  <c r="R290" i="4"/>
  <c r="P290" i="4"/>
  <c r="M290" i="4"/>
  <c r="D290" i="4"/>
  <c r="AX289" i="4"/>
  <c r="AY289" i="4" s="1"/>
  <c r="AR289" i="4"/>
  <c r="AQ289" i="4"/>
  <c r="AO289" i="4"/>
  <c r="AN289" i="4"/>
  <c r="AM289" i="4"/>
  <c r="AK289" i="4"/>
  <c r="AJ289" i="4"/>
  <c r="AI289" i="4"/>
  <c r="AH289" i="4"/>
  <c r="AF289" i="4"/>
  <c r="AE289" i="4"/>
  <c r="AC289" i="4"/>
  <c r="AB289" i="4"/>
  <c r="Y289" i="4"/>
  <c r="X289" i="4"/>
  <c r="V289" i="4"/>
  <c r="T289" i="4"/>
  <c r="R289" i="4"/>
  <c r="P289" i="4"/>
  <c r="M289" i="4"/>
  <c r="D289" i="4"/>
  <c r="AR288" i="4"/>
  <c r="AQ288" i="4"/>
  <c r="AN288" i="4"/>
  <c r="AM288" i="4"/>
  <c r="AK288" i="4"/>
  <c r="AJ288" i="4"/>
  <c r="AI288" i="4"/>
  <c r="AH288" i="4"/>
  <c r="AO288" i="4" s="1"/>
  <c r="AB288" i="4"/>
  <c r="AE288" i="4" s="1"/>
  <c r="AF288" i="4" s="1"/>
  <c r="Y288" i="4"/>
  <c r="X288" i="4"/>
  <c r="AC288" i="4" s="1"/>
  <c r="V288" i="4"/>
  <c r="T288" i="4"/>
  <c r="R288" i="4"/>
  <c r="P288" i="4"/>
  <c r="M288" i="4"/>
  <c r="D288" i="4"/>
  <c r="AY287" i="4"/>
  <c r="AX287" i="4"/>
  <c r="AR287" i="4"/>
  <c r="AQ287" i="4"/>
  <c r="AO287" i="4"/>
  <c r="AN287" i="4"/>
  <c r="AM287" i="4"/>
  <c r="AK287" i="4"/>
  <c r="AJ287" i="4"/>
  <c r="AI287" i="4"/>
  <c r="AH287" i="4"/>
  <c r="AF287" i="4"/>
  <c r="AE287" i="4"/>
  <c r="AC287" i="4"/>
  <c r="AB287" i="4"/>
  <c r="Y287" i="4"/>
  <c r="X287" i="4"/>
  <c r="V287" i="4"/>
  <c r="T287" i="4"/>
  <c r="R287" i="4"/>
  <c r="P287" i="4"/>
  <c r="M287" i="4"/>
  <c r="D287" i="4"/>
  <c r="AR286" i="4"/>
  <c r="AQ286" i="4"/>
  <c r="AN286" i="4"/>
  <c r="AM286" i="4"/>
  <c r="AK286" i="4"/>
  <c r="AJ286" i="4"/>
  <c r="AI286" i="4"/>
  <c r="AH286" i="4"/>
  <c r="AO286" i="4" s="1"/>
  <c r="AB286" i="4"/>
  <c r="Y286" i="4"/>
  <c r="X286" i="4"/>
  <c r="AC286" i="4" s="1"/>
  <c r="AE286" i="4" s="1"/>
  <c r="AF286" i="4" s="1"/>
  <c r="V286" i="4"/>
  <c r="T286" i="4"/>
  <c r="AX286" i="4" s="1"/>
  <c r="AY286" i="4" s="1"/>
  <c r="R286" i="4"/>
  <c r="P286" i="4"/>
  <c r="M286" i="4"/>
  <c r="D286" i="4"/>
  <c r="AY285" i="4"/>
  <c r="AX285" i="4"/>
  <c r="AR285" i="4"/>
  <c r="AQ285" i="4"/>
  <c r="AO285" i="4"/>
  <c r="AN285" i="4"/>
  <c r="AM285" i="4"/>
  <c r="AK285" i="4"/>
  <c r="AJ285" i="4"/>
  <c r="AI285" i="4"/>
  <c r="AH285" i="4"/>
  <c r="AF285" i="4"/>
  <c r="AE285" i="4"/>
  <c r="AC285" i="4"/>
  <c r="AB285" i="4"/>
  <c r="Y285" i="4"/>
  <c r="X285" i="4"/>
  <c r="V285" i="4"/>
  <c r="T285" i="4"/>
  <c r="R285" i="4"/>
  <c r="P285" i="4"/>
  <c r="M285" i="4"/>
  <c r="D285" i="4"/>
  <c r="AR284" i="4"/>
  <c r="AQ284" i="4"/>
  <c r="AO284" i="4"/>
  <c r="AN284" i="4"/>
  <c r="AM284" i="4"/>
  <c r="AK284" i="4"/>
  <c r="AJ284" i="4"/>
  <c r="AI284" i="4"/>
  <c r="AH284" i="4"/>
  <c r="AC284" i="4"/>
  <c r="AB284" i="4"/>
  <c r="AE284" i="4" s="1"/>
  <c r="AF284" i="4" s="1"/>
  <c r="Y284" i="4"/>
  <c r="X284" i="4"/>
  <c r="V284" i="4"/>
  <c r="T284" i="4"/>
  <c r="R284" i="4"/>
  <c r="P284" i="4"/>
  <c r="M284" i="4"/>
  <c r="D284" i="4"/>
  <c r="AX283" i="4"/>
  <c r="AY283" i="4" s="1"/>
  <c r="AR283" i="4"/>
  <c r="AQ283" i="4"/>
  <c r="AO283" i="4"/>
  <c r="AN283" i="4"/>
  <c r="AM283" i="4"/>
  <c r="AK283" i="4"/>
  <c r="AJ283" i="4"/>
  <c r="AI283" i="4"/>
  <c r="AH283" i="4"/>
  <c r="AF283" i="4"/>
  <c r="AE283" i="4"/>
  <c r="AC283" i="4"/>
  <c r="AB283" i="4"/>
  <c r="Y283" i="4"/>
  <c r="X283" i="4"/>
  <c r="V283" i="4"/>
  <c r="T283" i="4"/>
  <c r="R283" i="4"/>
  <c r="P283" i="4"/>
  <c r="M283" i="4"/>
  <c r="D283" i="4"/>
  <c r="AR282" i="4"/>
  <c r="AQ282" i="4"/>
  <c r="AO282" i="4"/>
  <c r="AN282" i="4"/>
  <c r="AM282" i="4"/>
  <c r="AK282" i="4"/>
  <c r="AJ282" i="4"/>
  <c r="AI282" i="4"/>
  <c r="AH282" i="4"/>
  <c r="AC282" i="4"/>
  <c r="AB282" i="4"/>
  <c r="Y282" i="4"/>
  <c r="X282" i="4"/>
  <c r="V282" i="4"/>
  <c r="T282" i="4"/>
  <c r="R282" i="4"/>
  <c r="P282" i="4"/>
  <c r="AX282" i="4" s="1"/>
  <c r="AY282" i="4" s="1"/>
  <c r="M282" i="4"/>
  <c r="D282" i="4"/>
  <c r="AX281" i="4"/>
  <c r="AY281" i="4" s="1"/>
  <c r="AR281" i="4"/>
  <c r="AQ281" i="4"/>
  <c r="AO281" i="4"/>
  <c r="AN281" i="4"/>
  <c r="AM281" i="4"/>
  <c r="AK281" i="4"/>
  <c r="AJ281" i="4"/>
  <c r="AI281" i="4"/>
  <c r="AH281" i="4"/>
  <c r="AF281" i="4"/>
  <c r="AE281" i="4"/>
  <c r="AC281" i="4"/>
  <c r="AB281" i="4"/>
  <c r="Y281" i="4"/>
  <c r="X281" i="4"/>
  <c r="V281" i="4"/>
  <c r="T281" i="4"/>
  <c r="R281" i="4"/>
  <c r="P281" i="4"/>
  <c r="M281" i="4"/>
  <c r="D281" i="4"/>
  <c r="AR280" i="4"/>
  <c r="AQ280" i="4"/>
  <c r="AN280" i="4"/>
  <c r="AM280" i="4"/>
  <c r="AK280" i="4"/>
  <c r="AJ280" i="4"/>
  <c r="AI280" i="4"/>
  <c r="AH280" i="4"/>
  <c r="AO280" i="4" s="1"/>
  <c r="AB280" i="4"/>
  <c r="Y280" i="4"/>
  <c r="X280" i="4"/>
  <c r="AC280" i="4" s="1"/>
  <c r="V280" i="4"/>
  <c r="T280" i="4"/>
  <c r="AX280" i="4" s="1"/>
  <c r="AY280" i="4" s="1"/>
  <c r="R280" i="4"/>
  <c r="P280" i="4"/>
  <c r="M280" i="4"/>
  <c r="D280" i="4"/>
  <c r="AX279" i="4"/>
  <c r="AY279" i="4" s="1"/>
  <c r="AR279" i="4"/>
  <c r="AQ279" i="4"/>
  <c r="AO279" i="4"/>
  <c r="AN279" i="4"/>
  <c r="AM279" i="4"/>
  <c r="AK279" i="4"/>
  <c r="AJ279" i="4"/>
  <c r="AI279" i="4"/>
  <c r="AH279" i="4"/>
  <c r="AF279" i="4"/>
  <c r="AE279" i="4"/>
  <c r="AC279" i="4"/>
  <c r="AB279" i="4"/>
  <c r="Y279" i="4"/>
  <c r="X279" i="4"/>
  <c r="V279" i="4"/>
  <c r="T279" i="4"/>
  <c r="R279" i="4"/>
  <c r="P279" i="4"/>
  <c r="M279" i="4"/>
  <c r="D279" i="4"/>
  <c r="AR278" i="4"/>
  <c r="AQ278" i="4"/>
  <c r="AO278" i="4"/>
  <c r="AN278" i="4"/>
  <c r="AM278" i="4"/>
  <c r="AK278" i="4"/>
  <c r="AJ278" i="4"/>
  <c r="AI278" i="4"/>
  <c r="AH278" i="4"/>
  <c r="AF278" i="4"/>
  <c r="AE278" i="4"/>
  <c r="AB278" i="4"/>
  <c r="Y278" i="4"/>
  <c r="X278" i="4"/>
  <c r="AC278" i="4" s="1"/>
  <c r="V278" i="4"/>
  <c r="T278" i="4"/>
  <c r="R278" i="4"/>
  <c r="P278" i="4"/>
  <c r="AX278" i="4" s="1"/>
  <c r="AY278" i="4" s="1"/>
  <c r="M278" i="4"/>
  <c r="D278" i="4"/>
  <c r="AR277" i="4"/>
  <c r="AQ277" i="4"/>
  <c r="AN277" i="4"/>
  <c r="AM277" i="4"/>
  <c r="AK277" i="4"/>
  <c r="AJ277" i="4"/>
  <c r="AI277" i="4"/>
  <c r="AH277" i="4"/>
  <c r="AO277" i="4" s="1"/>
  <c r="AC277" i="4"/>
  <c r="AE277" i="4" s="1"/>
  <c r="AF277" i="4" s="1"/>
  <c r="AB277" i="4"/>
  <c r="Y277" i="4"/>
  <c r="X277" i="4"/>
  <c r="V277" i="4"/>
  <c r="T277" i="4"/>
  <c r="R277" i="4"/>
  <c r="P277" i="4"/>
  <c r="M277" i="4"/>
  <c r="D277" i="4"/>
  <c r="AX276" i="4"/>
  <c r="AY276" i="4" s="1"/>
  <c r="AR276" i="4"/>
  <c r="AQ276" i="4"/>
  <c r="AO276" i="4"/>
  <c r="AN276" i="4"/>
  <c r="AM276" i="4"/>
  <c r="AK276" i="4"/>
  <c r="AJ276" i="4"/>
  <c r="AI276" i="4"/>
  <c r="AH276" i="4"/>
  <c r="AF276" i="4"/>
  <c r="AE276" i="4"/>
  <c r="AC276" i="4"/>
  <c r="AB276" i="4"/>
  <c r="Y276" i="4"/>
  <c r="X276" i="4"/>
  <c r="V276" i="4"/>
  <c r="T276" i="4"/>
  <c r="R276" i="4"/>
  <c r="P276" i="4"/>
  <c r="M276" i="4"/>
  <c r="D276" i="4"/>
  <c r="AR275" i="4"/>
  <c r="AQ275" i="4"/>
  <c r="AO275" i="4"/>
  <c r="AN275" i="4"/>
  <c r="AM275" i="4"/>
  <c r="AK275" i="4"/>
  <c r="AJ275" i="4"/>
  <c r="AI275" i="4"/>
  <c r="AH275" i="4"/>
  <c r="AC275" i="4"/>
  <c r="AB275" i="4"/>
  <c r="AE275" i="4" s="1"/>
  <c r="AF275" i="4" s="1"/>
  <c r="Y275" i="4"/>
  <c r="X275" i="4"/>
  <c r="V275" i="4"/>
  <c r="T275" i="4"/>
  <c r="R275" i="4"/>
  <c r="P275" i="4"/>
  <c r="M275" i="4"/>
  <c r="D275" i="4"/>
  <c r="AR274" i="4"/>
  <c r="AQ274" i="4"/>
  <c r="AN274" i="4"/>
  <c r="AM274" i="4"/>
  <c r="AK274" i="4"/>
  <c r="AJ274" i="4"/>
  <c r="AI274" i="4"/>
  <c r="AH274" i="4"/>
  <c r="AO274" i="4" s="1"/>
  <c r="AC274" i="4"/>
  <c r="AB274" i="4"/>
  <c r="Y274" i="4"/>
  <c r="X274" i="4"/>
  <c r="V274" i="4"/>
  <c r="T274" i="4"/>
  <c r="R274" i="4"/>
  <c r="P274" i="4"/>
  <c r="AX274" i="4" s="1"/>
  <c r="AY274" i="4" s="1"/>
  <c r="M274" i="4"/>
  <c r="D274" i="4"/>
  <c r="AX273" i="4"/>
  <c r="AY273" i="4" s="1"/>
  <c r="AR273" i="4"/>
  <c r="AQ273" i="4"/>
  <c r="AO273" i="4"/>
  <c r="AN273" i="4"/>
  <c r="AM273" i="4"/>
  <c r="AK273" i="4"/>
  <c r="AJ273" i="4"/>
  <c r="AI273" i="4"/>
  <c r="AH273" i="4"/>
  <c r="AF273" i="4"/>
  <c r="AE273" i="4"/>
  <c r="AC273" i="4"/>
  <c r="AB273" i="4"/>
  <c r="Y273" i="4"/>
  <c r="X273" i="4"/>
  <c r="V273" i="4"/>
  <c r="T273" i="4"/>
  <c r="R273" i="4"/>
  <c r="P273" i="4"/>
  <c r="M273" i="4"/>
  <c r="D273" i="4"/>
  <c r="AR272" i="4"/>
  <c r="AQ272" i="4"/>
  <c r="AN272" i="4"/>
  <c r="AM272" i="4"/>
  <c r="AK272" i="4"/>
  <c r="AJ272" i="4"/>
  <c r="AI272" i="4"/>
  <c r="AH272" i="4"/>
  <c r="AO272" i="4" s="1"/>
  <c r="AB272" i="4"/>
  <c r="Y272" i="4"/>
  <c r="X272" i="4"/>
  <c r="AC272" i="4" s="1"/>
  <c r="AE272" i="4" s="1"/>
  <c r="AF272" i="4" s="1"/>
  <c r="V272" i="4"/>
  <c r="T272" i="4"/>
  <c r="AX272" i="4" s="1"/>
  <c r="AY272" i="4" s="1"/>
  <c r="R272" i="4"/>
  <c r="P272" i="4"/>
  <c r="M272" i="4"/>
  <c r="D272" i="4"/>
  <c r="AR271" i="4"/>
  <c r="AQ271" i="4"/>
  <c r="AN271" i="4"/>
  <c r="AM271" i="4"/>
  <c r="AK271" i="4"/>
  <c r="AJ271" i="4"/>
  <c r="AI271" i="4"/>
  <c r="AH271" i="4"/>
  <c r="AO271" i="4" s="1"/>
  <c r="AB271" i="4"/>
  <c r="AE271" i="4" s="1"/>
  <c r="AF271" i="4" s="1"/>
  <c r="Y271" i="4"/>
  <c r="X271" i="4"/>
  <c r="AC271" i="4" s="1"/>
  <c r="V271" i="4"/>
  <c r="T271" i="4"/>
  <c r="R271" i="4"/>
  <c r="P271" i="4"/>
  <c r="M271" i="4"/>
  <c r="D271" i="4"/>
  <c r="AX270" i="4"/>
  <c r="AY270" i="4" s="1"/>
  <c r="AR270" i="4"/>
  <c r="AQ270" i="4"/>
  <c r="AO270" i="4"/>
  <c r="AN270" i="4"/>
  <c r="AM270" i="4"/>
  <c r="AK270" i="4"/>
  <c r="AJ270" i="4"/>
  <c r="AI270" i="4"/>
  <c r="AH270" i="4"/>
  <c r="AF270" i="4"/>
  <c r="AE270" i="4"/>
  <c r="AC270" i="4"/>
  <c r="AB270" i="4"/>
  <c r="Y270" i="4"/>
  <c r="X270" i="4"/>
  <c r="V270" i="4"/>
  <c r="T270" i="4"/>
  <c r="R270" i="4"/>
  <c r="P270" i="4"/>
  <c r="M270" i="4"/>
  <c r="D270" i="4"/>
  <c r="AR269" i="4"/>
  <c r="AQ269" i="4"/>
  <c r="AN269" i="4"/>
  <c r="AM269" i="4"/>
  <c r="AK269" i="4"/>
  <c r="AJ269" i="4"/>
  <c r="AI269" i="4"/>
  <c r="AH269" i="4"/>
  <c r="AO269" i="4" s="1"/>
  <c r="AB269" i="4"/>
  <c r="Y269" i="4"/>
  <c r="X269" i="4"/>
  <c r="AC269" i="4" s="1"/>
  <c r="AE269" i="4" s="1"/>
  <c r="AF269" i="4" s="1"/>
  <c r="V269" i="4"/>
  <c r="T269" i="4"/>
  <c r="R269" i="4"/>
  <c r="P269" i="4"/>
  <c r="M269" i="4"/>
  <c r="D269" i="4"/>
  <c r="AX268" i="4"/>
  <c r="AY268" i="4" s="1"/>
  <c r="AR268" i="4"/>
  <c r="AQ268" i="4"/>
  <c r="AO268" i="4"/>
  <c r="AN268" i="4"/>
  <c r="AM268" i="4"/>
  <c r="AK268" i="4"/>
  <c r="AJ268" i="4"/>
  <c r="AI268" i="4"/>
  <c r="AH268" i="4"/>
  <c r="AF268" i="4"/>
  <c r="AE268" i="4"/>
  <c r="AC268" i="4"/>
  <c r="AB268" i="4"/>
  <c r="Y268" i="4"/>
  <c r="X268" i="4"/>
  <c r="V268" i="4"/>
  <c r="T268" i="4"/>
  <c r="R268" i="4"/>
  <c r="P268" i="4"/>
  <c r="M268" i="4"/>
  <c r="D268" i="4"/>
  <c r="AR267" i="4"/>
  <c r="AQ267" i="4"/>
  <c r="AO267" i="4"/>
  <c r="AN267" i="4"/>
  <c r="AM267" i="4"/>
  <c r="AK267" i="4"/>
  <c r="AJ267" i="4"/>
  <c r="AI267" i="4"/>
  <c r="AH267" i="4"/>
  <c r="AC267" i="4"/>
  <c r="AB267" i="4"/>
  <c r="Y267" i="4"/>
  <c r="X267" i="4"/>
  <c r="V267" i="4"/>
  <c r="T267" i="4"/>
  <c r="R267" i="4"/>
  <c r="P267" i="4"/>
  <c r="M267" i="4"/>
  <c r="D267" i="4"/>
  <c r="AR266" i="4"/>
  <c r="AQ266" i="4"/>
  <c r="AN266" i="4"/>
  <c r="AM266" i="4"/>
  <c r="AK266" i="4"/>
  <c r="AJ266" i="4"/>
  <c r="AI266" i="4"/>
  <c r="AH266" i="4"/>
  <c r="AO266" i="4" s="1"/>
  <c r="AB266" i="4"/>
  <c r="Y266" i="4"/>
  <c r="X266" i="4"/>
  <c r="AC266" i="4" s="1"/>
  <c r="V266" i="4"/>
  <c r="T266" i="4"/>
  <c r="R266" i="4"/>
  <c r="P266" i="4"/>
  <c r="AX266" i="4" s="1"/>
  <c r="AY266" i="4" s="1"/>
  <c r="M266" i="4"/>
  <c r="D266" i="4"/>
  <c r="AR265" i="4"/>
  <c r="AQ265" i="4"/>
  <c r="AO265" i="4"/>
  <c r="AN265" i="4"/>
  <c r="AM265" i="4"/>
  <c r="AK265" i="4"/>
  <c r="AJ265" i="4"/>
  <c r="AI265" i="4"/>
  <c r="AH265" i="4"/>
  <c r="AB265" i="4"/>
  <c r="AE265" i="4" s="1"/>
  <c r="AF265" i="4" s="1"/>
  <c r="Y265" i="4"/>
  <c r="X265" i="4"/>
  <c r="AC265" i="4" s="1"/>
  <c r="V265" i="4"/>
  <c r="T265" i="4"/>
  <c r="R265" i="4"/>
  <c r="P265" i="4"/>
  <c r="M265" i="4"/>
  <c r="D265" i="4"/>
  <c r="AX264" i="4"/>
  <c r="AY264" i="4" s="1"/>
  <c r="AR264" i="4"/>
  <c r="AQ264" i="4"/>
  <c r="AO264" i="4"/>
  <c r="AN264" i="4"/>
  <c r="AM264" i="4"/>
  <c r="AK264" i="4"/>
  <c r="AJ264" i="4"/>
  <c r="AI264" i="4"/>
  <c r="AH264" i="4"/>
  <c r="AF264" i="4"/>
  <c r="AE264" i="4"/>
  <c r="AC264" i="4"/>
  <c r="AB264" i="4"/>
  <c r="Y264" i="4"/>
  <c r="X264" i="4"/>
  <c r="V264" i="4"/>
  <c r="T264" i="4"/>
  <c r="R264" i="4"/>
  <c r="P264" i="4"/>
  <c r="M264" i="4"/>
  <c r="D264" i="4"/>
  <c r="AR263" i="4"/>
  <c r="AQ263" i="4"/>
  <c r="AN263" i="4"/>
  <c r="AM263" i="4"/>
  <c r="AK263" i="4"/>
  <c r="AJ263" i="4"/>
  <c r="AI263" i="4"/>
  <c r="AH263" i="4"/>
  <c r="AO263" i="4" s="1"/>
  <c r="AB263" i="4"/>
  <c r="Y263" i="4"/>
  <c r="X263" i="4"/>
  <c r="AC263" i="4" s="1"/>
  <c r="V263" i="4"/>
  <c r="T263" i="4"/>
  <c r="AX263" i="4" s="1"/>
  <c r="AY263" i="4" s="1"/>
  <c r="R263" i="4"/>
  <c r="P263" i="4"/>
  <c r="M263" i="4"/>
  <c r="D263" i="4"/>
  <c r="AX262" i="4"/>
  <c r="AY262" i="4" s="1"/>
  <c r="AR262" i="4"/>
  <c r="AQ262" i="4"/>
  <c r="AO262" i="4"/>
  <c r="AN262" i="4"/>
  <c r="AM262" i="4"/>
  <c r="AK262" i="4"/>
  <c r="AJ262" i="4"/>
  <c r="AI262" i="4"/>
  <c r="AH262" i="4"/>
  <c r="AF262" i="4"/>
  <c r="AE262" i="4"/>
  <c r="AC262" i="4"/>
  <c r="AB262" i="4"/>
  <c r="Y262" i="4"/>
  <c r="X262" i="4"/>
  <c r="V262" i="4"/>
  <c r="T262" i="4"/>
  <c r="R262" i="4"/>
  <c r="P262" i="4"/>
  <c r="M262" i="4"/>
  <c r="D262" i="4"/>
  <c r="AX261" i="4"/>
  <c r="AY261" i="4" s="1"/>
  <c r="AR261" i="4"/>
  <c r="AQ261" i="4"/>
  <c r="AO261" i="4"/>
  <c r="AN261" i="4"/>
  <c r="AM261" i="4"/>
  <c r="AK261" i="4"/>
  <c r="AJ261" i="4"/>
  <c r="AI261" i="4"/>
  <c r="AH261" i="4"/>
  <c r="AF261" i="4"/>
  <c r="AE261" i="4"/>
  <c r="AC261" i="4"/>
  <c r="AB261" i="4"/>
  <c r="Y261" i="4"/>
  <c r="X261" i="4"/>
  <c r="V261" i="4"/>
  <c r="T261" i="4"/>
  <c r="R261" i="4"/>
  <c r="P261" i="4"/>
  <c r="M261" i="4"/>
  <c r="D261" i="4"/>
  <c r="AR260" i="4"/>
  <c r="AQ260" i="4"/>
  <c r="AO260" i="4"/>
  <c r="AN260" i="4"/>
  <c r="AM260" i="4"/>
  <c r="AK260" i="4"/>
  <c r="AJ260" i="4"/>
  <c r="AI260" i="4"/>
  <c r="AH260" i="4"/>
  <c r="AC260" i="4"/>
  <c r="AB260" i="4"/>
  <c r="AE260" i="4" s="1"/>
  <c r="AF260" i="4" s="1"/>
  <c r="Y260" i="4"/>
  <c r="X260" i="4"/>
  <c r="V260" i="4"/>
  <c r="T260" i="4"/>
  <c r="R260" i="4"/>
  <c r="P260" i="4"/>
  <c r="M260" i="4"/>
  <c r="D260" i="4"/>
  <c r="AR259" i="4"/>
  <c r="AQ259" i="4"/>
  <c r="AO259" i="4"/>
  <c r="AN259" i="4"/>
  <c r="AM259" i="4"/>
  <c r="AK259" i="4"/>
  <c r="AJ259" i="4"/>
  <c r="AI259" i="4"/>
  <c r="AH259" i="4"/>
  <c r="AC259" i="4"/>
  <c r="AB259" i="4"/>
  <c r="Y259" i="4"/>
  <c r="X259" i="4"/>
  <c r="V259" i="4"/>
  <c r="T259" i="4"/>
  <c r="R259" i="4"/>
  <c r="P259" i="4"/>
  <c r="M259" i="4"/>
  <c r="D259" i="4"/>
  <c r="AR258" i="4"/>
  <c r="AQ258" i="4"/>
  <c r="AN258" i="4"/>
  <c r="AM258" i="4"/>
  <c r="AK258" i="4"/>
  <c r="AJ258" i="4"/>
  <c r="AI258" i="4"/>
  <c r="AH258" i="4"/>
  <c r="AO258" i="4" s="1"/>
  <c r="AB258" i="4"/>
  <c r="Y258" i="4"/>
  <c r="X258" i="4"/>
  <c r="AC258" i="4" s="1"/>
  <c r="V258" i="4"/>
  <c r="T258" i="4"/>
  <c r="R258" i="4"/>
  <c r="P258" i="4"/>
  <c r="M258" i="4"/>
  <c r="D258" i="4"/>
  <c r="AR257" i="4"/>
  <c r="AQ257" i="4"/>
  <c r="AO257" i="4"/>
  <c r="AN257" i="4"/>
  <c r="AM257" i="4"/>
  <c r="AK257" i="4"/>
  <c r="AJ257" i="4"/>
  <c r="AI257" i="4"/>
  <c r="AH257" i="4"/>
  <c r="AB257" i="4"/>
  <c r="Y257" i="4"/>
  <c r="X257" i="4"/>
  <c r="V257" i="4"/>
  <c r="T257" i="4"/>
  <c r="R257" i="4"/>
  <c r="P257" i="4"/>
  <c r="M257" i="4"/>
  <c r="D257" i="4"/>
  <c r="AX256" i="4"/>
  <c r="AY256" i="4" s="1"/>
  <c r="AR256" i="4"/>
  <c r="AQ256" i="4"/>
  <c r="AN256" i="4"/>
  <c r="AM256" i="4"/>
  <c r="AK256" i="4"/>
  <c r="AJ256" i="4"/>
  <c r="AI256" i="4"/>
  <c r="AH256" i="4"/>
  <c r="AO256" i="4" s="1"/>
  <c r="AC256" i="4"/>
  <c r="AE256" i="4" s="1"/>
  <c r="AF256" i="4" s="1"/>
  <c r="AB256" i="4"/>
  <c r="Y256" i="4"/>
  <c r="X256" i="4"/>
  <c r="V256" i="4"/>
  <c r="T256" i="4"/>
  <c r="R256" i="4"/>
  <c r="P256" i="4"/>
  <c r="M256" i="4"/>
  <c r="D256" i="4"/>
  <c r="AR255" i="4"/>
  <c r="AQ255" i="4"/>
  <c r="AN255" i="4"/>
  <c r="AM255" i="4"/>
  <c r="AK255" i="4"/>
  <c r="AJ255" i="4"/>
  <c r="AI255" i="4"/>
  <c r="AH255" i="4"/>
  <c r="AO255" i="4" s="1"/>
  <c r="AB255" i="4"/>
  <c r="Y255" i="4"/>
  <c r="X255" i="4"/>
  <c r="V255" i="4"/>
  <c r="T255" i="4"/>
  <c r="R255" i="4"/>
  <c r="P255" i="4"/>
  <c r="M255" i="4"/>
  <c r="D255" i="4"/>
  <c r="AY254" i="4"/>
  <c r="AX254" i="4"/>
  <c r="AR254" i="4"/>
  <c r="AQ254" i="4"/>
  <c r="AO254" i="4"/>
  <c r="AN254" i="4"/>
  <c r="AM254" i="4"/>
  <c r="AK254" i="4"/>
  <c r="AJ254" i="4"/>
  <c r="AI254" i="4"/>
  <c r="AH254" i="4"/>
  <c r="AB254" i="4"/>
  <c r="Y254" i="4"/>
  <c r="X254" i="4"/>
  <c r="AC254" i="4" s="1"/>
  <c r="V254" i="4"/>
  <c r="T254" i="4"/>
  <c r="R254" i="4"/>
  <c r="P254" i="4"/>
  <c r="M254" i="4"/>
  <c r="D254" i="4"/>
  <c r="AR253" i="4"/>
  <c r="AQ253" i="4"/>
  <c r="AN253" i="4"/>
  <c r="AM253" i="4"/>
  <c r="AK253" i="4"/>
  <c r="AJ253" i="4"/>
  <c r="AI253" i="4"/>
  <c r="AH253" i="4"/>
  <c r="AO253" i="4" s="1"/>
  <c r="AB253" i="4"/>
  <c r="Y253" i="4"/>
  <c r="X253" i="4"/>
  <c r="V253" i="4"/>
  <c r="T253" i="4"/>
  <c r="R253" i="4"/>
  <c r="P253" i="4"/>
  <c r="M253" i="4"/>
  <c r="D253" i="4"/>
  <c r="AR252" i="4"/>
  <c r="AQ252" i="4"/>
  <c r="AN252" i="4"/>
  <c r="AM252" i="4"/>
  <c r="AK252" i="4"/>
  <c r="AJ252" i="4"/>
  <c r="AI252" i="4"/>
  <c r="AH252" i="4"/>
  <c r="AO252" i="4" s="1"/>
  <c r="AF252" i="4"/>
  <c r="AB252" i="4"/>
  <c r="Y252" i="4"/>
  <c r="X252" i="4"/>
  <c r="AC252" i="4" s="1"/>
  <c r="AE252" i="4" s="1"/>
  <c r="V252" i="4"/>
  <c r="T252" i="4"/>
  <c r="R252" i="4"/>
  <c r="P252" i="4"/>
  <c r="AX252" i="4" s="1"/>
  <c r="AY252" i="4" s="1"/>
  <c r="M252" i="4"/>
  <c r="D252" i="4"/>
  <c r="AR251" i="4"/>
  <c r="AQ251" i="4"/>
  <c r="AO251" i="4"/>
  <c r="AN251" i="4"/>
  <c r="AM251" i="4"/>
  <c r="AK251" i="4"/>
  <c r="AJ251" i="4"/>
  <c r="AI251" i="4"/>
  <c r="AH251" i="4"/>
  <c r="AC251" i="4"/>
  <c r="AB251" i="4"/>
  <c r="AE251" i="4" s="1"/>
  <c r="AF251" i="4" s="1"/>
  <c r="Y251" i="4"/>
  <c r="X251" i="4"/>
  <c r="V251" i="4"/>
  <c r="T251" i="4"/>
  <c r="R251" i="4"/>
  <c r="P251" i="4"/>
  <c r="M251" i="4"/>
  <c r="D251" i="4"/>
  <c r="AR250" i="4"/>
  <c r="AQ250" i="4"/>
  <c r="AO250" i="4"/>
  <c r="AN250" i="4"/>
  <c r="AM250" i="4"/>
  <c r="AK250" i="4"/>
  <c r="AJ250" i="4"/>
  <c r="AI250" i="4"/>
  <c r="AH250" i="4"/>
  <c r="AC250" i="4"/>
  <c r="AB250" i="4"/>
  <c r="AE250" i="4" s="1"/>
  <c r="AF250" i="4" s="1"/>
  <c r="Y250" i="4"/>
  <c r="X250" i="4"/>
  <c r="V250" i="4"/>
  <c r="T250" i="4"/>
  <c r="R250" i="4"/>
  <c r="P250" i="4"/>
  <c r="M250" i="4"/>
  <c r="D250" i="4"/>
  <c r="AR249" i="4"/>
  <c r="AQ249" i="4"/>
  <c r="AO249" i="4"/>
  <c r="AN249" i="4"/>
  <c r="AM249" i="4"/>
  <c r="AK249" i="4"/>
  <c r="AJ249" i="4"/>
  <c r="AI249" i="4"/>
  <c r="AH249" i="4"/>
  <c r="AC249" i="4"/>
  <c r="AB249" i="4"/>
  <c r="AE249" i="4" s="1"/>
  <c r="AF249" i="4" s="1"/>
  <c r="Y249" i="4"/>
  <c r="X249" i="4"/>
  <c r="V249" i="4"/>
  <c r="T249" i="4"/>
  <c r="R249" i="4"/>
  <c r="P249" i="4"/>
  <c r="M249" i="4"/>
  <c r="D249" i="4"/>
  <c r="AR248" i="4"/>
  <c r="AQ248" i="4"/>
  <c r="AO248" i="4"/>
  <c r="AN248" i="4"/>
  <c r="AM248" i="4"/>
  <c r="AK248" i="4"/>
  <c r="AJ248" i="4"/>
  <c r="AI248" i="4"/>
  <c r="AH248" i="4"/>
  <c r="AB248" i="4"/>
  <c r="Y248" i="4"/>
  <c r="X248" i="4"/>
  <c r="AC248" i="4" s="1"/>
  <c r="V248" i="4"/>
  <c r="T248" i="4"/>
  <c r="R248" i="4"/>
  <c r="P248" i="4"/>
  <c r="M248" i="4"/>
  <c r="D248" i="4"/>
  <c r="AR247" i="4"/>
  <c r="AQ247" i="4"/>
  <c r="AN247" i="4"/>
  <c r="AM247" i="4"/>
  <c r="AK247" i="4"/>
  <c r="AJ247" i="4"/>
  <c r="AI247" i="4"/>
  <c r="AH247" i="4"/>
  <c r="AO247" i="4" s="1"/>
  <c r="AB247" i="4"/>
  <c r="Y247" i="4"/>
  <c r="X247" i="4"/>
  <c r="V247" i="4"/>
  <c r="T247" i="4"/>
  <c r="R247" i="4"/>
  <c r="P247" i="4"/>
  <c r="M247" i="4"/>
  <c r="D247" i="4"/>
  <c r="AR246" i="4"/>
  <c r="AQ246" i="4"/>
  <c r="AN246" i="4"/>
  <c r="AM246" i="4"/>
  <c r="AK246" i="4"/>
  <c r="AJ246" i="4"/>
  <c r="AI246" i="4"/>
  <c r="AH246" i="4"/>
  <c r="AO246" i="4" s="1"/>
  <c r="AB246" i="4"/>
  <c r="Y246" i="4"/>
  <c r="X246" i="4"/>
  <c r="AC246" i="4" s="1"/>
  <c r="V246" i="4"/>
  <c r="T246" i="4"/>
  <c r="R246" i="4"/>
  <c r="P246" i="4"/>
  <c r="M246" i="4"/>
  <c r="D246" i="4"/>
  <c r="AR245" i="4"/>
  <c r="AQ245" i="4"/>
  <c r="AO245" i="4"/>
  <c r="AN245" i="4"/>
  <c r="AM245" i="4"/>
  <c r="AK245" i="4"/>
  <c r="AJ245" i="4"/>
  <c r="AI245" i="4"/>
  <c r="AH245" i="4"/>
  <c r="AE245" i="4"/>
  <c r="AF245" i="4" s="1"/>
  <c r="AB245" i="4"/>
  <c r="Y245" i="4"/>
  <c r="X245" i="4"/>
  <c r="AC245" i="4" s="1"/>
  <c r="V245" i="4"/>
  <c r="T245" i="4"/>
  <c r="R245" i="4"/>
  <c r="P245" i="4"/>
  <c r="AX245" i="4" s="1"/>
  <c r="AY245" i="4" s="1"/>
  <c r="M245" i="4"/>
  <c r="D245" i="4"/>
  <c r="AR244" i="4"/>
  <c r="AQ244" i="4"/>
  <c r="AN244" i="4"/>
  <c r="AM244" i="4"/>
  <c r="AK244" i="4"/>
  <c r="AJ244" i="4"/>
  <c r="AI244" i="4"/>
  <c r="AH244" i="4"/>
  <c r="AO244" i="4" s="1"/>
  <c r="AC244" i="4"/>
  <c r="AE244" i="4" s="1"/>
  <c r="AF244" i="4" s="1"/>
  <c r="AB244" i="4"/>
  <c r="Y244" i="4"/>
  <c r="X244" i="4"/>
  <c r="V244" i="4"/>
  <c r="T244" i="4"/>
  <c r="R244" i="4"/>
  <c r="P244" i="4"/>
  <c r="M244" i="4"/>
  <c r="D244" i="4"/>
  <c r="AR243" i="4"/>
  <c r="AQ243" i="4"/>
  <c r="AO243" i="4"/>
  <c r="AN243" i="4"/>
  <c r="AM243" i="4"/>
  <c r="AK243" i="4"/>
  <c r="AJ243" i="4"/>
  <c r="AI243" i="4"/>
  <c r="AH243" i="4"/>
  <c r="AF243" i="4"/>
  <c r="AC243" i="4"/>
  <c r="AE243" i="4" s="1"/>
  <c r="AB243" i="4"/>
  <c r="Y243" i="4"/>
  <c r="X243" i="4"/>
  <c r="V243" i="4"/>
  <c r="T243" i="4"/>
  <c r="R243" i="4"/>
  <c r="P243" i="4"/>
  <c r="AX243" i="4" s="1"/>
  <c r="AY243" i="4" s="1"/>
  <c r="M243" i="4"/>
  <c r="D243" i="4"/>
  <c r="AR242" i="4"/>
  <c r="AQ242" i="4"/>
  <c r="AO242" i="4"/>
  <c r="AN242" i="4"/>
  <c r="AM242" i="4"/>
  <c r="AK242" i="4"/>
  <c r="AJ242" i="4"/>
  <c r="AI242" i="4"/>
  <c r="AH242" i="4"/>
  <c r="AC242" i="4"/>
  <c r="AB242" i="4"/>
  <c r="AE242" i="4" s="1"/>
  <c r="AF242" i="4" s="1"/>
  <c r="Y242" i="4"/>
  <c r="X242" i="4"/>
  <c r="V242" i="4"/>
  <c r="T242" i="4"/>
  <c r="R242" i="4"/>
  <c r="P242" i="4"/>
  <c r="M242" i="4"/>
  <c r="D242" i="4"/>
  <c r="AR241" i="4"/>
  <c r="AQ241" i="4"/>
  <c r="AO241" i="4"/>
  <c r="AN241" i="4"/>
  <c r="AM241" i="4"/>
  <c r="AK241" i="4"/>
  <c r="AJ241" i="4"/>
  <c r="AI241" i="4"/>
  <c r="AH241" i="4"/>
  <c r="AC241" i="4"/>
  <c r="AB241" i="4"/>
  <c r="Y241" i="4"/>
  <c r="X241" i="4"/>
  <c r="V241" i="4"/>
  <c r="T241" i="4"/>
  <c r="R241" i="4"/>
  <c r="P241" i="4"/>
  <c r="AX241" i="4" s="1"/>
  <c r="AY241" i="4" s="1"/>
  <c r="M241" i="4"/>
  <c r="D241" i="4"/>
  <c r="AR240" i="4"/>
  <c r="AQ240" i="4"/>
  <c r="AO240" i="4"/>
  <c r="AN240" i="4"/>
  <c r="AM240" i="4"/>
  <c r="AK240" i="4"/>
  <c r="AJ240" i="4"/>
  <c r="AI240" i="4"/>
  <c r="AH240" i="4"/>
  <c r="AB240" i="4"/>
  <c r="Y240" i="4"/>
  <c r="X240" i="4"/>
  <c r="V240" i="4"/>
  <c r="T240" i="4"/>
  <c r="R240" i="4"/>
  <c r="P240" i="4"/>
  <c r="M240" i="4"/>
  <c r="D240" i="4"/>
  <c r="AR239" i="4"/>
  <c r="AQ239" i="4"/>
  <c r="AN239" i="4"/>
  <c r="AM239" i="4"/>
  <c r="AK239" i="4"/>
  <c r="AJ239" i="4"/>
  <c r="AI239" i="4"/>
  <c r="AH239" i="4"/>
  <c r="AO239" i="4" s="1"/>
  <c r="AB239" i="4"/>
  <c r="AE239" i="4" s="1"/>
  <c r="AF239" i="4" s="1"/>
  <c r="Y239" i="4"/>
  <c r="X239" i="4"/>
  <c r="AC239" i="4" s="1"/>
  <c r="V239" i="4"/>
  <c r="T239" i="4"/>
  <c r="R239" i="4"/>
  <c r="P239" i="4"/>
  <c r="M239" i="4"/>
  <c r="D239" i="4"/>
  <c r="AR238" i="4"/>
  <c r="AQ238" i="4"/>
  <c r="AN238" i="4"/>
  <c r="AM238" i="4"/>
  <c r="AK238" i="4"/>
  <c r="AJ238" i="4"/>
  <c r="AI238" i="4"/>
  <c r="AH238" i="4"/>
  <c r="AO238" i="4" s="1"/>
  <c r="AB238" i="4"/>
  <c r="Y238" i="4"/>
  <c r="X238" i="4"/>
  <c r="AC238" i="4" s="1"/>
  <c r="V238" i="4"/>
  <c r="T238" i="4"/>
  <c r="AX238" i="4" s="1"/>
  <c r="AY238" i="4" s="1"/>
  <c r="R238" i="4"/>
  <c r="P238" i="4"/>
  <c r="M238" i="4"/>
  <c r="D238" i="4"/>
  <c r="AR237" i="4"/>
  <c r="AQ237" i="4"/>
  <c r="AO237" i="4"/>
  <c r="AN237" i="4"/>
  <c r="AM237" i="4"/>
  <c r="AK237" i="4"/>
  <c r="AJ237" i="4"/>
  <c r="AI237" i="4"/>
  <c r="AH237" i="4"/>
  <c r="AF237" i="4"/>
  <c r="AE237" i="4"/>
  <c r="AB237" i="4"/>
  <c r="Y237" i="4"/>
  <c r="X237" i="4"/>
  <c r="AC237" i="4" s="1"/>
  <c r="V237" i="4"/>
  <c r="T237" i="4"/>
  <c r="R237" i="4"/>
  <c r="P237" i="4"/>
  <c r="AX237" i="4" s="1"/>
  <c r="AY237" i="4" s="1"/>
  <c r="M237" i="4"/>
  <c r="D237" i="4"/>
  <c r="AR236" i="4"/>
  <c r="AQ236" i="4"/>
  <c r="AO236" i="4"/>
  <c r="AN236" i="4"/>
  <c r="AM236" i="4"/>
  <c r="AK236" i="4"/>
  <c r="AJ236" i="4"/>
  <c r="AI236" i="4"/>
  <c r="AH236" i="4"/>
  <c r="AC236" i="4"/>
  <c r="AE236" i="4" s="1"/>
  <c r="AF236" i="4" s="1"/>
  <c r="AB236" i="4"/>
  <c r="Y236" i="4"/>
  <c r="X236" i="4"/>
  <c r="V236" i="4"/>
  <c r="T236" i="4"/>
  <c r="R236" i="4"/>
  <c r="P236" i="4"/>
  <c r="AX236" i="4" s="1"/>
  <c r="AY236" i="4" s="1"/>
  <c r="M236" i="4"/>
  <c r="D236" i="4"/>
  <c r="AR235" i="4"/>
  <c r="AQ235" i="4"/>
  <c r="AO235" i="4"/>
  <c r="AN235" i="4"/>
  <c r="AM235" i="4"/>
  <c r="AK235" i="4"/>
  <c r="AJ235" i="4"/>
  <c r="AI235" i="4"/>
  <c r="AH235" i="4"/>
  <c r="AC235" i="4"/>
  <c r="AB235" i="4"/>
  <c r="AE235" i="4" s="1"/>
  <c r="AF235" i="4" s="1"/>
  <c r="Y235" i="4"/>
  <c r="X235" i="4"/>
  <c r="V235" i="4"/>
  <c r="T235" i="4"/>
  <c r="R235" i="4"/>
  <c r="P235" i="4"/>
  <c r="M235" i="4"/>
  <c r="D235" i="4"/>
  <c r="AR234" i="4"/>
  <c r="AQ234" i="4"/>
  <c r="AO234" i="4"/>
  <c r="AN234" i="4"/>
  <c r="AM234" i="4"/>
  <c r="AK234" i="4"/>
  <c r="AJ234" i="4"/>
  <c r="AI234" i="4"/>
  <c r="AH234" i="4"/>
  <c r="AC234" i="4"/>
  <c r="AB234" i="4"/>
  <c r="AE234" i="4" s="1"/>
  <c r="AF234" i="4" s="1"/>
  <c r="Y234" i="4"/>
  <c r="X234" i="4"/>
  <c r="V234" i="4"/>
  <c r="T234" i="4"/>
  <c r="R234" i="4"/>
  <c r="P234" i="4"/>
  <c r="M234" i="4"/>
  <c r="D234" i="4"/>
  <c r="AR233" i="4"/>
  <c r="AQ233" i="4"/>
  <c r="AO233" i="4"/>
  <c r="AN233" i="4"/>
  <c r="AM233" i="4"/>
  <c r="AK233" i="4"/>
  <c r="AJ233" i="4"/>
  <c r="AI233" i="4"/>
  <c r="AH233" i="4"/>
  <c r="AB233" i="4"/>
  <c r="Y233" i="4"/>
  <c r="X233" i="4"/>
  <c r="AC233" i="4" s="1"/>
  <c r="V233" i="4"/>
  <c r="T233" i="4"/>
  <c r="R233" i="4"/>
  <c r="P233" i="4"/>
  <c r="M233" i="4"/>
  <c r="D233" i="4"/>
  <c r="AR232" i="4"/>
  <c r="AQ232" i="4"/>
  <c r="AO232" i="4"/>
  <c r="AN232" i="4"/>
  <c r="AM232" i="4"/>
  <c r="AK232" i="4"/>
  <c r="AJ232" i="4"/>
  <c r="AI232" i="4"/>
  <c r="AH232" i="4"/>
  <c r="AB232" i="4"/>
  <c r="Y232" i="4"/>
  <c r="X232" i="4"/>
  <c r="AC232" i="4" s="1"/>
  <c r="V232" i="4"/>
  <c r="T232" i="4"/>
  <c r="R232" i="4"/>
  <c r="P232" i="4"/>
  <c r="M232" i="4"/>
  <c r="D232" i="4"/>
  <c r="AY231" i="4"/>
  <c r="AR231" i="4"/>
  <c r="AQ231" i="4"/>
  <c r="AN231" i="4"/>
  <c r="AM231" i="4"/>
  <c r="AK231" i="4"/>
  <c r="AJ231" i="4"/>
  <c r="AI231" i="4"/>
  <c r="AH231" i="4"/>
  <c r="AO231" i="4" s="1"/>
  <c r="AB231" i="4"/>
  <c r="AE231" i="4" s="1"/>
  <c r="AF231" i="4" s="1"/>
  <c r="Y231" i="4"/>
  <c r="X231" i="4"/>
  <c r="AC231" i="4" s="1"/>
  <c r="V231" i="4"/>
  <c r="T231" i="4"/>
  <c r="AX231" i="4" s="1"/>
  <c r="R231" i="4"/>
  <c r="P231" i="4"/>
  <c r="M231" i="4"/>
  <c r="D231" i="4"/>
  <c r="AR230" i="4"/>
  <c r="AQ230" i="4"/>
  <c r="AN230" i="4"/>
  <c r="AM230" i="4"/>
  <c r="AK230" i="4"/>
  <c r="AJ230" i="4"/>
  <c r="AI230" i="4"/>
  <c r="AH230" i="4"/>
  <c r="AO230" i="4" s="1"/>
  <c r="AB230" i="4"/>
  <c r="AE230" i="4" s="1"/>
  <c r="AF230" i="4" s="1"/>
  <c r="Y230" i="4"/>
  <c r="X230" i="4"/>
  <c r="AC230" i="4" s="1"/>
  <c r="V230" i="4"/>
  <c r="T230" i="4"/>
  <c r="R230" i="4"/>
  <c r="P230" i="4"/>
  <c r="M230" i="4"/>
  <c r="D230" i="4"/>
  <c r="AR229" i="4"/>
  <c r="AQ229" i="4"/>
  <c r="AN229" i="4"/>
  <c r="AM229" i="4"/>
  <c r="AK229" i="4"/>
  <c r="AJ229" i="4"/>
  <c r="AI229" i="4"/>
  <c r="AH229" i="4"/>
  <c r="AO229" i="4" s="1"/>
  <c r="AB229" i="4"/>
  <c r="Y229" i="4"/>
  <c r="X229" i="4"/>
  <c r="AC229" i="4" s="1"/>
  <c r="AE229" i="4" s="1"/>
  <c r="AF229" i="4" s="1"/>
  <c r="V229" i="4"/>
  <c r="T229" i="4"/>
  <c r="R229" i="4"/>
  <c r="P229" i="4"/>
  <c r="M229" i="4"/>
  <c r="D229" i="4"/>
  <c r="AR228" i="4"/>
  <c r="AQ228" i="4"/>
  <c r="AO228" i="4"/>
  <c r="AN228" i="4"/>
  <c r="AM228" i="4"/>
  <c r="AK228" i="4"/>
  <c r="AJ228" i="4"/>
  <c r="AI228" i="4"/>
  <c r="AH228" i="4"/>
  <c r="AE228" i="4"/>
  <c r="AF228" i="4" s="1"/>
  <c r="AC228" i="4"/>
  <c r="AB228" i="4"/>
  <c r="Y228" i="4"/>
  <c r="X228" i="4"/>
  <c r="V228" i="4"/>
  <c r="T228" i="4"/>
  <c r="R228" i="4"/>
  <c r="P228" i="4"/>
  <c r="AX228" i="4" s="1"/>
  <c r="AY228" i="4" s="1"/>
  <c r="M228" i="4"/>
  <c r="D228" i="4"/>
  <c r="AR227" i="4"/>
  <c r="AQ227" i="4"/>
  <c r="AO227" i="4"/>
  <c r="AN227" i="4"/>
  <c r="AM227" i="4"/>
  <c r="AK227" i="4"/>
  <c r="AJ227" i="4"/>
  <c r="AI227" i="4"/>
  <c r="AH227" i="4"/>
  <c r="AC227" i="4"/>
  <c r="AB227" i="4"/>
  <c r="AE227" i="4" s="1"/>
  <c r="AF227" i="4" s="1"/>
  <c r="Y227" i="4"/>
  <c r="X227" i="4"/>
  <c r="V227" i="4"/>
  <c r="T227" i="4"/>
  <c r="R227" i="4"/>
  <c r="P227" i="4"/>
  <c r="M227" i="4"/>
  <c r="D227" i="4"/>
  <c r="AR226" i="4"/>
  <c r="AQ226" i="4"/>
  <c r="AO226" i="4"/>
  <c r="AN226" i="4"/>
  <c r="AM226" i="4"/>
  <c r="AK226" i="4"/>
  <c r="AJ226" i="4"/>
  <c r="AI226" i="4"/>
  <c r="AH226" i="4"/>
  <c r="AC226" i="4"/>
  <c r="AE226" i="4" s="1"/>
  <c r="AF226" i="4" s="1"/>
  <c r="AB226" i="4"/>
  <c r="Y226" i="4"/>
  <c r="X226" i="4"/>
  <c r="V226" i="4"/>
  <c r="T226" i="4"/>
  <c r="R226" i="4"/>
  <c r="P226" i="4"/>
  <c r="AX226" i="4" s="1"/>
  <c r="AY226" i="4" s="1"/>
  <c r="M226" i="4"/>
  <c r="D226" i="4"/>
  <c r="AR225" i="4"/>
  <c r="AQ225" i="4"/>
  <c r="AO225" i="4"/>
  <c r="AN225" i="4"/>
  <c r="AM225" i="4"/>
  <c r="AK225" i="4"/>
  <c r="AJ225" i="4"/>
  <c r="AI225" i="4"/>
  <c r="AH225" i="4"/>
  <c r="AB225" i="4"/>
  <c r="Y225" i="4"/>
  <c r="X225" i="4"/>
  <c r="AC225" i="4" s="1"/>
  <c r="V225" i="4"/>
  <c r="T225" i="4"/>
  <c r="R225" i="4"/>
  <c r="P225" i="4"/>
  <c r="M225" i="4"/>
  <c r="D225" i="4"/>
  <c r="AX224" i="4"/>
  <c r="AY224" i="4" s="1"/>
  <c r="AR224" i="4"/>
  <c r="AQ224" i="4"/>
  <c r="AO224" i="4"/>
  <c r="AN224" i="4"/>
  <c r="AM224" i="4"/>
  <c r="AK224" i="4"/>
  <c r="AJ224" i="4"/>
  <c r="AI224" i="4"/>
  <c r="AH224" i="4"/>
  <c r="AB224" i="4"/>
  <c r="Y224" i="4"/>
  <c r="X224" i="4"/>
  <c r="AC224" i="4" s="1"/>
  <c r="V224" i="4"/>
  <c r="T224" i="4"/>
  <c r="R224" i="4"/>
  <c r="P224" i="4"/>
  <c r="M224" i="4"/>
  <c r="D224" i="4"/>
  <c r="AR223" i="4"/>
  <c r="AQ223" i="4"/>
  <c r="AN223" i="4"/>
  <c r="AM223" i="4"/>
  <c r="AK223" i="4"/>
  <c r="AJ223" i="4"/>
  <c r="AI223" i="4"/>
  <c r="AH223" i="4"/>
  <c r="AO223" i="4" s="1"/>
  <c r="AB223" i="4"/>
  <c r="Y223" i="4"/>
  <c r="X223" i="4"/>
  <c r="AC223" i="4" s="1"/>
  <c r="V223" i="4"/>
  <c r="T223" i="4"/>
  <c r="AX223" i="4" s="1"/>
  <c r="AY223" i="4" s="1"/>
  <c r="R223" i="4"/>
  <c r="P223" i="4"/>
  <c r="M223" i="4"/>
  <c r="D223" i="4"/>
  <c r="AR222" i="4"/>
  <c r="AQ222" i="4"/>
  <c r="AN222" i="4"/>
  <c r="AM222" i="4"/>
  <c r="AK222" i="4"/>
  <c r="AJ222" i="4"/>
  <c r="AI222" i="4"/>
  <c r="AH222" i="4"/>
  <c r="AO222" i="4" s="1"/>
  <c r="AF222" i="4"/>
  <c r="AB222" i="4"/>
  <c r="AE222" i="4" s="1"/>
  <c r="Y222" i="4"/>
  <c r="X222" i="4"/>
  <c r="AC222" i="4" s="1"/>
  <c r="V222" i="4"/>
  <c r="T222" i="4"/>
  <c r="R222" i="4"/>
  <c r="P222" i="4"/>
  <c r="M222" i="4"/>
  <c r="D222" i="4"/>
  <c r="AR221" i="4"/>
  <c r="AQ221" i="4"/>
  <c r="AN221" i="4"/>
  <c r="AM221" i="4"/>
  <c r="AK221" i="4"/>
  <c r="AJ221" i="4"/>
  <c r="AI221" i="4"/>
  <c r="AH221" i="4"/>
  <c r="AO221" i="4" s="1"/>
  <c r="AB221" i="4"/>
  <c r="Y221" i="4"/>
  <c r="X221" i="4"/>
  <c r="AC221" i="4" s="1"/>
  <c r="AE221" i="4" s="1"/>
  <c r="AF221" i="4" s="1"/>
  <c r="V221" i="4"/>
  <c r="T221" i="4"/>
  <c r="R221" i="4"/>
  <c r="P221" i="4"/>
  <c r="AX221" i="4" s="1"/>
  <c r="AY221" i="4" s="1"/>
  <c r="M221" i="4"/>
  <c r="D221" i="4"/>
  <c r="AR220" i="4"/>
  <c r="AQ220" i="4"/>
  <c r="AN220" i="4"/>
  <c r="AM220" i="4"/>
  <c r="AK220" i="4"/>
  <c r="AJ220" i="4"/>
  <c r="AI220" i="4"/>
  <c r="AH220" i="4"/>
  <c r="AO220" i="4" s="1"/>
  <c r="AF220" i="4"/>
  <c r="AE220" i="4"/>
  <c r="AC220" i="4"/>
  <c r="AB220" i="4"/>
  <c r="Y220" i="4"/>
  <c r="X220" i="4"/>
  <c r="V220" i="4"/>
  <c r="T220" i="4"/>
  <c r="R220" i="4"/>
  <c r="P220" i="4"/>
  <c r="M220" i="4"/>
  <c r="D220" i="4"/>
  <c r="AR219" i="4"/>
  <c r="AQ219" i="4"/>
  <c r="AO219" i="4"/>
  <c r="AN219" i="4"/>
  <c r="AM219" i="4"/>
  <c r="AK219" i="4"/>
  <c r="AJ219" i="4"/>
  <c r="AI219" i="4"/>
  <c r="AH219" i="4"/>
  <c r="AC219" i="4"/>
  <c r="AB219" i="4"/>
  <c r="AE219" i="4" s="1"/>
  <c r="AF219" i="4" s="1"/>
  <c r="Y219" i="4"/>
  <c r="X219" i="4"/>
  <c r="V219" i="4"/>
  <c r="T219" i="4"/>
  <c r="R219" i="4"/>
  <c r="P219" i="4"/>
  <c r="M219" i="4"/>
  <c r="D219" i="4"/>
  <c r="AR218" i="4"/>
  <c r="AQ218" i="4"/>
  <c r="AO218" i="4"/>
  <c r="AN218" i="4"/>
  <c r="AM218" i="4"/>
  <c r="AK218" i="4"/>
  <c r="AJ218" i="4"/>
  <c r="AI218" i="4"/>
  <c r="AH218" i="4"/>
  <c r="AC218" i="4"/>
  <c r="AB218" i="4"/>
  <c r="AE218" i="4" s="1"/>
  <c r="AF218" i="4" s="1"/>
  <c r="Y218" i="4"/>
  <c r="X218" i="4"/>
  <c r="V218" i="4"/>
  <c r="T218" i="4"/>
  <c r="R218" i="4"/>
  <c r="P218" i="4"/>
  <c r="M218" i="4"/>
  <c r="D218" i="4"/>
  <c r="AR217" i="4"/>
  <c r="AQ217" i="4"/>
  <c r="AO217" i="4"/>
  <c r="AN217" i="4"/>
  <c r="AM217" i="4"/>
  <c r="AK217" i="4"/>
  <c r="AJ217" i="4"/>
  <c r="AI217" i="4"/>
  <c r="AH217" i="4"/>
  <c r="AC217" i="4"/>
  <c r="AB217" i="4"/>
  <c r="AE217" i="4" s="1"/>
  <c r="AF217" i="4" s="1"/>
  <c r="Y217" i="4"/>
  <c r="X217" i="4"/>
  <c r="V217" i="4"/>
  <c r="T217" i="4"/>
  <c r="R217" i="4"/>
  <c r="P217" i="4"/>
  <c r="M217" i="4"/>
  <c r="D217" i="4"/>
  <c r="AR216" i="4"/>
  <c r="AQ216" i="4"/>
  <c r="AO216" i="4"/>
  <c r="AN216" i="4"/>
  <c r="AM216" i="4"/>
  <c r="AK216" i="4"/>
  <c r="AJ216" i="4"/>
  <c r="AI216" i="4"/>
  <c r="AH216" i="4"/>
  <c r="AB216" i="4"/>
  <c r="Y216" i="4"/>
  <c r="X216" i="4"/>
  <c r="V216" i="4"/>
  <c r="T216" i="4"/>
  <c r="R216" i="4"/>
  <c r="P216" i="4"/>
  <c r="M216" i="4"/>
  <c r="D216" i="4"/>
  <c r="AR215" i="4"/>
  <c r="AQ215" i="4"/>
  <c r="AN215" i="4"/>
  <c r="AM215" i="4"/>
  <c r="AK215" i="4"/>
  <c r="AJ215" i="4"/>
  <c r="AI215" i="4"/>
  <c r="AH215" i="4"/>
  <c r="AO215" i="4" s="1"/>
  <c r="AC215" i="4"/>
  <c r="AB215" i="4"/>
  <c r="AE215" i="4" s="1"/>
  <c r="AF215" i="4" s="1"/>
  <c r="Y215" i="4"/>
  <c r="X215" i="4"/>
  <c r="V215" i="4"/>
  <c r="T215" i="4"/>
  <c r="R215" i="4"/>
  <c r="P215" i="4"/>
  <c r="M215" i="4"/>
  <c r="D215" i="4"/>
  <c r="AR214" i="4"/>
  <c r="AQ214" i="4"/>
  <c r="AN214" i="4"/>
  <c r="AM214" i="4"/>
  <c r="AK214" i="4"/>
  <c r="AJ214" i="4"/>
  <c r="AI214" i="4"/>
  <c r="AH214" i="4"/>
  <c r="AO214" i="4" s="1"/>
  <c r="AB214" i="4"/>
  <c r="Y214" i="4"/>
  <c r="X214" i="4"/>
  <c r="AC214" i="4" s="1"/>
  <c r="V214" i="4"/>
  <c r="T214" i="4"/>
  <c r="AX214" i="4" s="1"/>
  <c r="AY214" i="4" s="1"/>
  <c r="R214" i="4"/>
  <c r="P214" i="4"/>
  <c r="M214" i="4"/>
  <c r="D214" i="4"/>
  <c r="AR213" i="4"/>
  <c r="AQ213" i="4"/>
  <c r="AN213" i="4"/>
  <c r="AM213" i="4"/>
  <c r="AK213" i="4"/>
  <c r="AJ213" i="4"/>
  <c r="AI213" i="4"/>
  <c r="AH213" i="4"/>
  <c r="AO213" i="4" s="1"/>
  <c r="AF213" i="4"/>
  <c r="AE213" i="4"/>
  <c r="AB213" i="4"/>
  <c r="Y213" i="4"/>
  <c r="X213" i="4"/>
  <c r="AC213" i="4" s="1"/>
  <c r="V213" i="4"/>
  <c r="T213" i="4"/>
  <c r="R213" i="4"/>
  <c r="P213" i="4"/>
  <c r="M213" i="4"/>
  <c r="D213" i="4"/>
  <c r="AR212" i="4"/>
  <c r="AQ212" i="4"/>
  <c r="AO212" i="4"/>
  <c r="AN212" i="4"/>
  <c r="AM212" i="4"/>
  <c r="AK212" i="4"/>
  <c r="AJ212" i="4"/>
  <c r="AI212" i="4"/>
  <c r="AH212" i="4"/>
  <c r="AE212" i="4"/>
  <c r="AF212" i="4" s="1"/>
  <c r="AC212" i="4"/>
  <c r="AB212" i="4"/>
  <c r="Y212" i="4"/>
  <c r="X212" i="4"/>
  <c r="V212" i="4"/>
  <c r="T212" i="4"/>
  <c r="R212" i="4"/>
  <c r="P212" i="4"/>
  <c r="AX212" i="4" s="1"/>
  <c r="AY212" i="4" s="1"/>
  <c r="M212" i="4"/>
  <c r="D212" i="4"/>
  <c r="AR211" i="4"/>
  <c r="AQ211" i="4"/>
  <c r="AO211" i="4"/>
  <c r="AN211" i="4"/>
  <c r="AM211" i="4"/>
  <c r="AK211" i="4"/>
  <c r="AJ211" i="4"/>
  <c r="AI211" i="4"/>
  <c r="AH211" i="4"/>
  <c r="AC211" i="4"/>
  <c r="AB211" i="4"/>
  <c r="AE211" i="4" s="1"/>
  <c r="AF211" i="4" s="1"/>
  <c r="Y211" i="4"/>
  <c r="X211" i="4"/>
  <c r="V211" i="4"/>
  <c r="T211" i="4"/>
  <c r="R211" i="4"/>
  <c r="P211" i="4"/>
  <c r="M211" i="4"/>
  <c r="D211" i="4"/>
  <c r="AR210" i="4"/>
  <c r="AQ210" i="4"/>
  <c r="AN210" i="4"/>
  <c r="AM210" i="4"/>
  <c r="AK210" i="4"/>
  <c r="AJ210" i="4"/>
  <c r="AI210" i="4"/>
  <c r="AH210" i="4"/>
  <c r="AO210" i="4" s="1"/>
  <c r="AC210" i="4"/>
  <c r="AE210" i="4" s="1"/>
  <c r="AF210" i="4" s="1"/>
  <c r="AB210" i="4"/>
  <c r="Y210" i="4"/>
  <c r="X210" i="4"/>
  <c r="V210" i="4"/>
  <c r="T210" i="4"/>
  <c r="R210" i="4"/>
  <c r="P210" i="4"/>
  <c r="M210" i="4"/>
  <c r="D210" i="4"/>
  <c r="AR209" i="4"/>
  <c r="AQ209" i="4"/>
  <c r="AO209" i="4"/>
  <c r="AN209" i="4"/>
  <c r="AM209" i="4"/>
  <c r="AK209" i="4"/>
  <c r="AJ209" i="4"/>
  <c r="AI209" i="4"/>
  <c r="AH209" i="4"/>
  <c r="AE209" i="4"/>
  <c r="AF209" i="4" s="1"/>
  <c r="AC209" i="4"/>
  <c r="AB209" i="4"/>
  <c r="Y209" i="4"/>
  <c r="X209" i="4"/>
  <c r="V209" i="4"/>
  <c r="T209" i="4"/>
  <c r="R209" i="4"/>
  <c r="P209" i="4"/>
  <c r="AX209" i="4" s="1"/>
  <c r="AY209" i="4" s="1"/>
  <c r="M209" i="4"/>
  <c r="D209" i="4"/>
  <c r="AY208" i="4"/>
  <c r="AX208" i="4"/>
  <c r="AR208" i="4"/>
  <c r="AQ208" i="4"/>
  <c r="AO208" i="4"/>
  <c r="AN208" i="4"/>
  <c r="AM208" i="4"/>
  <c r="AK208" i="4"/>
  <c r="AJ208" i="4"/>
  <c r="AI208" i="4"/>
  <c r="AH208" i="4"/>
  <c r="AF208" i="4"/>
  <c r="AE208" i="4"/>
  <c r="AC208" i="4"/>
  <c r="AB208" i="4"/>
  <c r="Y208" i="4"/>
  <c r="X208" i="4"/>
  <c r="V208" i="4"/>
  <c r="T208" i="4"/>
  <c r="R208" i="4"/>
  <c r="P208" i="4"/>
  <c r="M208" i="4"/>
  <c r="D208" i="4"/>
  <c r="AX207" i="4"/>
  <c r="AY207" i="4" s="1"/>
  <c r="AR207" i="4"/>
  <c r="AQ207" i="4"/>
  <c r="AO207" i="4"/>
  <c r="AN207" i="4"/>
  <c r="AM207" i="4"/>
  <c r="AK207" i="4"/>
  <c r="AJ207" i="4"/>
  <c r="AI207" i="4"/>
  <c r="AH207" i="4"/>
  <c r="AF207" i="4"/>
  <c r="AE207" i="4"/>
  <c r="AC207" i="4"/>
  <c r="AB207" i="4"/>
  <c r="Y207" i="4"/>
  <c r="X207" i="4"/>
  <c r="V207" i="4"/>
  <c r="T207" i="4"/>
  <c r="R207" i="4"/>
  <c r="P207" i="4"/>
  <c r="M207" i="4"/>
  <c r="D207" i="4"/>
  <c r="AR206" i="4"/>
  <c r="AQ206" i="4"/>
  <c r="AN206" i="4"/>
  <c r="AM206" i="4"/>
  <c r="AK206" i="4"/>
  <c r="AJ206" i="4"/>
  <c r="AI206" i="4"/>
  <c r="AH206" i="4"/>
  <c r="AO206" i="4" s="1"/>
  <c r="AF206" i="4"/>
  <c r="AE206" i="4"/>
  <c r="AB206" i="4"/>
  <c r="Y206" i="4"/>
  <c r="X206" i="4"/>
  <c r="AC206" i="4" s="1"/>
  <c r="V206" i="4"/>
  <c r="T206" i="4"/>
  <c r="R206" i="4"/>
  <c r="P206" i="4"/>
  <c r="M206" i="4"/>
  <c r="D206" i="4"/>
  <c r="AR205" i="4"/>
  <c r="AQ205" i="4"/>
  <c r="AN205" i="4"/>
  <c r="AM205" i="4"/>
  <c r="AK205" i="4"/>
  <c r="AJ205" i="4"/>
  <c r="AI205" i="4"/>
  <c r="AH205" i="4"/>
  <c r="AO205" i="4" s="1"/>
  <c r="AB205" i="4"/>
  <c r="Y205" i="4"/>
  <c r="X205" i="4"/>
  <c r="AC205" i="4" s="1"/>
  <c r="AE205" i="4" s="1"/>
  <c r="AF205" i="4" s="1"/>
  <c r="V205" i="4"/>
  <c r="T205" i="4"/>
  <c r="R205" i="4"/>
  <c r="P205" i="4"/>
  <c r="M205" i="4"/>
  <c r="D205" i="4"/>
  <c r="AR204" i="4"/>
  <c r="AQ204" i="4"/>
  <c r="AO204" i="4"/>
  <c r="AN204" i="4"/>
  <c r="AM204" i="4"/>
  <c r="AK204" i="4"/>
  <c r="AJ204" i="4"/>
  <c r="AI204" i="4"/>
  <c r="AH204" i="4"/>
  <c r="AE204" i="4"/>
  <c r="AF204" i="4" s="1"/>
  <c r="AC204" i="4"/>
  <c r="AB204" i="4"/>
  <c r="Y204" i="4"/>
  <c r="X204" i="4"/>
  <c r="V204" i="4"/>
  <c r="T204" i="4"/>
  <c r="R204" i="4"/>
  <c r="P204" i="4"/>
  <c r="AX204" i="4" s="1"/>
  <c r="AY204" i="4" s="1"/>
  <c r="M204" i="4"/>
  <c r="D204" i="4"/>
  <c r="AR203" i="4"/>
  <c r="AQ203" i="4"/>
  <c r="AO203" i="4"/>
  <c r="AN203" i="4"/>
  <c r="AM203" i="4"/>
  <c r="AK203" i="4"/>
  <c r="AJ203" i="4"/>
  <c r="AI203" i="4"/>
  <c r="AH203" i="4"/>
  <c r="AE203" i="4"/>
  <c r="AF203" i="4" s="1"/>
  <c r="AC203" i="4"/>
  <c r="AB203" i="4"/>
  <c r="Y203" i="4"/>
  <c r="X203" i="4"/>
  <c r="V203" i="4"/>
  <c r="T203" i="4"/>
  <c r="R203" i="4"/>
  <c r="P203" i="4"/>
  <c r="AX203" i="4" s="1"/>
  <c r="AY203" i="4" s="1"/>
  <c r="M203" i="4"/>
  <c r="D203" i="4"/>
  <c r="AR202" i="4"/>
  <c r="AQ202" i="4"/>
  <c r="AO202" i="4"/>
  <c r="AN202" i="4"/>
  <c r="AM202" i="4"/>
  <c r="AK202" i="4"/>
  <c r="AJ202" i="4"/>
  <c r="AI202" i="4"/>
  <c r="AH202" i="4"/>
  <c r="AC202" i="4"/>
  <c r="AB202" i="4"/>
  <c r="AE202" i="4" s="1"/>
  <c r="AF202" i="4" s="1"/>
  <c r="Y202" i="4"/>
  <c r="X202" i="4"/>
  <c r="V202" i="4"/>
  <c r="T202" i="4"/>
  <c r="R202" i="4"/>
  <c r="P202" i="4"/>
  <c r="M202" i="4"/>
  <c r="D202" i="4"/>
  <c r="AR201" i="4"/>
  <c r="AQ201" i="4"/>
  <c r="AO201" i="4"/>
  <c r="AN201" i="4"/>
  <c r="AM201" i="4"/>
  <c r="AK201" i="4"/>
  <c r="AJ201" i="4"/>
  <c r="AI201" i="4"/>
  <c r="AH201" i="4"/>
  <c r="AB201" i="4"/>
  <c r="Y201" i="4"/>
  <c r="X201" i="4"/>
  <c r="AC201" i="4" s="1"/>
  <c r="V201" i="4"/>
  <c r="T201" i="4"/>
  <c r="R201" i="4"/>
  <c r="P201" i="4"/>
  <c r="M201" i="4"/>
  <c r="D201" i="4"/>
  <c r="AR200" i="4"/>
  <c r="AQ200" i="4"/>
  <c r="AO200" i="4"/>
  <c r="AN200" i="4"/>
  <c r="AM200" i="4"/>
  <c r="AK200" i="4"/>
  <c r="AJ200" i="4"/>
  <c r="AI200" i="4"/>
  <c r="AH200" i="4"/>
  <c r="AC200" i="4"/>
  <c r="AE200" i="4" s="1"/>
  <c r="AF200" i="4" s="1"/>
  <c r="AB200" i="4"/>
  <c r="Y200" i="4"/>
  <c r="X200" i="4"/>
  <c r="V200" i="4"/>
  <c r="T200" i="4"/>
  <c r="R200" i="4"/>
  <c r="P200" i="4"/>
  <c r="AX200" i="4" s="1"/>
  <c r="AY200" i="4" s="1"/>
  <c r="M200" i="4"/>
  <c r="D200" i="4"/>
  <c r="AR199" i="4"/>
  <c r="AQ199" i="4"/>
  <c r="AN199" i="4"/>
  <c r="AM199" i="4"/>
  <c r="AK199" i="4"/>
  <c r="AJ199" i="4"/>
  <c r="AI199" i="4"/>
  <c r="AH199" i="4"/>
  <c r="AO199" i="4" s="1"/>
  <c r="AB199" i="4"/>
  <c r="Y199" i="4"/>
  <c r="X199" i="4"/>
  <c r="V199" i="4"/>
  <c r="T199" i="4"/>
  <c r="R199" i="4"/>
  <c r="P199" i="4"/>
  <c r="M199" i="4"/>
  <c r="D199" i="4"/>
  <c r="AR198" i="4"/>
  <c r="AQ198" i="4"/>
  <c r="AN198" i="4"/>
  <c r="AM198" i="4"/>
  <c r="AK198" i="4"/>
  <c r="AJ198" i="4"/>
  <c r="AI198" i="4"/>
  <c r="AH198" i="4"/>
  <c r="AO198" i="4" s="1"/>
  <c r="AB198" i="4"/>
  <c r="Y198" i="4"/>
  <c r="X198" i="4"/>
  <c r="AC198" i="4" s="1"/>
  <c r="V198" i="4"/>
  <c r="T198" i="4"/>
  <c r="R198" i="4"/>
  <c r="P198" i="4"/>
  <c r="M198" i="4"/>
  <c r="D198" i="4"/>
  <c r="AR197" i="4"/>
  <c r="AQ197" i="4"/>
  <c r="AO197" i="4"/>
  <c r="AN197" i="4"/>
  <c r="AM197" i="4"/>
  <c r="AK197" i="4"/>
  <c r="AJ197" i="4"/>
  <c r="AI197" i="4"/>
  <c r="AH197" i="4"/>
  <c r="AE197" i="4"/>
  <c r="AF197" i="4" s="1"/>
  <c r="AB197" i="4"/>
  <c r="Y197" i="4"/>
  <c r="X197" i="4"/>
  <c r="AC197" i="4" s="1"/>
  <c r="V197" i="4"/>
  <c r="T197" i="4"/>
  <c r="R197" i="4"/>
  <c r="P197" i="4"/>
  <c r="AX197" i="4" s="1"/>
  <c r="AY197" i="4" s="1"/>
  <c r="M197" i="4"/>
  <c r="D197" i="4"/>
  <c r="AY196" i="4"/>
  <c r="AX196" i="4"/>
  <c r="AR196" i="4"/>
  <c r="AQ196" i="4"/>
  <c r="AO196" i="4"/>
  <c r="AN196" i="4"/>
  <c r="AM196" i="4"/>
  <c r="AK196" i="4"/>
  <c r="AJ196" i="4"/>
  <c r="AI196" i="4"/>
  <c r="AH196" i="4"/>
  <c r="AF196" i="4"/>
  <c r="AE196" i="4"/>
  <c r="AC196" i="4"/>
  <c r="AB196" i="4"/>
  <c r="Y196" i="4"/>
  <c r="X196" i="4"/>
  <c r="V196" i="4"/>
  <c r="T196" i="4"/>
  <c r="R196" i="4"/>
  <c r="P196" i="4"/>
  <c r="M196" i="4"/>
  <c r="D196" i="4"/>
  <c r="AX195" i="4"/>
  <c r="AY195" i="4" s="1"/>
  <c r="AR195" i="4"/>
  <c r="AQ195" i="4"/>
  <c r="AO195" i="4"/>
  <c r="AN195" i="4"/>
  <c r="AM195" i="4"/>
  <c r="AK195" i="4"/>
  <c r="AJ195" i="4"/>
  <c r="AI195" i="4"/>
  <c r="AH195" i="4"/>
  <c r="AF195" i="4"/>
  <c r="AE195" i="4"/>
  <c r="AC195" i="4"/>
  <c r="AB195" i="4"/>
  <c r="Y195" i="4"/>
  <c r="X195" i="4"/>
  <c r="V195" i="4"/>
  <c r="T195" i="4"/>
  <c r="R195" i="4"/>
  <c r="P195" i="4"/>
  <c r="M195" i="4"/>
  <c r="D195" i="4"/>
  <c r="AR194" i="4"/>
  <c r="AQ194" i="4"/>
  <c r="AN194" i="4"/>
  <c r="AM194" i="4"/>
  <c r="AK194" i="4"/>
  <c r="AJ194" i="4"/>
  <c r="AI194" i="4"/>
  <c r="AH194" i="4"/>
  <c r="AO194" i="4" s="1"/>
  <c r="AF194" i="4"/>
  <c r="AE194" i="4"/>
  <c r="AC194" i="4"/>
  <c r="AB194" i="4"/>
  <c r="Y194" i="4"/>
  <c r="X194" i="4"/>
  <c r="V194" i="4"/>
  <c r="T194" i="4"/>
  <c r="AX194" i="4" s="1"/>
  <c r="AY194" i="4" s="1"/>
  <c r="R194" i="4"/>
  <c r="P194" i="4"/>
  <c r="M194" i="4"/>
  <c r="D194" i="4"/>
  <c r="AR193" i="4"/>
  <c r="AQ193" i="4"/>
  <c r="AO193" i="4"/>
  <c r="AN193" i="4"/>
  <c r="AM193" i="4"/>
  <c r="AK193" i="4"/>
  <c r="AJ193" i="4"/>
  <c r="AI193" i="4"/>
  <c r="AH193" i="4"/>
  <c r="AF193" i="4"/>
  <c r="AE193" i="4"/>
  <c r="AC193" i="4"/>
  <c r="AB193" i="4"/>
  <c r="Y193" i="4"/>
  <c r="X193" i="4"/>
  <c r="V193" i="4"/>
  <c r="T193" i="4"/>
  <c r="R193" i="4"/>
  <c r="P193" i="4"/>
  <c r="AX193" i="4" s="1"/>
  <c r="AY193" i="4" s="1"/>
  <c r="M193" i="4"/>
  <c r="D193" i="4"/>
  <c r="AY192" i="4"/>
  <c r="AX192" i="4"/>
  <c r="AR192" i="4"/>
  <c r="AQ192" i="4"/>
  <c r="AO192" i="4"/>
  <c r="AN192" i="4"/>
  <c r="AM192" i="4"/>
  <c r="AK192" i="4"/>
  <c r="AJ192" i="4"/>
  <c r="AI192" i="4"/>
  <c r="AH192" i="4"/>
  <c r="AF192" i="4"/>
  <c r="AE192" i="4"/>
  <c r="AC192" i="4"/>
  <c r="AB192" i="4"/>
  <c r="Y192" i="4"/>
  <c r="X192" i="4"/>
  <c r="V192" i="4"/>
  <c r="T192" i="4"/>
  <c r="R192" i="4"/>
  <c r="P192" i="4"/>
  <c r="M192" i="4"/>
  <c r="D192" i="4"/>
  <c r="AX191" i="4"/>
  <c r="AY191" i="4" s="1"/>
  <c r="AR191" i="4"/>
  <c r="AQ191" i="4"/>
  <c r="AO191" i="4"/>
  <c r="AN191" i="4"/>
  <c r="AM191" i="4"/>
  <c r="AK191" i="4"/>
  <c r="AJ191" i="4"/>
  <c r="AI191" i="4"/>
  <c r="AH191" i="4"/>
  <c r="AF191" i="4"/>
  <c r="AE191" i="4"/>
  <c r="AC191" i="4"/>
  <c r="AB191" i="4"/>
  <c r="Y191" i="4"/>
  <c r="X191" i="4"/>
  <c r="V191" i="4"/>
  <c r="T191" i="4"/>
  <c r="R191" i="4"/>
  <c r="P191" i="4"/>
  <c r="M191" i="4"/>
  <c r="D191" i="4"/>
  <c r="AR190" i="4"/>
  <c r="AQ190" i="4"/>
  <c r="AO190" i="4"/>
  <c r="AN190" i="4"/>
  <c r="AM190" i="4"/>
  <c r="AK190" i="4"/>
  <c r="AJ190" i="4"/>
  <c r="AI190" i="4"/>
  <c r="AH190" i="4"/>
  <c r="AF190" i="4"/>
  <c r="AE190" i="4"/>
  <c r="AC190" i="4"/>
  <c r="AB190" i="4"/>
  <c r="Y190" i="4"/>
  <c r="X190" i="4"/>
  <c r="V190" i="4"/>
  <c r="T190" i="4"/>
  <c r="R190" i="4"/>
  <c r="P190" i="4"/>
  <c r="M190" i="4"/>
  <c r="D190" i="4"/>
  <c r="AR189" i="4"/>
  <c r="AQ189" i="4"/>
  <c r="AN189" i="4"/>
  <c r="AM189" i="4"/>
  <c r="AK189" i="4"/>
  <c r="AJ189" i="4"/>
  <c r="AI189" i="4"/>
  <c r="AH189" i="4"/>
  <c r="AO189" i="4" s="1"/>
  <c r="AB189" i="4"/>
  <c r="Y189" i="4"/>
  <c r="X189" i="4"/>
  <c r="V189" i="4"/>
  <c r="T189" i="4"/>
  <c r="R189" i="4"/>
  <c r="P189" i="4"/>
  <c r="M189" i="4"/>
  <c r="D189" i="4"/>
  <c r="AR188" i="4"/>
  <c r="AQ188" i="4"/>
  <c r="AO188" i="4"/>
  <c r="AN188" i="4"/>
  <c r="AM188" i="4"/>
  <c r="AK188" i="4"/>
  <c r="AJ188" i="4"/>
  <c r="AI188" i="4"/>
  <c r="AH188" i="4"/>
  <c r="AB188" i="4"/>
  <c r="Y188" i="4"/>
  <c r="X188" i="4"/>
  <c r="V188" i="4"/>
  <c r="T188" i="4"/>
  <c r="R188" i="4"/>
  <c r="P188" i="4"/>
  <c r="M188" i="4"/>
  <c r="D188" i="4"/>
  <c r="AR187" i="4"/>
  <c r="AQ187" i="4"/>
  <c r="AN187" i="4"/>
  <c r="AM187" i="4"/>
  <c r="AK187" i="4"/>
  <c r="AJ187" i="4"/>
  <c r="AI187" i="4"/>
  <c r="AH187" i="4"/>
  <c r="AO187" i="4" s="1"/>
  <c r="AB187" i="4"/>
  <c r="Y187" i="4"/>
  <c r="X187" i="4"/>
  <c r="AC187" i="4" s="1"/>
  <c r="AE187" i="4" s="1"/>
  <c r="AF187" i="4" s="1"/>
  <c r="V187" i="4"/>
  <c r="T187" i="4"/>
  <c r="R187" i="4"/>
  <c r="P187" i="4"/>
  <c r="M187" i="4"/>
  <c r="D187" i="4"/>
  <c r="AR186" i="4"/>
  <c r="AQ186" i="4"/>
  <c r="AN186" i="4"/>
  <c r="AM186" i="4"/>
  <c r="AK186" i="4"/>
  <c r="AJ186" i="4"/>
  <c r="AI186" i="4"/>
  <c r="AH186" i="4"/>
  <c r="AO186" i="4" s="1"/>
  <c r="AB186" i="4"/>
  <c r="Y186" i="4"/>
  <c r="X186" i="4"/>
  <c r="AC186" i="4" s="1"/>
  <c r="V186" i="4"/>
  <c r="T186" i="4"/>
  <c r="AX186" i="4" s="1"/>
  <c r="AY186" i="4" s="1"/>
  <c r="R186" i="4"/>
  <c r="P186" i="4"/>
  <c r="M186" i="4"/>
  <c r="D186" i="4"/>
  <c r="AX185" i="4"/>
  <c r="AY185" i="4" s="1"/>
  <c r="AR185" i="4"/>
  <c r="AQ185" i="4"/>
  <c r="AO185" i="4"/>
  <c r="AN185" i="4"/>
  <c r="AM185" i="4"/>
  <c r="AK185" i="4"/>
  <c r="AJ185" i="4"/>
  <c r="AI185" i="4"/>
  <c r="AH185" i="4"/>
  <c r="AF185" i="4"/>
  <c r="AE185" i="4"/>
  <c r="AC185" i="4"/>
  <c r="AB185" i="4"/>
  <c r="Y185" i="4"/>
  <c r="X185" i="4"/>
  <c r="V185" i="4"/>
  <c r="T185" i="4"/>
  <c r="R185" i="4"/>
  <c r="P185" i="4"/>
  <c r="M185" i="4"/>
  <c r="D185" i="4"/>
  <c r="AY184" i="4"/>
  <c r="AX184" i="4"/>
  <c r="AR184" i="4"/>
  <c r="AQ184" i="4"/>
  <c r="AO184" i="4"/>
  <c r="AN184" i="4"/>
  <c r="AM184" i="4"/>
  <c r="AK184" i="4"/>
  <c r="AJ184" i="4"/>
  <c r="AI184" i="4"/>
  <c r="AH184" i="4"/>
  <c r="AF184" i="4"/>
  <c r="AE184" i="4"/>
  <c r="AC184" i="4"/>
  <c r="AB184" i="4"/>
  <c r="Y184" i="4"/>
  <c r="X184" i="4"/>
  <c r="V184" i="4"/>
  <c r="T184" i="4"/>
  <c r="R184" i="4"/>
  <c r="P184" i="4"/>
  <c r="M184" i="4"/>
  <c r="D184" i="4"/>
  <c r="AR183" i="4"/>
  <c r="AQ183" i="4"/>
  <c r="AO183" i="4"/>
  <c r="AN183" i="4"/>
  <c r="AM183" i="4"/>
  <c r="AK183" i="4"/>
  <c r="AJ183" i="4"/>
  <c r="AI183" i="4"/>
  <c r="AH183" i="4"/>
  <c r="AF183" i="4"/>
  <c r="AE183" i="4"/>
  <c r="AC183" i="4"/>
  <c r="AB183" i="4"/>
  <c r="Y183" i="4"/>
  <c r="X183" i="4"/>
  <c r="V183" i="4"/>
  <c r="T183" i="4"/>
  <c r="R183" i="4"/>
  <c r="P183" i="4"/>
  <c r="M183" i="4"/>
  <c r="D183" i="4"/>
  <c r="AR182" i="4"/>
  <c r="AQ182" i="4"/>
  <c r="AO182" i="4"/>
  <c r="AN182" i="4"/>
  <c r="AM182" i="4"/>
  <c r="AK182" i="4"/>
  <c r="AJ182" i="4"/>
  <c r="AI182" i="4"/>
  <c r="AH182" i="4"/>
  <c r="AE182" i="4"/>
  <c r="AF182" i="4" s="1"/>
  <c r="AC182" i="4"/>
  <c r="AB182" i="4"/>
  <c r="Y182" i="4"/>
  <c r="X182" i="4"/>
  <c r="V182" i="4"/>
  <c r="T182" i="4"/>
  <c r="R182" i="4"/>
  <c r="P182" i="4"/>
  <c r="AX182" i="4" s="1"/>
  <c r="AY182" i="4" s="1"/>
  <c r="M182" i="4"/>
  <c r="D182" i="4"/>
  <c r="AR181" i="4"/>
  <c r="AQ181" i="4"/>
  <c r="AN181" i="4"/>
  <c r="AM181" i="4"/>
  <c r="AK181" i="4"/>
  <c r="AJ181" i="4"/>
  <c r="AI181" i="4"/>
  <c r="AH181" i="4"/>
  <c r="AO181" i="4" s="1"/>
  <c r="AB181" i="4"/>
  <c r="Y181" i="4"/>
  <c r="X181" i="4"/>
  <c r="V181" i="4"/>
  <c r="T181" i="4"/>
  <c r="R181" i="4"/>
  <c r="P181" i="4"/>
  <c r="M181" i="4"/>
  <c r="D181" i="4"/>
  <c r="AY180" i="4"/>
  <c r="AX180" i="4"/>
  <c r="AR180" i="4"/>
  <c r="AQ180" i="4"/>
  <c r="AO180" i="4"/>
  <c r="AN180" i="4"/>
  <c r="AM180" i="4"/>
  <c r="AK180" i="4"/>
  <c r="AJ180" i="4"/>
  <c r="AI180" i="4"/>
  <c r="AH180" i="4"/>
  <c r="AB180" i="4"/>
  <c r="Y180" i="4"/>
  <c r="X180" i="4"/>
  <c r="AC180" i="4" s="1"/>
  <c r="V180" i="4"/>
  <c r="T180" i="4"/>
  <c r="R180" i="4"/>
  <c r="P180" i="4"/>
  <c r="M180" i="4"/>
  <c r="D180" i="4"/>
  <c r="AR179" i="4"/>
  <c r="AQ179" i="4"/>
  <c r="AN179" i="4"/>
  <c r="AM179" i="4"/>
  <c r="AK179" i="4"/>
  <c r="AJ179" i="4"/>
  <c r="AI179" i="4"/>
  <c r="AH179" i="4"/>
  <c r="AO179" i="4" s="1"/>
  <c r="AB179" i="4"/>
  <c r="Y179" i="4"/>
  <c r="X179" i="4"/>
  <c r="AC179" i="4" s="1"/>
  <c r="AE179" i="4" s="1"/>
  <c r="AF179" i="4" s="1"/>
  <c r="V179" i="4"/>
  <c r="T179" i="4"/>
  <c r="AX179" i="4" s="1"/>
  <c r="AY179" i="4" s="1"/>
  <c r="R179" i="4"/>
  <c r="P179" i="4"/>
  <c r="M179" i="4"/>
  <c r="D179" i="4"/>
  <c r="AR178" i="4"/>
  <c r="AQ178" i="4"/>
  <c r="AN178" i="4"/>
  <c r="AM178" i="4"/>
  <c r="AK178" i="4"/>
  <c r="AJ178" i="4"/>
  <c r="AI178" i="4"/>
  <c r="AH178" i="4"/>
  <c r="AO178" i="4" s="1"/>
  <c r="AB178" i="4"/>
  <c r="AE178" i="4" s="1"/>
  <c r="AF178" i="4" s="1"/>
  <c r="Y178" i="4"/>
  <c r="X178" i="4"/>
  <c r="AC178" i="4" s="1"/>
  <c r="V178" i="4"/>
  <c r="T178" i="4"/>
  <c r="R178" i="4"/>
  <c r="P178" i="4"/>
  <c r="M178" i="4"/>
  <c r="D178" i="4"/>
  <c r="AR177" i="4"/>
  <c r="AQ177" i="4"/>
  <c r="AO177" i="4"/>
  <c r="AN177" i="4"/>
  <c r="AM177" i="4"/>
  <c r="AK177" i="4"/>
  <c r="AJ177" i="4"/>
  <c r="AI177" i="4"/>
  <c r="AH177" i="4"/>
  <c r="AE177" i="4"/>
  <c r="AF177" i="4" s="1"/>
  <c r="AC177" i="4"/>
  <c r="AB177" i="4"/>
  <c r="Y177" i="4"/>
  <c r="X177" i="4"/>
  <c r="V177" i="4"/>
  <c r="T177" i="4"/>
  <c r="R177" i="4"/>
  <c r="P177" i="4"/>
  <c r="AX177" i="4" s="1"/>
  <c r="AY177" i="4" s="1"/>
  <c r="M177" i="4"/>
  <c r="D177" i="4"/>
  <c r="AR176" i="4"/>
  <c r="AQ176" i="4"/>
  <c r="AN176" i="4"/>
  <c r="AM176" i="4"/>
  <c r="AK176" i="4"/>
  <c r="AJ176" i="4"/>
  <c r="AI176" i="4"/>
  <c r="AH176" i="4"/>
  <c r="AO176" i="4" s="1"/>
  <c r="AF176" i="4"/>
  <c r="AC176" i="4"/>
  <c r="AE176" i="4" s="1"/>
  <c r="AB176" i="4"/>
  <c r="Y176" i="4"/>
  <c r="X176" i="4"/>
  <c r="V176" i="4"/>
  <c r="T176" i="4"/>
  <c r="R176" i="4"/>
  <c r="P176" i="4"/>
  <c r="M176" i="4"/>
  <c r="D176" i="4"/>
  <c r="AR175" i="4"/>
  <c r="AQ175" i="4"/>
  <c r="AO175" i="4"/>
  <c r="AN175" i="4"/>
  <c r="AM175" i="4"/>
  <c r="AK175" i="4"/>
  <c r="AJ175" i="4"/>
  <c r="AI175" i="4"/>
  <c r="AH175" i="4"/>
  <c r="AE175" i="4"/>
  <c r="AF175" i="4" s="1"/>
  <c r="AC175" i="4"/>
  <c r="AB175" i="4"/>
  <c r="Y175" i="4"/>
  <c r="X175" i="4"/>
  <c r="V175" i="4"/>
  <c r="T175" i="4"/>
  <c r="R175" i="4"/>
  <c r="P175" i="4"/>
  <c r="AX175" i="4" s="1"/>
  <c r="AY175" i="4" s="1"/>
  <c r="M175" i="4"/>
  <c r="D175" i="4"/>
  <c r="AR174" i="4"/>
  <c r="AQ174" i="4"/>
  <c r="AO174" i="4"/>
  <c r="AN174" i="4"/>
  <c r="AM174" i="4"/>
  <c r="AK174" i="4"/>
  <c r="AJ174" i="4"/>
  <c r="AI174" i="4"/>
  <c r="AH174" i="4"/>
  <c r="AC174" i="4"/>
  <c r="AB174" i="4"/>
  <c r="AE174" i="4" s="1"/>
  <c r="AF174" i="4" s="1"/>
  <c r="Y174" i="4"/>
  <c r="X174" i="4"/>
  <c r="V174" i="4"/>
  <c r="T174" i="4"/>
  <c r="R174" i="4"/>
  <c r="P174" i="4"/>
  <c r="M174" i="4"/>
  <c r="D174" i="4"/>
  <c r="AR173" i="4"/>
  <c r="AQ173" i="4"/>
  <c r="AO173" i="4"/>
  <c r="AN173" i="4"/>
  <c r="AM173" i="4"/>
  <c r="AK173" i="4"/>
  <c r="AJ173" i="4"/>
  <c r="AI173" i="4"/>
  <c r="AH173" i="4"/>
  <c r="AC173" i="4"/>
  <c r="AB173" i="4"/>
  <c r="AE173" i="4" s="1"/>
  <c r="AF173" i="4" s="1"/>
  <c r="Y173" i="4"/>
  <c r="X173" i="4"/>
  <c r="V173" i="4"/>
  <c r="T173" i="4"/>
  <c r="R173" i="4"/>
  <c r="P173" i="4"/>
  <c r="M173" i="4"/>
  <c r="D173" i="4"/>
  <c r="AR172" i="4"/>
  <c r="AQ172" i="4"/>
  <c r="AO172" i="4"/>
  <c r="AN172" i="4"/>
  <c r="AM172" i="4"/>
  <c r="AK172" i="4"/>
  <c r="AJ172" i="4"/>
  <c r="AI172" i="4"/>
  <c r="AH172" i="4"/>
  <c r="AB172" i="4"/>
  <c r="Y172" i="4"/>
  <c r="X172" i="4"/>
  <c r="V172" i="4"/>
  <c r="T172" i="4"/>
  <c r="R172" i="4"/>
  <c r="P172" i="4"/>
  <c r="M172" i="4"/>
  <c r="D172" i="4"/>
  <c r="AR171" i="4"/>
  <c r="AQ171" i="4"/>
  <c r="AN171" i="4"/>
  <c r="AM171" i="4"/>
  <c r="AK171" i="4"/>
  <c r="AJ171" i="4"/>
  <c r="AI171" i="4"/>
  <c r="AH171" i="4"/>
  <c r="AO171" i="4" s="1"/>
  <c r="AB171" i="4"/>
  <c r="AE171" i="4" s="1"/>
  <c r="AF171" i="4" s="1"/>
  <c r="Y171" i="4"/>
  <c r="X171" i="4"/>
  <c r="AC171" i="4" s="1"/>
  <c r="V171" i="4"/>
  <c r="T171" i="4"/>
  <c r="R171" i="4"/>
  <c r="P171" i="4"/>
  <c r="M171" i="4"/>
  <c r="D171" i="4"/>
  <c r="AR170" i="4"/>
  <c r="AQ170" i="4"/>
  <c r="AN170" i="4"/>
  <c r="AM170" i="4"/>
  <c r="AK170" i="4"/>
  <c r="AJ170" i="4"/>
  <c r="AI170" i="4"/>
  <c r="AH170" i="4"/>
  <c r="AO170" i="4" s="1"/>
  <c r="AF170" i="4"/>
  <c r="AB170" i="4"/>
  <c r="AE170" i="4" s="1"/>
  <c r="Y170" i="4"/>
  <c r="X170" i="4"/>
  <c r="AC170" i="4" s="1"/>
  <c r="V170" i="4"/>
  <c r="T170" i="4"/>
  <c r="AX170" i="4" s="1"/>
  <c r="AY170" i="4" s="1"/>
  <c r="R170" i="4"/>
  <c r="P170" i="4"/>
  <c r="M170" i="4"/>
  <c r="D170" i="4"/>
  <c r="AR169" i="4"/>
  <c r="AQ169" i="4"/>
  <c r="AO169" i="4"/>
  <c r="AN169" i="4"/>
  <c r="AM169" i="4"/>
  <c r="AK169" i="4"/>
  <c r="AJ169" i="4"/>
  <c r="AI169" i="4"/>
  <c r="AH169" i="4"/>
  <c r="AF169" i="4"/>
  <c r="AE169" i="4"/>
  <c r="AB169" i="4"/>
  <c r="Y169" i="4"/>
  <c r="X169" i="4"/>
  <c r="AC169" i="4" s="1"/>
  <c r="V169" i="4"/>
  <c r="T169" i="4"/>
  <c r="R169" i="4"/>
  <c r="P169" i="4"/>
  <c r="AX169" i="4" s="1"/>
  <c r="AY169" i="4" s="1"/>
  <c r="M169" i="4"/>
  <c r="D169" i="4"/>
  <c r="AR168" i="4"/>
  <c r="AQ168" i="4"/>
  <c r="AO168" i="4"/>
  <c r="AN168" i="4"/>
  <c r="AM168" i="4"/>
  <c r="AK168" i="4"/>
  <c r="AJ168" i="4"/>
  <c r="AI168" i="4"/>
  <c r="AH168" i="4"/>
  <c r="AC168" i="4"/>
  <c r="AE168" i="4" s="1"/>
  <c r="AF168" i="4" s="1"/>
  <c r="AB168" i="4"/>
  <c r="Y168" i="4"/>
  <c r="X168" i="4"/>
  <c r="V168" i="4"/>
  <c r="T168" i="4"/>
  <c r="R168" i="4"/>
  <c r="P168" i="4"/>
  <c r="AX168" i="4" s="1"/>
  <c r="AY168" i="4" s="1"/>
  <c r="M168" i="4"/>
  <c r="D168" i="4"/>
  <c r="AR167" i="4"/>
  <c r="AQ167" i="4"/>
  <c r="AO167" i="4"/>
  <c r="AN167" i="4"/>
  <c r="AM167" i="4"/>
  <c r="AK167" i="4"/>
  <c r="AJ167" i="4"/>
  <c r="AI167" i="4"/>
  <c r="AH167" i="4"/>
  <c r="AF167" i="4"/>
  <c r="AE167" i="4"/>
  <c r="AC167" i="4"/>
  <c r="AB167" i="4"/>
  <c r="Y167" i="4"/>
  <c r="X167" i="4"/>
  <c r="V167" i="4"/>
  <c r="T167" i="4"/>
  <c r="R167" i="4"/>
  <c r="P167" i="4"/>
  <c r="AX167" i="4" s="1"/>
  <c r="AY167" i="4" s="1"/>
  <c r="M167" i="4"/>
  <c r="D167" i="4"/>
  <c r="AR166" i="4"/>
  <c r="AQ166" i="4"/>
  <c r="AO166" i="4"/>
  <c r="AN166" i="4"/>
  <c r="AM166" i="4"/>
  <c r="AK166" i="4"/>
  <c r="AJ166" i="4"/>
  <c r="AI166" i="4"/>
  <c r="AH166" i="4"/>
  <c r="AC166" i="4"/>
  <c r="AB166" i="4"/>
  <c r="AE166" i="4" s="1"/>
  <c r="AF166" i="4" s="1"/>
  <c r="Y166" i="4"/>
  <c r="X166" i="4"/>
  <c r="V166" i="4"/>
  <c r="T166" i="4"/>
  <c r="R166" i="4"/>
  <c r="P166" i="4"/>
  <c r="M166" i="4"/>
  <c r="D166" i="4"/>
  <c r="AR165" i="4"/>
  <c r="AQ165" i="4"/>
  <c r="AO165" i="4"/>
  <c r="AN165" i="4"/>
  <c r="AM165" i="4"/>
  <c r="AK165" i="4"/>
  <c r="AJ165" i="4"/>
  <c r="AI165" i="4"/>
  <c r="AH165" i="4"/>
  <c r="AB165" i="4"/>
  <c r="Y165" i="4"/>
  <c r="X165" i="4"/>
  <c r="AC165" i="4" s="1"/>
  <c r="V165" i="4"/>
  <c r="T165" i="4"/>
  <c r="R165" i="4"/>
  <c r="P165" i="4"/>
  <c r="AX165" i="4" s="1"/>
  <c r="AY165" i="4" s="1"/>
  <c r="M165" i="4"/>
  <c r="D165" i="4"/>
  <c r="AR164" i="4"/>
  <c r="AQ164" i="4"/>
  <c r="AO164" i="4"/>
  <c r="AN164" i="4"/>
  <c r="AM164" i="4"/>
  <c r="AK164" i="4"/>
  <c r="AJ164" i="4"/>
  <c r="AI164" i="4"/>
  <c r="AH164" i="4"/>
  <c r="AB164" i="4"/>
  <c r="Y164" i="4"/>
  <c r="X164" i="4"/>
  <c r="V164" i="4"/>
  <c r="T164" i="4"/>
  <c r="R164" i="4"/>
  <c r="P164" i="4"/>
  <c r="M164" i="4"/>
  <c r="D164" i="4"/>
  <c r="AR163" i="4"/>
  <c r="AQ163" i="4"/>
  <c r="AN163" i="4"/>
  <c r="AM163" i="4"/>
  <c r="AK163" i="4"/>
  <c r="AJ163" i="4"/>
  <c r="AI163" i="4"/>
  <c r="AH163" i="4"/>
  <c r="AO163" i="4" s="1"/>
  <c r="AB163" i="4"/>
  <c r="Y163" i="4"/>
  <c r="X163" i="4"/>
  <c r="AC163" i="4" s="1"/>
  <c r="V163" i="4"/>
  <c r="T163" i="4"/>
  <c r="R163" i="4"/>
  <c r="P163" i="4"/>
  <c r="M163" i="4"/>
  <c r="D163" i="4"/>
  <c r="AR162" i="4"/>
  <c r="AQ162" i="4"/>
  <c r="AN162" i="4"/>
  <c r="AM162" i="4"/>
  <c r="AK162" i="4"/>
  <c r="AJ162" i="4"/>
  <c r="AI162" i="4"/>
  <c r="AH162" i="4"/>
  <c r="AO162" i="4" s="1"/>
  <c r="AB162" i="4"/>
  <c r="Y162" i="4"/>
  <c r="X162" i="4"/>
  <c r="V162" i="4"/>
  <c r="T162" i="4"/>
  <c r="R162" i="4"/>
  <c r="P162" i="4"/>
  <c r="M162" i="4"/>
  <c r="D162" i="4"/>
  <c r="AX161" i="4"/>
  <c r="AY161" i="4" s="1"/>
  <c r="AR161" i="4"/>
  <c r="AQ161" i="4"/>
  <c r="AO161" i="4"/>
  <c r="AN161" i="4"/>
  <c r="AM161" i="4"/>
  <c r="AK161" i="4"/>
  <c r="AJ161" i="4"/>
  <c r="AI161" i="4"/>
  <c r="AH161" i="4"/>
  <c r="AF161" i="4"/>
  <c r="AE161" i="4"/>
  <c r="AC161" i="4"/>
  <c r="AB161" i="4"/>
  <c r="Y161" i="4"/>
  <c r="X161" i="4"/>
  <c r="V161" i="4"/>
  <c r="T161" i="4"/>
  <c r="R161" i="4"/>
  <c r="P161" i="4"/>
  <c r="M161" i="4"/>
  <c r="D161" i="4"/>
  <c r="AY160" i="4"/>
  <c r="AX160" i="4"/>
  <c r="AR160" i="4"/>
  <c r="AQ160" i="4"/>
  <c r="AO160" i="4"/>
  <c r="AN160" i="4"/>
  <c r="AM160" i="4"/>
  <c r="AK160" i="4"/>
  <c r="AJ160" i="4"/>
  <c r="AI160" i="4"/>
  <c r="AH160" i="4"/>
  <c r="AF160" i="4"/>
  <c r="AE160" i="4"/>
  <c r="AC160" i="4"/>
  <c r="AB160" i="4"/>
  <c r="Y160" i="4"/>
  <c r="X160" i="4"/>
  <c r="V160" i="4"/>
  <c r="T160" i="4"/>
  <c r="R160" i="4"/>
  <c r="P160" i="4"/>
  <c r="M160" i="4"/>
  <c r="D160" i="4"/>
  <c r="AR159" i="4"/>
  <c r="AQ159" i="4"/>
  <c r="AO159" i="4"/>
  <c r="AN159" i="4"/>
  <c r="AM159" i="4"/>
  <c r="AK159" i="4"/>
  <c r="AJ159" i="4"/>
  <c r="AI159" i="4"/>
  <c r="AH159" i="4"/>
  <c r="AF159" i="4"/>
  <c r="AE159" i="4"/>
  <c r="AC159" i="4"/>
  <c r="AB159" i="4"/>
  <c r="Y159" i="4"/>
  <c r="X159" i="4"/>
  <c r="V159" i="4"/>
  <c r="T159" i="4"/>
  <c r="R159" i="4"/>
  <c r="P159" i="4"/>
  <c r="M159" i="4"/>
  <c r="D159" i="4"/>
  <c r="AR158" i="4"/>
  <c r="AQ158" i="4"/>
  <c r="AO158" i="4"/>
  <c r="AN158" i="4"/>
  <c r="AM158" i="4"/>
  <c r="AK158" i="4"/>
  <c r="AJ158" i="4"/>
  <c r="AI158" i="4"/>
  <c r="AH158" i="4"/>
  <c r="AC158" i="4"/>
  <c r="AB158" i="4"/>
  <c r="AE158" i="4" s="1"/>
  <c r="AF158" i="4" s="1"/>
  <c r="Y158" i="4"/>
  <c r="X158" i="4"/>
  <c r="V158" i="4"/>
  <c r="T158" i="4"/>
  <c r="R158" i="4"/>
  <c r="P158" i="4"/>
  <c r="M158" i="4"/>
  <c r="D158" i="4"/>
  <c r="AR157" i="4"/>
  <c r="AQ157" i="4"/>
  <c r="AO157" i="4"/>
  <c r="AN157" i="4"/>
  <c r="AM157" i="4"/>
  <c r="AK157" i="4"/>
  <c r="AJ157" i="4"/>
  <c r="AI157" i="4"/>
  <c r="AH157" i="4"/>
  <c r="AC157" i="4"/>
  <c r="AB157" i="4"/>
  <c r="AE157" i="4" s="1"/>
  <c r="AF157" i="4" s="1"/>
  <c r="Y157" i="4"/>
  <c r="X157" i="4"/>
  <c r="V157" i="4"/>
  <c r="T157" i="4"/>
  <c r="R157" i="4"/>
  <c r="P157" i="4"/>
  <c r="M157" i="4"/>
  <c r="D157" i="4"/>
  <c r="AR156" i="4"/>
  <c r="AQ156" i="4"/>
  <c r="AO156" i="4"/>
  <c r="AN156" i="4"/>
  <c r="AM156" i="4"/>
  <c r="AK156" i="4"/>
  <c r="AJ156" i="4"/>
  <c r="AI156" i="4"/>
  <c r="AH156" i="4"/>
  <c r="AB156" i="4"/>
  <c r="AE156" i="4" s="1"/>
  <c r="AF156" i="4" s="1"/>
  <c r="Y156" i="4"/>
  <c r="X156" i="4"/>
  <c r="AC156" i="4" s="1"/>
  <c r="V156" i="4"/>
  <c r="T156" i="4"/>
  <c r="R156" i="4"/>
  <c r="P156" i="4"/>
  <c r="M156" i="4"/>
  <c r="D156" i="4"/>
  <c r="AR155" i="4"/>
  <c r="AQ155" i="4"/>
  <c r="AN155" i="4"/>
  <c r="AM155" i="4"/>
  <c r="AK155" i="4"/>
  <c r="AJ155" i="4"/>
  <c r="AI155" i="4"/>
  <c r="AH155" i="4"/>
  <c r="AO155" i="4" s="1"/>
  <c r="AB155" i="4"/>
  <c r="AE155" i="4" s="1"/>
  <c r="AF155" i="4" s="1"/>
  <c r="Y155" i="4"/>
  <c r="X155" i="4"/>
  <c r="AC155" i="4" s="1"/>
  <c r="V155" i="4"/>
  <c r="T155" i="4"/>
  <c r="AX155" i="4" s="1"/>
  <c r="AY155" i="4" s="1"/>
  <c r="R155" i="4"/>
  <c r="P155" i="4"/>
  <c r="M155" i="4"/>
  <c r="D155" i="4"/>
  <c r="AR154" i="4"/>
  <c r="AQ154" i="4"/>
  <c r="AN154" i="4"/>
  <c r="AM154" i="4"/>
  <c r="AK154" i="4"/>
  <c r="AJ154" i="4"/>
  <c r="AI154" i="4"/>
  <c r="AH154" i="4"/>
  <c r="AO154" i="4" s="1"/>
  <c r="AB154" i="4"/>
  <c r="Y154" i="4"/>
  <c r="X154" i="4"/>
  <c r="AC154" i="4" s="1"/>
  <c r="V154" i="4"/>
  <c r="T154" i="4"/>
  <c r="R154" i="4"/>
  <c r="P154" i="4"/>
  <c r="M154" i="4"/>
  <c r="D154" i="4"/>
  <c r="AR153" i="4"/>
  <c r="AQ153" i="4"/>
  <c r="AO153" i="4"/>
  <c r="AN153" i="4"/>
  <c r="AM153" i="4"/>
  <c r="AK153" i="4"/>
  <c r="AJ153" i="4"/>
  <c r="AI153" i="4"/>
  <c r="AH153" i="4"/>
  <c r="AE153" i="4"/>
  <c r="AF153" i="4" s="1"/>
  <c r="AB153" i="4"/>
  <c r="Y153" i="4"/>
  <c r="X153" i="4"/>
  <c r="AC153" i="4" s="1"/>
  <c r="V153" i="4"/>
  <c r="T153" i="4"/>
  <c r="AX153" i="4" s="1"/>
  <c r="AY153" i="4" s="1"/>
  <c r="R153" i="4"/>
  <c r="P153" i="4"/>
  <c r="M153" i="4"/>
  <c r="D153" i="4"/>
  <c r="AR152" i="4"/>
  <c r="AQ152" i="4"/>
  <c r="AN152" i="4"/>
  <c r="AM152" i="4"/>
  <c r="AK152" i="4"/>
  <c r="AJ152" i="4"/>
  <c r="AI152" i="4"/>
  <c r="AH152" i="4"/>
  <c r="AO152" i="4" s="1"/>
  <c r="AE152" i="4"/>
  <c r="AF152" i="4" s="1"/>
  <c r="AC152" i="4"/>
  <c r="AB152" i="4"/>
  <c r="Y152" i="4"/>
  <c r="X152" i="4"/>
  <c r="V152" i="4"/>
  <c r="T152" i="4"/>
  <c r="R152" i="4"/>
  <c r="P152" i="4"/>
  <c r="M152" i="4"/>
  <c r="D152" i="4"/>
  <c r="AX151" i="4"/>
  <c r="AY151" i="4" s="1"/>
  <c r="AR151" i="4"/>
  <c r="AQ151" i="4"/>
  <c r="AO151" i="4"/>
  <c r="AN151" i="4"/>
  <c r="AM151" i="4"/>
  <c r="AK151" i="4"/>
  <c r="AJ151" i="4"/>
  <c r="AI151" i="4"/>
  <c r="AH151" i="4"/>
  <c r="AF151" i="4"/>
  <c r="AE151" i="4"/>
  <c r="AC151" i="4"/>
  <c r="AB151" i="4"/>
  <c r="Y151" i="4"/>
  <c r="X151" i="4"/>
  <c r="V151" i="4"/>
  <c r="T151" i="4"/>
  <c r="R151" i="4"/>
  <c r="P151" i="4"/>
  <c r="M151" i="4"/>
  <c r="D151" i="4"/>
  <c r="AY150" i="4"/>
  <c r="AX150" i="4"/>
  <c r="AR150" i="4"/>
  <c r="AQ150" i="4"/>
  <c r="AO150" i="4"/>
  <c r="AN150" i="4"/>
  <c r="AM150" i="4"/>
  <c r="AK150" i="4"/>
  <c r="AJ150" i="4"/>
  <c r="AI150" i="4"/>
  <c r="AH150" i="4"/>
  <c r="AF150" i="4"/>
  <c r="AE150" i="4"/>
  <c r="AC150" i="4"/>
  <c r="AB150" i="4"/>
  <c r="Y150" i="4"/>
  <c r="X150" i="4"/>
  <c r="V150" i="4"/>
  <c r="T150" i="4"/>
  <c r="R150" i="4"/>
  <c r="P150" i="4"/>
  <c r="M150" i="4"/>
  <c r="D150" i="4"/>
  <c r="AR149" i="4"/>
  <c r="AQ149" i="4"/>
  <c r="AO149" i="4"/>
  <c r="AN149" i="4"/>
  <c r="AM149" i="4"/>
  <c r="AK149" i="4"/>
  <c r="AJ149" i="4"/>
  <c r="AI149" i="4"/>
  <c r="AH149" i="4"/>
  <c r="AF149" i="4"/>
  <c r="AE149" i="4"/>
  <c r="AC149" i="4"/>
  <c r="AB149" i="4"/>
  <c r="Y149" i="4"/>
  <c r="X149" i="4"/>
  <c r="V149" i="4"/>
  <c r="T149" i="4"/>
  <c r="R149" i="4"/>
  <c r="P149" i="4"/>
  <c r="M149" i="4"/>
  <c r="D149" i="4"/>
  <c r="AY148" i="4"/>
  <c r="AX148" i="4"/>
  <c r="AR148" i="4"/>
  <c r="AQ148" i="4"/>
  <c r="AO148" i="4"/>
  <c r="AN148" i="4"/>
  <c r="AM148" i="4"/>
  <c r="AK148" i="4"/>
  <c r="AJ148" i="4"/>
  <c r="AI148" i="4"/>
  <c r="AH148" i="4"/>
  <c r="AF148" i="4"/>
  <c r="AE148" i="4"/>
  <c r="AC148" i="4"/>
  <c r="AB148" i="4"/>
  <c r="Y148" i="4"/>
  <c r="X148" i="4"/>
  <c r="V148" i="4"/>
  <c r="T148" i="4"/>
  <c r="R148" i="4"/>
  <c r="P148" i="4"/>
  <c r="M148" i="4"/>
  <c r="D148" i="4"/>
  <c r="AX147" i="4"/>
  <c r="AY147" i="4" s="1"/>
  <c r="AR147" i="4"/>
  <c r="AQ147" i="4"/>
  <c r="AO147" i="4"/>
  <c r="AN147" i="4"/>
  <c r="AM147" i="4"/>
  <c r="AK147" i="4"/>
  <c r="AJ147" i="4"/>
  <c r="AI147" i="4"/>
  <c r="AH147" i="4"/>
  <c r="AF147" i="4"/>
  <c r="AE147" i="4"/>
  <c r="AC147" i="4"/>
  <c r="AB147" i="4"/>
  <c r="Y147" i="4"/>
  <c r="X147" i="4"/>
  <c r="V147" i="4"/>
  <c r="T147" i="4"/>
  <c r="R147" i="4"/>
  <c r="P147" i="4"/>
  <c r="M147" i="4"/>
  <c r="D147" i="4"/>
  <c r="AR146" i="4"/>
  <c r="AQ146" i="4"/>
  <c r="AN146" i="4"/>
  <c r="AM146" i="4"/>
  <c r="AK146" i="4"/>
  <c r="AJ146" i="4"/>
  <c r="AI146" i="4"/>
  <c r="AH146" i="4"/>
  <c r="AO146" i="4" s="1"/>
  <c r="AF146" i="4"/>
  <c r="AE146" i="4"/>
  <c r="AB146" i="4"/>
  <c r="Y146" i="4"/>
  <c r="X146" i="4"/>
  <c r="AC146" i="4" s="1"/>
  <c r="V146" i="4"/>
  <c r="T146" i="4"/>
  <c r="R146" i="4"/>
  <c r="P146" i="4"/>
  <c r="M146" i="4"/>
  <c r="D146" i="4"/>
  <c r="AR145" i="4"/>
  <c r="AQ145" i="4"/>
  <c r="AO145" i="4"/>
  <c r="AN145" i="4"/>
  <c r="AM145" i="4"/>
  <c r="AK145" i="4"/>
  <c r="AJ145" i="4"/>
  <c r="AI145" i="4"/>
  <c r="AH145" i="4"/>
  <c r="AE145" i="4"/>
  <c r="AF145" i="4" s="1"/>
  <c r="AB145" i="4"/>
  <c r="Y145" i="4"/>
  <c r="X145" i="4"/>
  <c r="AC145" i="4" s="1"/>
  <c r="V145" i="4"/>
  <c r="T145" i="4"/>
  <c r="AX145" i="4" s="1"/>
  <c r="AY145" i="4" s="1"/>
  <c r="R145" i="4"/>
  <c r="P145" i="4"/>
  <c r="M145" i="4"/>
  <c r="D145" i="4"/>
  <c r="AR144" i="4"/>
  <c r="AQ144" i="4"/>
  <c r="AN144" i="4"/>
  <c r="AM144" i="4"/>
  <c r="AK144" i="4"/>
  <c r="AJ144" i="4"/>
  <c r="AI144" i="4"/>
  <c r="AH144" i="4"/>
  <c r="AO144" i="4" s="1"/>
  <c r="AE144" i="4"/>
  <c r="AF144" i="4" s="1"/>
  <c r="AC144" i="4"/>
  <c r="AB144" i="4"/>
  <c r="Y144" i="4"/>
  <c r="X144" i="4"/>
  <c r="V144" i="4"/>
  <c r="T144" i="4"/>
  <c r="R144" i="4"/>
  <c r="P144" i="4"/>
  <c r="M144" i="4"/>
  <c r="D144" i="4"/>
  <c r="AR143" i="4"/>
  <c r="AQ143" i="4"/>
  <c r="AO143" i="4"/>
  <c r="AN143" i="4"/>
  <c r="AM143" i="4"/>
  <c r="AK143" i="4"/>
  <c r="AJ143" i="4"/>
  <c r="AI143" i="4"/>
  <c r="AH143" i="4"/>
  <c r="AC143" i="4"/>
  <c r="AE143" i="4" s="1"/>
  <c r="AF143" i="4" s="1"/>
  <c r="AB143" i="4"/>
  <c r="Y143" i="4"/>
  <c r="X143" i="4"/>
  <c r="V143" i="4"/>
  <c r="T143" i="4"/>
  <c r="R143" i="4"/>
  <c r="P143" i="4"/>
  <c r="AX143" i="4" s="1"/>
  <c r="AY143" i="4" s="1"/>
  <c r="M143" i="4"/>
  <c r="D143" i="4"/>
  <c r="AR142" i="4"/>
  <c r="AQ142" i="4"/>
  <c r="AO142" i="4"/>
  <c r="AN142" i="4"/>
  <c r="AM142" i="4"/>
  <c r="AK142" i="4"/>
  <c r="AJ142" i="4"/>
  <c r="AI142" i="4"/>
  <c r="AH142" i="4"/>
  <c r="AC142" i="4"/>
  <c r="AB142" i="4"/>
  <c r="AE142" i="4" s="1"/>
  <c r="AF142" i="4" s="1"/>
  <c r="Y142" i="4"/>
  <c r="X142" i="4"/>
  <c r="V142" i="4"/>
  <c r="T142" i="4"/>
  <c r="R142" i="4"/>
  <c r="P142" i="4"/>
  <c r="M142" i="4"/>
  <c r="D142" i="4"/>
  <c r="AY141" i="4"/>
  <c r="AX141" i="4"/>
  <c r="AR141" i="4"/>
  <c r="AQ141" i="4"/>
  <c r="AO141" i="4"/>
  <c r="AN141" i="4"/>
  <c r="AM141" i="4"/>
  <c r="AK141" i="4"/>
  <c r="AJ141" i="4"/>
  <c r="AI141" i="4"/>
  <c r="AH141" i="4"/>
  <c r="AF141" i="4"/>
  <c r="AE141" i="4"/>
  <c r="AC141" i="4"/>
  <c r="AB141" i="4"/>
  <c r="Y141" i="4"/>
  <c r="X141" i="4"/>
  <c r="V141" i="4"/>
  <c r="T141" i="4"/>
  <c r="R141" i="4"/>
  <c r="P141" i="4"/>
  <c r="M141" i="4"/>
  <c r="D141" i="4"/>
  <c r="AX140" i="4"/>
  <c r="AY140" i="4" s="1"/>
  <c r="AR140" i="4"/>
  <c r="AQ140" i="4"/>
  <c r="AO140" i="4"/>
  <c r="AN140" i="4"/>
  <c r="AM140" i="4"/>
  <c r="AK140" i="4"/>
  <c r="AJ140" i="4"/>
  <c r="AI140" i="4"/>
  <c r="AH140" i="4"/>
  <c r="AF140" i="4"/>
  <c r="AE140" i="4"/>
  <c r="AC140" i="4"/>
  <c r="AB140" i="4"/>
  <c r="Y140" i="4"/>
  <c r="X140" i="4"/>
  <c r="V140" i="4"/>
  <c r="T140" i="4"/>
  <c r="R140" i="4"/>
  <c r="P140" i="4"/>
  <c r="M140" i="4"/>
  <c r="D140" i="4"/>
  <c r="AR139" i="4"/>
  <c r="AQ139" i="4"/>
  <c r="AN139" i="4"/>
  <c r="AM139" i="4"/>
  <c r="AK139" i="4"/>
  <c r="AJ139" i="4"/>
  <c r="AI139" i="4"/>
  <c r="AH139" i="4"/>
  <c r="AO139" i="4" s="1"/>
  <c r="AF139" i="4"/>
  <c r="AE139" i="4"/>
  <c r="AB139" i="4"/>
  <c r="Y139" i="4"/>
  <c r="X139" i="4"/>
  <c r="AC139" i="4" s="1"/>
  <c r="V139" i="4"/>
  <c r="T139" i="4"/>
  <c r="AX139" i="4" s="1"/>
  <c r="AY139" i="4" s="1"/>
  <c r="R139" i="4"/>
  <c r="P139" i="4"/>
  <c r="M139" i="4"/>
  <c r="D139" i="4"/>
  <c r="AR138" i="4"/>
  <c r="AQ138" i="4"/>
  <c r="AN138" i="4"/>
  <c r="AM138" i="4"/>
  <c r="AK138" i="4"/>
  <c r="AJ138" i="4"/>
  <c r="AI138" i="4"/>
  <c r="AH138" i="4"/>
  <c r="AO138" i="4" s="1"/>
  <c r="AB138" i="4"/>
  <c r="Y138" i="4"/>
  <c r="X138" i="4"/>
  <c r="AC138" i="4" s="1"/>
  <c r="V138" i="4"/>
  <c r="T138" i="4"/>
  <c r="AX138" i="4" s="1"/>
  <c r="AY138" i="4" s="1"/>
  <c r="R138" i="4"/>
  <c r="P138" i="4"/>
  <c r="M138" i="4"/>
  <c r="D138" i="4"/>
  <c r="AR137" i="4"/>
  <c r="AQ137" i="4"/>
  <c r="AN137" i="4"/>
  <c r="AM137" i="4"/>
  <c r="AK137" i="4"/>
  <c r="AJ137" i="4"/>
  <c r="AI137" i="4"/>
  <c r="AH137" i="4"/>
  <c r="AO137" i="4" s="1"/>
  <c r="AE137" i="4"/>
  <c r="AF137" i="4" s="1"/>
  <c r="AB137" i="4"/>
  <c r="Y137" i="4"/>
  <c r="X137" i="4"/>
  <c r="AC137" i="4" s="1"/>
  <c r="V137" i="4"/>
  <c r="T137" i="4"/>
  <c r="R137" i="4"/>
  <c r="P137" i="4"/>
  <c r="M137" i="4"/>
  <c r="D137" i="4"/>
  <c r="AR136" i="4"/>
  <c r="AQ136" i="4"/>
  <c r="AO136" i="4"/>
  <c r="AN136" i="4"/>
  <c r="AM136" i="4"/>
  <c r="AK136" i="4"/>
  <c r="AJ136" i="4"/>
  <c r="AI136" i="4"/>
  <c r="AH136" i="4"/>
  <c r="AB136" i="4"/>
  <c r="Y136" i="4"/>
  <c r="X136" i="4"/>
  <c r="AC136" i="4" s="1"/>
  <c r="AE136" i="4" s="1"/>
  <c r="AF136" i="4" s="1"/>
  <c r="V136" i="4"/>
  <c r="T136" i="4"/>
  <c r="R136" i="4"/>
  <c r="P136" i="4"/>
  <c r="M136" i="4"/>
  <c r="D136" i="4"/>
  <c r="AX135" i="4"/>
  <c r="AY135" i="4" s="1"/>
  <c r="AR135" i="4"/>
  <c r="AQ135" i="4"/>
  <c r="AO135" i="4"/>
  <c r="AN135" i="4"/>
  <c r="AM135" i="4"/>
  <c r="AK135" i="4"/>
  <c r="AJ135" i="4"/>
  <c r="AI135" i="4"/>
  <c r="AH135" i="4"/>
  <c r="AC135" i="4"/>
  <c r="AB135" i="4"/>
  <c r="AE135" i="4" s="1"/>
  <c r="AF135" i="4" s="1"/>
  <c r="Y135" i="4"/>
  <c r="X135" i="4"/>
  <c r="V135" i="4"/>
  <c r="T135" i="4"/>
  <c r="R135" i="4"/>
  <c r="P135" i="4"/>
  <c r="M135" i="4"/>
  <c r="D135" i="4"/>
  <c r="AR134" i="4"/>
  <c r="AQ134" i="4"/>
  <c r="AO134" i="4"/>
  <c r="AN134" i="4"/>
  <c r="AM134" i="4"/>
  <c r="AK134" i="4"/>
  <c r="AJ134" i="4"/>
  <c r="AI134" i="4"/>
  <c r="AH134" i="4"/>
  <c r="AC134" i="4"/>
  <c r="AB134" i="4"/>
  <c r="AE134" i="4" s="1"/>
  <c r="AF134" i="4" s="1"/>
  <c r="Y134" i="4"/>
  <c r="X134" i="4"/>
  <c r="V134" i="4"/>
  <c r="T134" i="4"/>
  <c r="R134" i="4"/>
  <c r="P134" i="4"/>
  <c r="M134" i="4"/>
  <c r="D134" i="4"/>
  <c r="AR133" i="4"/>
  <c r="AQ133" i="4"/>
  <c r="AO133" i="4"/>
  <c r="AN133" i="4"/>
  <c r="AM133" i="4"/>
  <c r="AK133" i="4"/>
  <c r="AJ133" i="4"/>
  <c r="AI133" i="4"/>
  <c r="AH133" i="4"/>
  <c r="AB133" i="4"/>
  <c r="Y133" i="4"/>
  <c r="X133" i="4"/>
  <c r="AC133" i="4" s="1"/>
  <c r="V133" i="4"/>
  <c r="T133" i="4"/>
  <c r="R133" i="4"/>
  <c r="P133" i="4"/>
  <c r="M133" i="4"/>
  <c r="D133" i="4"/>
  <c r="AR132" i="4"/>
  <c r="AQ132" i="4"/>
  <c r="AO132" i="4"/>
  <c r="AN132" i="4"/>
  <c r="AM132" i="4"/>
  <c r="AK132" i="4"/>
  <c r="AJ132" i="4"/>
  <c r="AI132" i="4"/>
  <c r="AH132" i="4"/>
  <c r="AB132" i="4"/>
  <c r="AE132" i="4" s="1"/>
  <c r="AF132" i="4" s="1"/>
  <c r="Y132" i="4"/>
  <c r="X132" i="4"/>
  <c r="AC132" i="4" s="1"/>
  <c r="V132" i="4"/>
  <c r="T132" i="4"/>
  <c r="R132" i="4"/>
  <c r="P132" i="4"/>
  <c r="AX132" i="4" s="1"/>
  <c r="AY132" i="4" s="1"/>
  <c r="M132" i="4"/>
  <c r="D132" i="4"/>
  <c r="AR131" i="4"/>
  <c r="AQ131" i="4"/>
  <c r="AN131" i="4"/>
  <c r="AM131" i="4"/>
  <c r="AK131" i="4"/>
  <c r="AJ131" i="4"/>
  <c r="AI131" i="4"/>
  <c r="AH131" i="4"/>
  <c r="AO131" i="4" s="1"/>
  <c r="AB131" i="4"/>
  <c r="Y131" i="4"/>
  <c r="X131" i="4"/>
  <c r="V131" i="4"/>
  <c r="T131" i="4"/>
  <c r="R131" i="4"/>
  <c r="P131" i="4"/>
  <c r="M131" i="4"/>
  <c r="D131" i="4"/>
  <c r="AR130" i="4"/>
  <c r="AQ130" i="4"/>
  <c r="AN130" i="4"/>
  <c r="AM130" i="4"/>
  <c r="AK130" i="4"/>
  <c r="AJ130" i="4"/>
  <c r="AI130" i="4"/>
  <c r="AH130" i="4"/>
  <c r="AO130" i="4" s="1"/>
  <c r="AB130" i="4"/>
  <c r="Y130" i="4"/>
  <c r="X130" i="4"/>
  <c r="AC130" i="4" s="1"/>
  <c r="V130" i="4"/>
  <c r="T130" i="4"/>
  <c r="R130" i="4"/>
  <c r="P130" i="4"/>
  <c r="M130" i="4"/>
  <c r="D130" i="4"/>
  <c r="AR129" i="4"/>
  <c r="AQ129" i="4"/>
  <c r="AO129" i="4"/>
  <c r="AN129" i="4"/>
  <c r="AM129" i="4"/>
  <c r="AK129" i="4"/>
  <c r="AJ129" i="4"/>
  <c r="AI129" i="4"/>
  <c r="AH129" i="4"/>
  <c r="AE129" i="4"/>
  <c r="AF129" i="4" s="1"/>
  <c r="AB129" i="4"/>
  <c r="Y129" i="4"/>
  <c r="X129" i="4"/>
  <c r="AC129" i="4" s="1"/>
  <c r="V129" i="4"/>
  <c r="T129" i="4"/>
  <c r="R129" i="4"/>
  <c r="P129" i="4"/>
  <c r="AX129" i="4" s="1"/>
  <c r="AY129" i="4" s="1"/>
  <c r="M129" i="4"/>
  <c r="D129" i="4"/>
  <c r="AR128" i="4"/>
  <c r="AQ128" i="4"/>
  <c r="AO128" i="4"/>
  <c r="AN128" i="4"/>
  <c r="AM128" i="4"/>
  <c r="AK128" i="4"/>
  <c r="AJ128" i="4"/>
  <c r="AI128" i="4"/>
  <c r="AH128" i="4"/>
  <c r="AC128" i="4"/>
  <c r="AB128" i="4"/>
  <c r="AE128" i="4" s="1"/>
  <c r="AF128" i="4" s="1"/>
  <c r="Y128" i="4"/>
  <c r="X128" i="4"/>
  <c r="V128" i="4"/>
  <c r="T128" i="4"/>
  <c r="R128" i="4"/>
  <c r="P128" i="4"/>
  <c r="M128" i="4"/>
  <c r="D128" i="4"/>
  <c r="AR127" i="4"/>
  <c r="AQ127" i="4"/>
  <c r="AO127" i="4"/>
  <c r="AN127" i="4"/>
  <c r="AM127" i="4"/>
  <c r="AK127" i="4"/>
  <c r="AJ127" i="4"/>
  <c r="AI127" i="4"/>
  <c r="AH127" i="4"/>
  <c r="AB127" i="4"/>
  <c r="Y127" i="4"/>
  <c r="X127" i="4"/>
  <c r="AC127" i="4" s="1"/>
  <c r="V127" i="4"/>
  <c r="T127" i="4"/>
  <c r="R127" i="4"/>
  <c r="P127" i="4"/>
  <c r="AX127" i="4" s="1"/>
  <c r="AY127" i="4" s="1"/>
  <c r="M127" i="4"/>
  <c r="D127" i="4"/>
  <c r="AR126" i="4"/>
  <c r="AQ126" i="4"/>
  <c r="AN126" i="4"/>
  <c r="AM126" i="4"/>
  <c r="AK126" i="4"/>
  <c r="AJ126" i="4"/>
  <c r="AI126" i="4"/>
  <c r="AH126" i="4"/>
  <c r="AO126" i="4" s="1"/>
  <c r="AB126" i="4"/>
  <c r="Y126" i="4"/>
  <c r="X126" i="4"/>
  <c r="AC126" i="4" s="1"/>
  <c r="V126" i="4"/>
  <c r="T126" i="4"/>
  <c r="R126" i="4"/>
  <c r="P126" i="4"/>
  <c r="M126" i="4"/>
  <c r="D126" i="4"/>
  <c r="AR125" i="4"/>
  <c r="AQ125" i="4"/>
  <c r="AN125" i="4"/>
  <c r="AM125" i="4"/>
  <c r="AK125" i="4"/>
  <c r="AJ125" i="4"/>
  <c r="AI125" i="4"/>
  <c r="AH125" i="4"/>
  <c r="AO125" i="4" s="1"/>
  <c r="AB125" i="4"/>
  <c r="AE125" i="4" s="1"/>
  <c r="AF125" i="4" s="1"/>
  <c r="Y125" i="4"/>
  <c r="X125" i="4"/>
  <c r="AC125" i="4" s="1"/>
  <c r="V125" i="4"/>
  <c r="T125" i="4"/>
  <c r="R125" i="4"/>
  <c r="P125" i="4"/>
  <c r="M125" i="4"/>
  <c r="D125" i="4"/>
  <c r="AR124" i="4"/>
  <c r="AQ124" i="4"/>
  <c r="AN124" i="4"/>
  <c r="AM124" i="4"/>
  <c r="AK124" i="4"/>
  <c r="AJ124" i="4"/>
  <c r="AI124" i="4"/>
  <c r="AH124" i="4"/>
  <c r="AO124" i="4" s="1"/>
  <c r="AC124" i="4"/>
  <c r="AE124" i="4" s="1"/>
  <c r="AF124" i="4" s="1"/>
  <c r="AB124" i="4"/>
  <c r="Y124" i="4"/>
  <c r="X124" i="4"/>
  <c r="V124" i="4"/>
  <c r="T124" i="4"/>
  <c r="AX124" i="4" s="1"/>
  <c r="AY124" i="4" s="1"/>
  <c r="R124" i="4"/>
  <c r="P124" i="4"/>
  <c r="M124" i="4"/>
  <c r="D124" i="4"/>
  <c r="AR123" i="4"/>
  <c r="AQ123" i="4"/>
  <c r="AO123" i="4"/>
  <c r="AN123" i="4"/>
  <c r="AM123" i="4"/>
  <c r="AK123" i="4"/>
  <c r="AJ123" i="4"/>
  <c r="AI123" i="4"/>
  <c r="AH123" i="4"/>
  <c r="AE123" i="4"/>
  <c r="AF123" i="4" s="1"/>
  <c r="AB123" i="4"/>
  <c r="Y123" i="4"/>
  <c r="X123" i="4"/>
  <c r="AC123" i="4" s="1"/>
  <c r="V123" i="4"/>
  <c r="T123" i="4"/>
  <c r="R123" i="4"/>
  <c r="P123" i="4"/>
  <c r="AX123" i="4" s="1"/>
  <c r="AY123" i="4" s="1"/>
  <c r="M123" i="4"/>
  <c r="D123" i="4"/>
  <c r="AR122" i="4"/>
  <c r="AQ122" i="4"/>
  <c r="AO122" i="4"/>
  <c r="AN122" i="4"/>
  <c r="AM122" i="4"/>
  <c r="AK122" i="4"/>
  <c r="AJ122" i="4"/>
  <c r="AI122" i="4"/>
  <c r="AH122" i="4"/>
  <c r="AE122" i="4"/>
  <c r="AF122" i="4" s="1"/>
  <c r="AC122" i="4"/>
  <c r="AB122" i="4"/>
  <c r="Y122" i="4"/>
  <c r="X122" i="4"/>
  <c r="V122" i="4"/>
  <c r="T122" i="4"/>
  <c r="R122" i="4"/>
  <c r="P122" i="4"/>
  <c r="AX122" i="4" s="1"/>
  <c r="AY122" i="4" s="1"/>
  <c r="M122" i="4"/>
  <c r="D122" i="4"/>
  <c r="AR121" i="4"/>
  <c r="AQ121" i="4"/>
  <c r="AO121" i="4"/>
  <c r="AN121" i="4"/>
  <c r="AM121" i="4"/>
  <c r="AK121" i="4"/>
  <c r="AJ121" i="4"/>
  <c r="AI121" i="4"/>
  <c r="AH121" i="4"/>
  <c r="AC121" i="4"/>
  <c r="AE121" i="4" s="1"/>
  <c r="AF121" i="4" s="1"/>
  <c r="AB121" i="4"/>
  <c r="Y121" i="4"/>
  <c r="X121" i="4"/>
  <c r="V121" i="4"/>
  <c r="T121" i="4"/>
  <c r="R121" i="4"/>
  <c r="P121" i="4"/>
  <c r="AX121" i="4" s="1"/>
  <c r="AY121" i="4" s="1"/>
  <c r="M121" i="4"/>
  <c r="D121" i="4"/>
  <c r="AR120" i="4"/>
  <c r="AQ120" i="4"/>
  <c r="AO120" i="4"/>
  <c r="AN120" i="4"/>
  <c r="AM120" i="4"/>
  <c r="AK120" i="4"/>
  <c r="AJ120" i="4"/>
  <c r="AI120" i="4"/>
  <c r="AH120" i="4"/>
  <c r="AC120" i="4"/>
  <c r="AB120" i="4"/>
  <c r="Y120" i="4"/>
  <c r="X120" i="4"/>
  <c r="V120" i="4"/>
  <c r="T120" i="4"/>
  <c r="R120" i="4"/>
  <c r="P120" i="4"/>
  <c r="M120" i="4"/>
  <c r="D120" i="4"/>
  <c r="AR119" i="4"/>
  <c r="AQ119" i="4"/>
  <c r="AO119" i="4"/>
  <c r="AN119" i="4"/>
  <c r="AM119" i="4"/>
  <c r="AK119" i="4"/>
  <c r="AJ119" i="4"/>
  <c r="AI119" i="4"/>
  <c r="AH119" i="4"/>
  <c r="AB119" i="4"/>
  <c r="AE119" i="4" s="1"/>
  <c r="AF119" i="4" s="1"/>
  <c r="Y119" i="4"/>
  <c r="X119" i="4"/>
  <c r="AC119" i="4" s="1"/>
  <c r="V119" i="4"/>
  <c r="T119" i="4"/>
  <c r="R119" i="4"/>
  <c r="P119" i="4"/>
  <c r="M119" i="4"/>
  <c r="D119" i="4"/>
  <c r="AY118" i="4"/>
  <c r="AX118" i="4"/>
  <c r="AR118" i="4"/>
  <c r="AQ118" i="4"/>
  <c r="AN118" i="4"/>
  <c r="AM118" i="4"/>
  <c r="AK118" i="4"/>
  <c r="AJ118" i="4"/>
  <c r="AI118" i="4"/>
  <c r="AH118" i="4"/>
  <c r="AO118" i="4" s="1"/>
  <c r="AB118" i="4"/>
  <c r="Y118" i="4"/>
  <c r="X118" i="4"/>
  <c r="AC118" i="4" s="1"/>
  <c r="V118" i="4"/>
  <c r="T118" i="4"/>
  <c r="R118" i="4"/>
  <c r="P118" i="4"/>
  <c r="M118" i="4"/>
  <c r="D118" i="4"/>
  <c r="AR117" i="4"/>
  <c r="AQ117" i="4"/>
  <c r="AN117" i="4"/>
  <c r="AM117" i="4"/>
  <c r="AK117" i="4"/>
  <c r="AJ117" i="4"/>
  <c r="AI117" i="4"/>
  <c r="AH117" i="4"/>
  <c r="AO117" i="4" s="1"/>
  <c r="AB117" i="4"/>
  <c r="Y117" i="4"/>
  <c r="X117" i="4"/>
  <c r="AC117" i="4" s="1"/>
  <c r="V117" i="4"/>
  <c r="T117" i="4"/>
  <c r="AX117" i="4" s="1"/>
  <c r="AY117" i="4" s="1"/>
  <c r="R117" i="4"/>
  <c r="P117" i="4"/>
  <c r="M117" i="4"/>
  <c r="D117" i="4"/>
  <c r="AR116" i="4"/>
  <c r="AQ116" i="4"/>
  <c r="AN116" i="4"/>
  <c r="AM116" i="4"/>
  <c r="AK116" i="4"/>
  <c r="AJ116" i="4"/>
  <c r="AI116" i="4"/>
  <c r="AH116" i="4"/>
  <c r="AO116" i="4" s="1"/>
  <c r="AC116" i="4"/>
  <c r="AE116" i="4" s="1"/>
  <c r="AF116" i="4" s="1"/>
  <c r="AB116" i="4"/>
  <c r="Y116" i="4"/>
  <c r="X116" i="4"/>
  <c r="V116" i="4"/>
  <c r="T116" i="4"/>
  <c r="R116" i="4"/>
  <c r="P116" i="4"/>
  <c r="M116" i="4"/>
  <c r="D116" i="4"/>
  <c r="AR115" i="4"/>
  <c r="AQ115" i="4"/>
  <c r="AO115" i="4"/>
  <c r="AN115" i="4"/>
  <c r="AM115" i="4"/>
  <c r="AK115" i="4"/>
  <c r="AJ115" i="4"/>
  <c r="AI115" i="4"/>
  <c r="AH115" i="4"/>
  <c r="AB115" i="4"/>
  <c r="Y115" i="4"/>
  <c r="X115" i="4"/>
  <c r="AC115" i="4" s="1"/>
  <c r="AE115" i="4" s="1"/>
  <c r="AF115" i="4" s="1"/>
  <c r="V115" i="4"/>
  <c r="T115" i="4"/>
  <c r="R115" i="4"/>
  <c r="P115" i="4"/>
  <c r="M115" i="4"/>
  <c r="D115" i="4"/>
  <c r="AR114" i="4"/>
  <c r="AQ114" i="4"/>
  <c r="AO114" i="4"/>
  <c r="AN114" i="4"/>
  <c r="AM114" i="4"/>
  <c r="AK114" i="4"/>
  <c r="AJ114" i="4"/>
  <c r="AI114" i="4"/>
  <c r="AH114" i="4"/>
  <c r="AE114" i="4"/>
  <c r="AF114" i="4" s="1"/>
  <c r="AC114" i="4"/>
  <c r="AB114" i="4"/>
  <c r="Y114" i="4"/>
  <c r="X114" i="4"/>
  <c r="V114" i="4"/>
  <c r="T114" i="4"/>
  <c r="R114" i="4"/>
  <c r="P114" i="4"/>
  <c r="AX114" i="4" s="1"/>
  <c r="AY114" i="4" s="1"/>
  <c r="M114" i="4"/>
  <c r="D114" i="4"/>
  <c r="AR113" i="4"/>
  <c r="AQ113" i="4"/>
  <c r="AO113" i="4"/>
  <c r="AN113" i="4"/>
  <c r="AM113" i="4"/>
  <c r="AK113" i="4"/>
  <c r="AJ113" i="4"/>
  <c r="AI113" i="4"/>
  <c r="AH113" i="4"/>
  <c r="AC113" i="4"/>
  <c r="AB113" i="4"/>
  <c r="AE113" i="4" s="1"/>
  <c r="AF113" i="4" s="1"/>
  <c r="Y113" i="4"/>
  <c r="X113" i="4"/>
  <c r="V113" i="4"/>
  <c r="T113" i="4"/>
  <c r="R113" i="4"/>
  <c r="P113" i="4"/>
  <c r="M113" i="4"/>
  <c r="D113" i="4"/>
  <c r="AR112" i="4"/>
  <c r="AQ112" i="4"/>
  <c r="AO112" i="4"/>
  <c r="AN112" i="4"/>
  <c r="AM112" i="4"/>
  <c r="AK112" i="4"/>
  <c r="AJ112" i="4"/>
  <c r="AI112" i="4"/>
  <c r="AH112" i="4"/>
  <c r="AC112" i="4"/>
  <c r="AB112" i="4"/>
  <c r="Y112" i="4"/>
  <c r="X112" i="4"/>
  <c r="V112" i="4"/>
  <c r="T112" i="4"/>
  <c r="R112" i="4"/>
  <c r="P112" i="4"/>
  <c r="AX112" i="4" s="1"/>
  <c r="AY112" i="4" s="1"/>
  <c r="M112" i="4"/>
  <c r="D112" i="4"/>
  <c r="AR111" i="4"/>
  <c r="AQ111" i="4"/>
  <c r="AO111" i="4"/>
  <c r="AN111" i="4"/>
  <c r="AM111" i="4"/>
  <c r="AK111" i="4"/>
  <c r="AJ111" i="4"/>
  <c r="AI111" i="4"/>
  <c r="AH111" i="4"/>
  <c r="AB111" i="4"/>
  <c r="Y111" i="4"/>
  <c r="X111" i="4"/>
  <c r="AC111" i="4" s="1"/>
  <c r="V111" i="4"/>
  <c r="T111" i="4"/>
  <c r="R111" i="4"/>
  <c r="P111" i="4"/>
  <c r="M111" i="4"/>
  <c r="D111" i="4"/>
  <c r="AX110" i="4"/>
  <c r="AY110" i="4" s="1"/>
  <c r="AR110" i="4"/>
  <c r="AQ110" i="4"/>
  <c r="AN110" i="4"/>
  <c r="AM110" i="4"/>
  <c r="AK110" i="4"/>
  <c r="AJ110" i="4"/>
  <c r="AI110" i="4"/>
  <c r="AH110" i="4"/>
  <c r="AO110" i="4" s="1"/>
  <c r="AB110" i="4"/>
  <c r="AE110" i="4" s="1"/>
  <c r="AF110" i="4" s="1"/>
  <c r="Y110" i="4"/>
  <c r="X110" i="4"/>
  <c r="AC110" i="4" s="1"/>
  <c r="V110" i="4"/>
  <c r="T110" i="4"/>
  <c r="R110" i="4"/>
  <c r="P110" i="4"/>
  <c r="M110" i="4"/>
  <c r="D110" i="4"/>
  <c r="AR109" i="4"/>
  <c r="AQ109" i="4"/>
  <c r="AN109" i="4"/>
  <c r="AM109" i="4"/>
  <c r="AK109" i="4"/>
  <c r="AJ109" i="4"/>
  <c r="AI109" i="4"/>
  <c r="AH109" i="4"/>
  <c r="AO109" i="4" s="1"/>
  <c r="AB109" i="4"/>
  <c r="Y109" i="4"/>
  <c r="X109" i="4"/>
  <c r="AC109" i="4" s="1"/>
  <c r="V109" i="4"/>
  <c r="T109" i="4"/>
  <c r="AX109" i="4" s="1"/>
  <c r="AY109" i="4" s="1"/>
  <c r="R109" i="4"/>
  <c r="P109" i="4"/>
  <c r="M109" i="4"/>
  <c r="D109" i="4"/>
  <c r="AR108" i="4"/>
  <c r="AQ108" i="4"/>
  <c r="AN108" i="4"/>
  <c r="AM108" i="4"/>
  <c r="AK108" i="4"/>
  <c r="AJ108" i="4"/>
  <c r="AI108" i="4"/>
  <c r="AH108" i="4"/>
  <c r="AO108" i="4" s="1"/>
  <c r="AB108" i="4"/>
  <c r="Y108" i="4"/>
  <c r="X108" i="4"/>
  <c r="AC108" i="4" s="1"/>
  <c r="AE108" i="4" s="1"/>
  <c r="AF108" i="4" s="1"/>
  <c r="V108" i="4"/>
  <c r="T108" i="4"/>
  <c r="AX108" i="4" s="1"/>
  <c r="AY108" i="4" s="1"/>
  <c r="R108" i="4"/>
  <c r="P108" i="4"/>
  <c r="M108" i="4"/>
  <c r="D108" i="4"/>
  <c r="AR107" i="4"/>
  <c r="AQ107" i="4"/>
  <c r="AO107" i="4"/>
  <c r="AN107" i="4"/>
  <c r="AM107" i="4"/>
  <c r="AK107" i="4"/>
  <c r="AJ107" i="4"/>
  <c r="AI107" i="4"/>
  <c r="AH107" i="4"/>
  <c r="AE107" i="4"/>
  <c r="AF107" i="4" s="1"/>
  <c r="AB107" i="4"/>
  <c r="Y107" i="4"/>
  <c r="X107" i="4"/>
  <c r="AC107" i="4" s="1"/>
  <c r="V107" i="4"/>
  <c r="T107" i="4"/>
  <c r="R107" i="4"/>
  <c r="P107" i="4"/>
  <c r="AX107" i="4" s="1"/>
  <c r="AY107" i="4" s="1"/>
  <c r="M107" i="4"/>
  <c r="D107" i="4"/>
  <c r="AR106" i="4"/>
  <c r="AQ106" i="4"/>
  <c r="AO106" i="4"/>
  <c r="AN106" i="4"/>
  <c r="AM106" i="4"/>
  <c r="AK106" i="4"/>
  <c r="AJ106" i="4"/>
  <c r="AI106" i="4"/>
  <c r="AH106" i="4"/>
  <c r="AC106" i="4"/>
  <c r="AE106" i="4" s="1"/>
  <c r="AF106" i="4" s="1"/>
  <c r="AB106" i="4"/>
  <c r="Y106" i="4"/>
  <c r="X106" i="4"/>
  <c r="V106" i="4"/>
  <c r="T106" i="4"/>
  <c r="R106" i="4"/>
  <c r="P106" i="4"/>
  <c r="AX106" i="4" s="1"/>
  <c r="AY106" i="4" s="1"/>
  <c r="M106" i="4"/>
  <c r="D106" i="4"/>
  <c r="AR105" i="4"/>
  <c r="AQ105" i="4"/>
  <c r="AO105" i="4"/>
  <c r="AN105" i="4"/>
  <c r="AM105" i="4"/>
  <c r="AK105" i="4"/>
  <c r="AJ105" i="4"/>
  <c r="AI105" i="4"/>
  <c r="AH105" i="4"/>
  <c r="AE105" i="4"/>
  <c r="AF105" i="4" s="1"/>
  <c r="AC105" i="4"/>
  <c r="AB105" i="4"/>
  <c r="Y105" i="4"/>
  <c r="X105" i="4"/>
  <c r="V105" i="4"/>
  <c r="T105" i="4"/>
  <c r="R105" i="4"/>
  <c r="P105" i="4"/>
  <c r="AX105" i="4" s="1"/>
  <c r="AY105" i="4" s="1"/>
  <c r="M105" i="4"/>
  <c r="D105" i="4"/>
  <c r="AR104" i="4"/>
  <c r="AQ104" i="4"/>
  <c r="AO104" i="4"/>
  <c r="AN104" i="4"/>
  <c r="AM104" i="4"/>
  <c r="AK104" i="4"/>
  <c r="AJ104" i="4"/>
  <c r="AI104" i="4"/>
  <c r="AH104" i="4"/>
  <c r="AC104" i="4"/>
  <c r="AB104" i="4"/>
  <c r="Y104" i="4"/>
  <c r="X104" i="4"/>
  <c r="V104" i="4"/>
  <c r="T104" i="4"/>
  <c r="R104" i="4"/>
  <c r="P104" i="4"/>
  <c r="AX104" i="4" s="1"/>
  <c r="AY104" i="4" s="1"/>
  <c r="M104" i="4"/>
  <c r="D104" i="4"/>
  <c r="AR103" i="4"/>
  <c r="AQ103" i="4"/>
  <c r="AO103" i="4"/>
  <c r="AN103" i="4"/>
  <c r="AM103" i="4"/>
  <c r="AK103" i="4"/>
  <c r="AJ103" i="4"/>
  <c r="AI103" i="4"/>
  <c r="AH103" i="4"/>
  <c r="AB103" i="4"/>
  <c r="AE103" i="4" s="1"/>
  <c r="AF103" i="4" s="1"/>
  <c r="Y103" i="4"/>
  <c r="X103" i="4"/>
  <c r="AC103" i="4" s="1"/>
  <c r="V103" i="4"/>
  <c r="T103" i="4"/>
  <c r="R103" i="4"/>
  <c r="P103" i="4"/>
  <c r="M103" i="4"/>
  <c r="D103" i="4"/>
  <c r="AR102" i="4"/>
  <c r="AQ102" i="4"/>
  <c r="AO102" i="4"/>
  <c r="AN102" i="4"/>
  <c r="AM102" i="4"/>
  <c r="AK102" i="4"/>
  <c r="AJ102" i="4"/>
  <c r="AI102" i="4"/>
  <c r="AH102" i="4"/>
  <c r="AB102" i="4"/>
  <c r="Y102" i="4"/>
  <c r="X102" i="4"/>
  <c r="AC102" i="4" s="1"/>
  <c r="V102" i="4"/>
  <c r="T102" i="4"/>
  <c r="R102" i="4"/>
  <c r="P102" i="4"/>
  <c r="M102" i="4"/>
  <c r="D102" i="4"/>
  <c r="AR101" i="4"/>
  <c r="AQ101" i="4"/>
  <c r="AN101" i="4"/>
  <c r="AM101" i="4"/>
  <c r="AK101" i="4"/>
  <c r="AJ101" i="4"/>
  <c r="AI101" i="4"/>
  <c r="AH101" i="4"/>
  <c r="AO101" i="4" s="1"/>
  <c r="AB101" i="4"/>
  <c r="AE101" i="4" s="1"/>
  <c r="AF101" i="4" s="1"/>
  <c r="Y101" i="4"/>
  <c r="X101" i="4"/>
  <c r="AC101" i="4" s="1"/>
  <c r="V101" i="4"/>
  <c r="T101" i="4"/>
  <c r="R101" i="4"/>
  <c r="P101" i="4"/>
  <c r="M101" i="4"/>
  <c r="D101" i="4"/>
  <c r="AR100" i="4"/>
  <c r="AQ100" i="4"/>
  <c r="AN100" i="4"/>
  <c r="AM100" i="4"/>
  <c r="AK100" i="4"/>
  <c r="AJ100" i="4"/>
  <c r="AI100" i="4"/>
  <c r="AH100" i="4"/>
  <c r="AO100" i="4" s="1"/>
  <c r="AB100" i="4"/>
  <c r="Y100" i="4"/>
  <c r="X100" i="4"/>
  <c r="AC100" i="4" s="1"/>
  <c r="V100" i="4"/>
  <c r="T100" i="4"/>
  <c r="R100" i="4"/>
  <c r="P100" i="4"/>
  <c r="M100" i="4"/>
  <c r="D100" i="4"/>
  <c r="AR99" i="4"/>
  <c r="AQ99" i="4"/>
  <c r="AN99" i="4"/>
  <c r="AM99" i="4"/>
  <c r="AK99" i="4"/>
  <c r="AJ99" i="4"/>
  <c r="AI99" i="4"/>
  <c r="AH99" i="4"/>
  <c r="AO99" i="4" s="1"/>
  <c r="AB99" i="4"/>
  <c r="Y99" i="4"/>
  <c r="X99" i="4"/>
  <c r="AC99" i="4" s="1"/>
  <c r="AE99" i="4" s="1"/>
  <c r="AF99" i="4" s="1"/>
  <c r="V99" i="4"/>
  <c r="T99" i="4"/>
  <c r="R99" i="4"/>
  <c r="P99" i="4"/>
  <c r="M99" i="4"/>
  <c r="D99" i="4"/>
  <c r="AR98" i="4"/>
  <c r="AQ98" i="4"/>
  <c r="AO98" i="4"/>
  <c r="AN98" i="4"/>
  <c r="AM98" i="4"/>
  <c r="AK98" i="4"/>
  <c r="AJ98" i="4"/>
  <c r="AI98" i="4"/>
  <c r="AH98" i="4"/>
  <c r="AF98" i="4"/>
  <c r="AE98" i="4"/>
  <c r="AC98" i="4"/>
  <c r="AB98" i="4"/>
  <c r="Y98" i="4"/>
  <c r="X98" i="4"/>
  <c r="V98" i="4"/>
  <c r="T98" i="4"/>
  <c r="R98" i="4"/>
  <c r="P98" i="4"/>
  <c r="AX98" i="4" s="1"/>
  <c r="AY98" i="4" s="1"/>
  <c r="M98" i="4"/>
  <c r="D98" i="4"/>
  <c r="AR97" i="4"/>
  <c r="AQ97" i="4"/>
  <c r="AO97" i="4"/>
  <c r="AN97" i="4"/>
  <c r="AM97" i="4"/>
  <c r="AK97" i="4"/>
  <c r="AJ97" i="4"/>
  <c r="AI97" i="4"/>
  <c r="AH97" i="4"/>
  <c r="AC97" i="4"/>
  <c r="AB97" i="4"/>
  <c r="AE97" i="4" s="1"/>
  <c r="AF97" i="4" s="1"/>
  <c r="Y97" i="4"/>
  <c r="X97" i="4"/>
  <c r="V97" i="4"/>
  <c r="T97" i="4"/>
  <c r="R97" i="4"/>
  <c r="P97" i="4"/>
  <c r="M97" i="4"/>
  <c r="D97" i="4"/>
  <c r="AR96" i="4"/>
  <c r="AQ96" i="4"/>
  <c r="AO96" i="4"/>
  <c r="AN96" i="4"/>
  <c r="AM96" i="4"/>
  <c r="AK96" i="4"/>
  <c r="AJ96" i="4"/>
  <c r="AI96" i="4"/>
  <c r="AH96" i="4"/>
  <c r="AC96" i="4"/>
  <c r="AB96" i="4"/>
  <c r="Y96" i="4"/>
  <c r="X96" i="4"/>
  <c r="V96" i="4"/>
  <c r="T96" i="4"/>
  <c r="R96" i="4"/>
  <c r="P96" i="4"/>
  <c r="AX96" i="4" s="1"/>
  <c r="AY96" i="4" s="1"/>
  <c r="M96" i="4"/>
  <c r="D96" i="4"/>
  <c r="AR95" i="4"/>
  <c r="AQ95" i="4"/>
  <c r="AO95" i="4"/>
  <c r="AN95" i="4"/>
  <c r="AM95" i="4"/>
  <c r="AK95" i="4"/>
  <c r="AJ95" i="4"/>
  <c r="AI95" i="4"/>
  <c r="AH95" i="4"/>
  <c r="AB95" i="4"/>
  <c r="Y95" i="4"/>
  <c r="X95" i="4"/>
  <c r="AC95" i="4" s="1"/>
  <c r="V95" i="4"/>
  <c r="T95" i="4"/>
  <c r="R95" i="4"/>
  <c r="P95" i="4"/>
  <c r="M95" i="4"/>
  <c r="D95" i="4"/>
  <c r="AX94" i="4"/>
  <c r="AY94" i="4" s="1"/>
  <c r="AR94" i="4"/>
  <c r="AQ94" i="4"/>
  <c r="AO94" i="4"/>
  <c r="AN94" i="4"/>
  <c r="AM94" i="4"/>
  <c r="AK94" i="4"/>
  <c r="AJ94" i="4"/>
  <c r="AI94" i="4"/>
  <c r="AH94" i="4"/>
  <c r="AB94" i="4"/>
  <c r="AE94" i="4" s="1"/>
  <c r="AF94" i="4" s="1"/>
  <c r="Y94" i="4"/>
  <c r="X94" i="4"/>
  <c r="AC94" i="4" s="1"/>
  <c r="V94" i="4"/>
  <c r="T94" i="4"/>
  <c r="R94" i="4"/>
  <c r="P94" i="4"/>
  <c r="M94" i="4"/>
  <c r="D94" i="4"/>
  <c r="AR93" i="4"/>
  <c r="AQ93" i="4"/>
  <c r="AN93" i="4"/>
  <c r="AM93" i="4"/>
  <c r="AK93" i="4"/>
  <c r="AJ93" i="4"/>
  <c r="AI93" i="4"/>
  <c r="AH93" i="4"/>
  <c r="AO93" i="4" s="1"/>
  <c r="AB93" i="4"/>
  <c r="Y93" i="4"/>
  <c r="X93" i="4"/>
  <c r="AC93" i="4" s="1"/>
  <c r="V93" i="4"/>
  <c r="T93" i="4"/>
  <c r="AX93" i="4" s="1"/>
  <c r="AY93" i="4" s="1"/>
  <c r="R93" i="4"/>
  <c r="P93" i="4"/>
  <c r="M93" i="4"/>
  <c r="D93" i="4"/>
  <c r="AX92" i="4"/>
  <c r="AY92" i="4" s="1"/>
  <c r="AR92" i="4"/>
  <c r="AQ92" i="4"/>
  <c r="AO92" i="4"/>
  <c r="AN92" i="4"/>
  <c r="AM92" i="4"/>
  <c r="AK92" i="4"/>
  <c r="AJ92" i="4"/>
  <c r="AI92" i="4"/>
  <c r="AH92" i="4"/>
  <c r="AF92" i="4"/>
  <c r="AE92" i="4"/>
  <c r="AC92" i="4"/>
  <c r="AB92" i="4"/>
  <c r="Y92" i="4"/>
  <c r="X92" i="4"/>
  <c r="V92" i="4"/>
  <c r="T92" i="4"/>
  <c r="R92" i="4"/>
  <c r="P92" i="4"/>
  <c r="M92" i="4"/>
  <c r="D92" i="4"/>
  <c r="AX91" i="4"/>
  <c r="AY91" i="4" s="1"/>
  <c r="AR91" i="4"/>
  <c r="AQ91" i="4"/>
  <c r="AO91" i="4"/>
  <c r="AN91" i="4"/>
  <c r="AM91" i="4"/>
  <c r="AK91" i="4"/>
  <c r="AJ91" i="4"/>
  <c r="AI91" i="4"/>
  <c r="AH91" i="4"/>
  <c r="AF91" i="4"/>
  <c r="AE91" i="4"/>
  <c r="AC91" i="4"/>
  <c r="AB91" i="4"/>
  <c r="Y91" i="4"/>
  <c r="X91" i="4"/>
  <c r="V91" i="4"/>
  <c r="T91" i="4"/>
  <c r="R91" i="4"/>
  <c r="P91" i="4"/>
  <c r="M91" i="4"/>
  <c r="D91" i="4"/>
  <c r="AX90" i="4"/>
  <c r="AY90" i="4" s="1"/>
  <c r="AR90" i="4"/>
  <c r="AQ90" i="4"/>
  <c r="AO90" i="4"/>
  <c r="AN90" i="4"/>
  <c r="AM90" i="4"/>
  <c r="AK90" i="4"/>
  <c r="AJ90" i="4"/>
  <c r="AI90" i="4"/>
  <c r="AH90" i="4"/>
  <c r="AF90" i="4"/>
  <c r="AE90" i="4"/>
  <c r="AC90" i="4"/>
  <c r="AB90" i="4"/>
  <c r="Y90" i="4"/>
  <c r="X90" i="4"/>
  <c r="V90" i="4"/>
  <c r="T90" i="4"/>
  <c r="R90" i="4"/>
  <c r="P90" i="4"/>
  <c r="M90" i="4"/>
  <c r="D90" i="4"/>
  <c r="AY89" i="4"/>
  <c r="AX89" i="4"/>
  <c r="AR89" i="4"/>
  <c r="AQ89" i="4"/>
  <c r="AO89" i="4"/>
  <c r="AN89" i="4"/>
  <c r="AM89" i="4"/>
  <c r="AK89" i="4"/>
  <c r="AJ89" i="4"/>
  <c r="AI89" i="4"/>
  <c r="AH89" i="4"/>
  <c r="AF89" i="4"/>
  <c r="AE89" i="4"/>
  <c r="AC89" i="4"/>
  <c r="AB89" i="4"/>
  <c r="Y89" i="4"/>
  <c r="X89" i="4"/>
  <c r="V89" i="4"/>
  <c r="T89" i="4"/>
  <c r="R89" i="4"/>
  <c r="P89" i="4"/>
  <c r="M89" i="4"/>
  <c r="D89" i="4"/>
  <c r="AX88" i="4"/>
  <c r="AY88" i="4" s="1"/>
  <c r="AR88" i="4"/>
  <c r="AQ88" i="4"/>
  <c r="AO88" i="4"/>
  <c r="AN88" i="4"/>
  <c r="AM88" i="4"/>
  <c r="AK88" i="4"/>
  <c r="AJ88" i="4"/>
  <c r="AI88" i="4"/>
  <c r="AH88" i="4"/>
  <c r="AF88" i="4"/>
  <c r="AE88" i="4"/>
  <c r="AC88" i="4"/>
  <c r="AB88" i="4"/>
  <c r="Y88" i="4"/>
  <c r="X88" i="4"/>
  <c r="V88" i="4"/>
  <c r="T88" i="4"/>
  <c r="R88" i="4"/>
  <c r="P88" i="4"/>
  <c r="M88" i="4"/>
  <c r="D88" i="4"/>
  <c r="AY87" i="4"/>
  <c r="AX87" i="4"/>
  <c r="AR87" i="4"/>
  <c r="AQ87" i="4"/>
  <c r="AO87" i="4"/>
  <c r="AN87" i="4"/>
  <c r="AM87" i="4"/>
  <c r="AK87" i="4"/>
  <c r="AJ87" i="4"/>
  <c r="AI87" i="4"/>
  <c r="AH87" i="4"/>
  <c r="AF87" i="4"/>
  <c r="AE87" i="4"/>
  <c r="AC87" i="4"/>
  <c r="AB87" i="4"/>
  <c r="Y87" i="4"/>
  <c r="X87" i="4"/>
  <c r="V87" i="4"/>
  <c r="T87" i="4"/>
  <c r="R87" i="4"/>
  <c r="P87" i="4"/>
  <c r="M87" i="4"/>
  <c r="D87" i="4"/>
  <c r="AR86" i="4"/>
  <c r="AQ86" i="4"/>
  <c r="AN86" i="4"/>
  <c r="AM86" i="4"/>
  <c r="AK86" i="4"/>
  <c r="AJ86" i="4"/>
  <c r="AI86" i="4"/>
  <c r="AH86" i="4"/>
  <c r="AO86" i="4" s="1"/>
  <c r="AB86" i="4"/>
  <c r="Y86" i="4"/>
  <c r="X86" i="4"/>
  <c r="AC86" i="4" s="1"/>
  <c r="V86" i="4"/>
  <c r="T86" i="4"/>
  <c r="R86" i="4"/>
  <c r="P86" i="4"/>
  <c r="M86" i="4"/>
  <c r="D86" i="4"/>
  <c r="AX85" i="4"/>
  <c r="AY85" i="4" s="1"/>
  <c r="AR85" i="4"/>
  <c r="AQ85" i="4"/>
  <c r="AO85" i="4"/>
  <c r="AN85" i="4"/>
  <c r="AM85" i="4"/>
  <c r="AK85" i="4"/>
  <c r="AJ85" i="4"/>
  <c r="AI85" i="4"/>
  <c r="AH85" i="4"/>
  <c r="AF85" i="4"/>
  <c r="AE85" i="4"/>
  <c r="AC85" i="4"/>
  <c r="AB85" i="4"/>
  <c r="Y85" i="4"/>
  <c r="X85" i="4"/>
  <c r="V85" i="4"/>
  <c r="T85" i="4"/>
  <c r="R85" i="4"/>
  <c r="P85" i="4"/>
  <c r="M85" i="4"/>
  <c r="D85" i="4"/>
  <c r="AX84" i="4"/>
  <c r="AY84" i="4" s="1"/>
  <c r="AR84" i="4"/>
  <c r="AQ84" i="4"/>
  <c r="AO84" i="4"/>
  <c r="AN84" i="4"/>
  <c r="AM84" i="4"/>
  <c r="AK84" i="4"/>
  <c r="AJ84" i="4"/>
  <c r="AI84" i="4"/>
  <c r="AH84" i="4"/>
  <c r="AF84" i="4"/>
  <c r="AE84" i="4"/>
  <c r="AC84" i="4"/>
  <c r="AB84" i="4"/>
  <c r="Y84" i="4"/>
  <c r="X84" i="4"/>
  <c r="V84" i="4"/>
  <c r="T84" i="4"/>
  <c r="R84" i="4"/>
  <c r="P84" i="4"/>
  <c r="M84" i="4"/>
  <c r="D84" i="4"/>
  <c r="AX83" i="4"/>
  <c r="AY83" i="4" s="1"/>
  <c r="AR83" i="4"/>
  <c r="AQ83" i="4"/>
  <c r="AO83" i="4"/>
  <c r="AN83" i="4"/>
  <c r="AM83" i="4"/>
  <c r="AK83" i="4"/>
  <c r="AJ83" i="4"/>
  <c r="AI83" i="4"/>
  <c r="AH83" i="4"/>
  <c r="AF83" i="4"/>
  <c r="AE83" i="4"/>
  <c r="AC83" i="4"/>
  <c r="AB83" i="4"/>
  <c r="Y83" i="4"/>
  <c r="X83" i="4"/>
  <c r="V83" i="4"/>
  <c r="T83" i="4"/>
  <c r="R83" i="4"/>
  <c r="P83" i="4"/>
  <c r="M83" i="4"/>
  <c r="D83" i="4"/>
  <c r="AR82" i="4"/>
  <c r="AQ82" i="4"/>
  <c r="AO82" i="4"/>
  <c r="AN82" i="4"/>
  <c r="AM82" i="4"/>
  <c r="AK82" i="4"/>
  <c r="AJ82" i="4"/>
  <c r="AI82" i="4"/>
  <c r="AH82" i="4"/>
  <c r="AE82" i="4"/>
  <c r="AF82" i="4" s="1"/>
  <c r="AC82" i="4"/>
  <c r="AB82" i="4"/>
  <c r="Y82" i="4"/>
  <c r="X82" i="4"/>
  <c r="V82" i="4"/>
  <c r="T82" i="4"/>
  <c r="R82" i="4"/>
  <c r="P82" i="4"/>
  <c r="AX82" i="4" s="1"/>
  <c r="AY82" i="4" s="1"/>
  <c r="M82" i="4"/>
  <c r="D82" i="4"/>
  <c r="AY81" i="4"/>
  <c r="AX81" i="4"/>
  <c r="AR81" i="4"/>
  <c r="AQ81" i="4"/>
  <c r="AO81" i="4"/>
  <c r="AN81" i="4"/>
  <c r="AM81" i="4"/>
  <c r="AK81" i="4"/>
  <c r="AJ81" i="4"/>
  <c r="AI81" i="4"/>
  <c r="AH81" i="4"/>
  <c r="AF81" i="4"/>
  <c r="AE81" i="4"/>
  <c r="AC81" i="4"/>
  <c r="AB81" i="4"/>
  <c r="Y81" i="4"/>
  <c r="X81" i="4"/>
  <c r="V81" i="4"/>
  <c r="T81" i="4"/>
  <c r="R81" i="4"/>
  <c r="P81" i="4"/>
  <c r="M81" i="4"/>
  <c r="D81" i="4"/>
  <c r="AX80" i="4"/>
  <c r="AY80" i="4" s="1"/>
  <c r="AR80" i="4"/>
  <c r="AQ80" i="4"/>
  <c r="AO80" i="4"/>
  <c r="AN80" i="4"/>
  <c r="AM80" i="4"/>
  <c r="AK80" i="4"/>
  <c r="AJ80" i="4"/>
  <c r="AI80" i="4"/>
  <c r="AH80" i="4"/>
  <c r="AF80" i="4"/>
  <c r="AE80" i="4"/>
  <c r="AC80" i="4"/>
  <c r="AB80" i="4"/>
  <c r="Y80" i="4"/>
  <c r="X80" i="4"/>
  <c r="V80" i="4"/>
  <c r="T80" i="4"/>
  <c r="R80" i="4"/>
  <c r="P80" i="4"/>
  <c r="M80" i="4"/>
  <c r="D80" i="4"/>
  <c r="AR79" i="4"/>
  <c r="AQ79" i="4"/>
  <c r="AO79" i="4"/>
  <c r="AN79" i="4"/>
  <c r="AM79" i="4"/>
  <c r="AK79" i="4"/>
  <c r="AJ79" i="4"/>
  <c r="AI79" i="4"/>
  <c r="AH79" i="4"/>
  <c r="AB79" i="4"/>
  <c r="Y79" i="4"/>
  <c r="X79" i="4"/>
  <c r="AC79" i="4" s="1"/>
  <c r="V79" i="4"/>
  <c r="T79" i="4"/>
  <c r="R79" i="4"/>
  <c r="P79" i="4"/>
  <c r="M79" i="4"/>
  <c r="D79" i="4"/>
  <c r="AX78" i="4"/>
  <c r="AY78" i="4" s="1"/>
  <c r="AR78" i="4"/>
  <c r="AQ78" i="4"/>
  <c r="AO78" i="4"/>
  <c r="AN78" i="4"/>
  <c r="AM78" i="4"/>
  <c r="AK78" i="4"/>
  <c r="AJ78" i="4"/>
  <c r="AI78" i="4"/>
  <c r="AH78" i="4"/>
  <c r="AF78" i="4"/>
  <c r="AE78" i="4"/>
  <c r="AC78" i="4"/>
  <c r="AB78" i="4"/>
  <c r="Y78" i="4"/>
  <c r="X78" i="4"/>
  <c r="V78" i="4"/>
  <c r="T78" i="4"/>
  <c r="R78" i="4"/>
  <c r="P78" i="4"/>
  <c r="M78" i="4"/>
  <c r="D78" i="4"/>
  <c r="AX77" i="4"/>
  <c r="AY77" i="4" s="1"/>
  <c r="AR77" i="4"/>
  <c r="AQ77" i="4"/>
  <c r="AO77" i="4"/>
  <c r="AN77" i="4"/>
  <c r="AM77" i="4"/>
  <c r="AK77" i="4"/>
  <c r="AJ77" i="4"/>
  <c r="AI77" i="4"/>
  <c r="AH77" i="4"/>
  <c r="AF77" i="4"/>
  <c r="AE77" i="4"/>
  <c r="AC77" i="4"/>
  <c r="AB77" i="4"/>
  <c r="Y77" i="4"/>
  <c r="X77" i="4"/>
  <c r="V77" i="4"/>
  <c r="T77" i="4"/>
  <c r="R77" i="4"/>
  <c r="P77" i="4"/>
  <c r="M77" i="4"/>
  <c r="D77" i="4"/>
  <c r="AR76" i="4"/>
  <c r="AQ76" i="4"/>
  <c r="AN76" i="4"/>
  <c r="AM76" i="4"/>
  <c r="AK76" i="4"/>
  <c r="AJ76" i="4"/>
  <c r="AI76" i="4"/>
  <c r="AH76" i="4"/>
  <c r="AO76" i="4" s="1"/>
  <c r="AB76" i="4"/>
  <c r="Y76" i="4"/>
  <c r="X76" i="4"/>
  <c r="AC76" i="4" s="1"/>
  <c r="AE76" i="4" s="1"/>
  <c r="AF76" i="4" s="1"/>
  <c r="V76" i="4"/>
  <c r="T76" i="4"/>
  <c r="R76" i="4"/>
  <c r="P76" i="4"/>
  <c r="M76" i="4"/>
  <c r="D76" i="4"/>
  <c r="AX75" i="4"/>
  <c r="AY75" i="4" s="1"/>
  <c r="AR75" i="4"/>
  <c r="AQ75" i="4"/>
  <c r="AO75" i="4"/>
  <c r="AN75" i="4"/>
  <c r="AM75" i="4"/>
  <c r="AK75" i="4"/>
  <c r="AJ75" i="4"/>
  <c r="AI75" i="4"/>
  <c r="AH75" i="4"/>
  <c r="AF75" i="4"/>
  <c r="AE75" i="4"/>
  <c r="AC75" i="4"/>
  <c r="AB75" i="4"/>
  <c r="Y75" i="4"/>
  <c r="X75" i="4"/>
  <c r="V75" i="4"/>
  <c r="T75" i="4"/>
  <c r="R75" i="4"/>
  <c r="P75" i="4"/>
  <c r="M75" i="4"/>
  <c r="D75" i="4"/>
  <c r="AX74" i="4"/>
  <c r="AY74" i="4" s="1"/>
  <c r="AR74" i="4"/>
  <c r="AQ74" i="4"/>
  <c r="AO74" i="4"/>
  <c r="AN74" i="4"/>
  <c r="AM74" i="4"/>
  <c r="AK74" i="4"/>
  <c r="AJ74" i="4"/>
  <c r="AI74" i="4"/>
  <c r="AH74" i="4"/>
  <c r="AF74" i="4"/>
  <c r="AE74" i="4"/>
  <c r="AC74" i="4"/>
  <c r="AB74" i="4"/>
  <c r="Y74" i="4"/>
  <c r="X74" i="4"/>
  <c r="V74" i="4"/>
  <c r="T74" i="4"/>
  <c r="R74" i="4"/>
  <c r="P74" i="4"/>
  <c r="M74" i="4"/>
  <c r="D74" i="4"/>
  <c r="AR73" i="4"/>
  <c r="AQ73" i="4"/>
  <c r="AO73" i="4"/>
  <c r="AN73" i="4"/>
  <c r="AM73" i="4"/>
  <c r="AK73" i="4"/>
  <c r="AJ73" i="4"/>
  <c r="AI73" i="4"/>
  <c r="AH73" i="4"/>
  <c r="AC73" i="4"/>
  <c r="AB73" i="4"/>
  <c r="AE73" i="4" s="1"/>
  <c r="AF73" i="4" s="1"/>
  <c r="Y73" i="4"/>
  <c r="X73" i="4"/>
  <c r="V73" i="4"/>
  <c r="T73" i="4"/>
  <c r="R73" i="4"/>
  <c r="P73" i="4"/>
  <c r="M73" i="4"/>
  <c r="D73" i="4"/>
  <c r="AX72" i="4"/>
  <c r="AY72" i="4" s="1"/>
  <c r="AR72" i="4"/>
  <c r="AQ72" i="4"/>
  <c r="AO72" i="4"/>
  <c r="AN72" i="4"/>
  <c r="AM72" i="4"/>
  <c r="AK72" i="4"/>
  <c r="AJ72" i="4"/>
  <c r="AI72" i="4"/>
  <c r="AH72" i="4"/>
  <c r="AF72" i="4"/>
  <c r="AE72" i="4"/>
  <c r="AC72" i="4"/>
  <c r="AB72" i="4"/>
  <c r="Y72" i="4"/>
  <c r="X72" i="4"/>
  <c r="V72" i="4"/>
  <c r="T72" i="4"/>
  <c r="R72" i="4"/>
  <c r="P72" i="4"/>
  <c r="M72" i="4"/>
  <c r="D72" i="4"/>
  <c r="AY71" i="4"/>
  <c r="AX71" i="4"/>
  <c r="AR71" i="4"/>
  <c r="AQ71" i="4"/>
  <c r="AO71" i="4"/>
  <c r="AN71" i="4"/>
  <c r="AM71" i="4"/>
  <c r="AK71" i="4"/>
  <c r="AJ71" i="4"/>
  <c r="AI71" i="4"/>
  <c r="AH71" i="4"/>
  <c r="AF71" i="4"/>
  <c r="AE71" i="4"/>
  <c r="AC71" i="4"/>
  <c r="AB71" i="4"/>
  <c r="Y71" i="4"/>
  <c r="X71" i="4"/>
  <c r="V71" i="4"/>
  <c r="T71" i="4"/>
  <c r="R71" i="4"/>
  <c r="P71" i="4"/>
  <c r="M71" i="4"/>
  <c r="D71" i="4"/>
  <c r="AR70" i="4"/>
  <c r="AQ70" i="4"/>
  <c r="AN70" i="4"/>
  <c r="AM70" i="4"/>
  <c r="AK70" i="4"/>
  <c r="AJ70" i="4"/>
  <c r="AI70" i="4"/>
  <c r="AH70" i="4"/>
  <c r="AO70" i="4" s="1"/>
  <c r="AB70" i="4"/>
  <c r="Y70" i="4"/>
  <c r="X70" i="4"/>
  <c r="AC70" i="4" s="1"/>
  <c r="V70" i="4"/>
  <c r="T70" i="4"/>
  <c r="R70" i="4"/>
  <c r="P70" i="4"/>
  <c r="M70" i="4"/>
  <c r="D70" i="4"/>
  <c r="AX69" i="4"/>
  <c r="AY69" i="4" s="1"/>
  <c r="AR69" i="4"/>
  <c r="AQ69" i="4"/>
  <c r="AO69" i="4"/>
  <c r="AN69" i="4"/>
  <c r="AM69" i="4"/>
  <c r="AK69" i="4"/>
  <c r="AJ69" i="4"/>
  <c r="AI69" i="4"/>
  <c r="AH69" i="4"/>
  <c r="AF69" i="4"/>
  <c r="AE69" i="4"/>
  <c r="AC69" i="4"/>
  <c r="AB69" i="4"/>
  <c r="Y69" i="4"/>
  <c r="X69" i="4"/>
  <c r="V69" i="4"/>
  <c r="T69" i="4"/>
  <c r="R69" i="4"/>
  <c r="P69" i="4"/>
  <c r="M69" i="4"/>
  <c r="D69" i="4"/>
  <c r="AX68" i="4"/>
  <c r="AY68" i="4" s="1"/>
  <c r="AR68" i="4"/>
  <c r="AQ68" i="4"/>
  <c r="AO68" i="4"/>
  <c r="AN68" i="4"/>
  <c r="AM68" i="4"/>
  <c r="AK68" i="4"/>
  <c r="AJ68" i="4"/>
  <c r="AI68" i="4"/>
  <c r="AH68" i="4"/>
  <c r="AF68" i="4"/>
  <c r="AE68" i="4"/>
  <c r="AC68" i="4"/>
  <c r="AB68" i="4"/>
  <c r="Y68" i="4"/>
  <c r="X68" i="4"/>
  <c r="V68" i="4"/>
  <c r="T68" i="4"/>
  <c r="R68" i="4"/>
  <c r="P68" i="4"/>
  <c r="M68" i="4"/>
  <c r="D68" i="4"/>
  <c r="AR67" i="4"/>
  <c r="AQ67" i="4"/>
  <c r="AO67" i="4"/>
  <c r="AN67" i="4"/>
  <c r="AM67" i="4"/>
  <c r="AK67" i="4"/>
  <c r="AJ67" i="4"/>
  <c r="AI67" i="4"/>
  <c r="AH67" i="4"/>
  <c r="AE67" i="4"/>
  <c r="AF67" i="4" s="1"/>
  <c r="AB67" i="4"/>
  <c r="Y67" i="4"/>
  <c r="X67" i="4"/>
  <c r="AC67" i="4" s="1"/>
  <c r="V67" i="4"/>
  <c r="T67" i="4"/>
  <c r="R67" i="4"/>
  <c r="P67" i="4"/>
  <c r="M67" i="4"/>
  <c r="D67" i="4"/>
  <c r="AX66" i="4"/>
  <c r="AY66" i="4" s="1"/>
  <c r="AR66" i="4"/>
  <c r="AQ66" i="4"/>
  <c r="AO66" i="4"/>
  <c r="AN66" i="4"/>
  <c r="AM66" i="4"/>
  <c r="AK66" i="4"/>
  <c r="AJ66" i="4"/>
  <c r="AI66" i="4"/>
  <c r="AH66" i="4"/>
  <c r="AF66" i="4"/>
  <c r="AE66" i="4"/>
  <c r="AC66" i="4"/>
  <c r="AB66" i="4"/>
  <c r="Y66" i="4"/>
  <c r="X66" i="4"/>
  <c r="V66" i="4"/>
  <c r="T66" i="4"/>
  <c r="R66" i="4"/>
  <c r="P66" i="4"/>
  <c r="M66" i="4"/>
  <c r="D66" i="4"/>
  <c r="AY65" i="4"/>
  <c r="AX65" i="4"/>
  <c r="AR65" i="4"/>
  <c r="AQ65" i="4"/>
  <c r="AO65" i="4"/>
  <c r="AN65" i="4"/>
  <c r="AM65" i="4"/>
  <c r="AK65" i="4"/>
  <c r="AJ65" i="4"/>
  <c r="AI65" i="4"/>
  <c r="AH65" i="4"/>
  <c r="AF65" i="4"/>
  <c r="AE65" i="4"/>
  <c r="AC65" i="4"/>
  <c r="AB65" i="4"/>
  <c r="Y65" i="4"/>
  <c r="X65" i="4"/>
  <c r="V65" i="4"/>
  <c r="T65" i="4"/>
  <c r="R65" i="4"/>
  <c r="P65" i="4"/>
  <c r="M65" i="4"/>
  <c r="D65" i="4"/>
  <c r="AR64" i="4"/>
  <c r="AQ64" i="4"/>
  <c r="AO64" i="4"/>
  <c r="AN64" i="4"/>
  <c r="AM64" i="4"/>
  <c r="AK64" i="4"/>
  <c r="AJ64" i="4"/>
  <c r="AI64" i="4"/>
  <c r="AH64" i="4"/>
  <c r="AC64" i="4"/>
  <c r="AB64" i="4"/>
  <c r="AE64" i="4" s="1"/>
  <c r="AF64" i="4" s="1"/>
  <c r="Y64" i="4"/>
  <c r="X64" i="4"/>
  <c r="V64" i="4"/>
  <c r="T64" i="4"/>
  <c r="R64" i="4"/>
  <c r="P64" i="4"/>
  <c r="M64" i="4"/>
  <c r="D64" i="4"/>
  <c r="AY63" i="4"/>
  <c r="AX63" i="4"/>
  <c r="AR63" i="4"/>
  <c r="AQ63" i="4"/>
  <c r="AO63" i="4"/>
  <c r="AN63" i="4"/>
  <c r="AM63" i="4"/>
  <c r="AK63" i="4"/>
  <c r="AJ63" i="4"/>
  <c r="AI63" i="4"/>
  <c r="AH63" i="4"/>
  <c r="AF63" i="4"/>
  <c r="AE63" i="4"/>
  <c r="AC63" i="4"/>
  <c r="AB63" i="4"/>
  <c r="Y63" i="4"/>
  <c r="X63" i="4"/>
  <c r="V63" i="4"/>
  <c r="T63" i="4"/>
  <c r="R63" i="4"/>
  <c r="P63" i="4"/>
  <c r="M63" i="4"/>
  <c r="D63" i="4"/>
  <c r="AX62" i="4"/>
  <c r="AY62" i="4" s="1"/>
  <c r="AR62" i="4"/>
  <c r="AQ62" i="4"/>
  <c r="AO62" i="4"/>
  <c r="AN62" i="4"/>
  <c r="AM62" i="4"/>
  <c r="AK62" i="4"/>
  <c r="AJ62" i="4"/>
  <c r="AI62" i="4"/>
  <c r="AH62" i="4"/>
  <c r="AF62" i="4"/>
  <c r="AE62" i="4"/>
  <c r="AC62" i="4"/>
  <c r="AB62" i="4"/>
  <c r="Y62" i="4"/>
  <c r="X62" i="4"/>
  <c r="V62" i="4"/>
  <c r="T62" i="4"/>
  <c r="R62" i="4"/>
  <c r="P62" i="4"/>
  <c r="M62" i="4"/>
  <c r="D62" i="4"/>
  <c r="AX61" i="4"/>
  <c r="AY61" i="4" s="1"/>
  <c r="AR61" i="4"/>
  <c r="AQ61" i="4"/>
  <c r="AO61" i="4"/>
  <c r="AN61" i="4"/>
  <c r="AM61" i="4"/>
  <c r="AK61" i="4"/>
  <c r="AJ61" i="4"/>
  <c r="AI61" i="4"/>
  <c r="AH61" i="4"/>
  <c r="AF61" i="4"/>
  <c r="AE61" i="4"/>
  <c r="AC61" i="4"/>
  <c r="AB61" i="4"/>
  <c r="Y61" i="4"/>
  <c r="X61" i="4"/>
  <c r="V61" i="4"/>
  <c r="T61" i="4"/>
  <c r="R61" i="4"/>
  <c r="P61" i="4"/>
  <c r="M61" i="4"/>
  <c r="D61" i="4"/>
  <c r="AR60" i="4"/>
  <c r="AQ60" i="4"/>
  <c r="AN60" i="4"/>
  <c r="AM60" i="4"/>
  <c r="AK60" i="4"/>
  <c r="AJ60" i="4"/>
  <c r="AI60" i="4"/>
  <c r="AH60" i="4"/>
  <c r="AO60" i="4" s="1"/>
  <c r="AB60" i="4"/>
  <c r="AE60" i="4" s="1"/>
  <c r="AF60" i="4" s="1"/>
  <c r="Y60" i="4"/>
  <c r="X60" i="4"/>
  <c r="AC60" i="4" s="1"/>
  <c r="V60" i="4"/>
  <c r="T60" i="4"/>
  <c r="AX60" i="4" s="1"/>
  <c r="AY60" i="4" s="1"/>
  <c r="R60" i="4"/>
  <c r="P60" i="4"/>
  <c r="M60" i="4"/>
  <c r="D60" i="4"/>
  <c r="AX59" i="4"/>
  <c r="AY59" i="4" s="1"/>
  <c r="AR59" i="4"/>
  <c r="AQ59" i="4"/>
  <c r="AO59" i="4"/>
  <c r="AN59" i="4"/>
  <c r="AM59" i="4"/>
  <c r="AK59" i="4"/>
  <c r="AJ59" i="4"/>
  <c r="AI59" i="4"/>
  <c r="AH59" i="4"/>
  <c r="AF59" i="4"/>
  <c r="AE59" i="4"/>
  <c r="AC59" i="4"/>
  <c r="AB59" i="4"/>
  <c r="Y59" i="4"/>
  <c r="X59" i="4"/>
  <c r="V59" i="4"/>
  <c r="T59" i="4"/>
  <c r="R59" i="4"/>
  <c r="P59" i="4"/>
  <c r="M59" i="4"/>
  <c r="D59" i="4"/>
  <c r="AR58" i="4"/>
  <c r="AQ58" i="4"/>
  <c r="AO58" i="4"/>
  <c r="AN58" i="4"/>
  <c r="AM58" i="4"/>
  <c r="AK58" i="4"/>
  <c r="AJ58" i="4"/>
  <c r="AI58" i="4"/>
  <c r="AH58" i="4"/>
  <c r="AE58" i="4"/>
  <c r="AF58" i="4" s="1"/>
  <c r="AC58" i="4"/>
  <c r="AB58" i="4"/>
  <c r="Y58" i="4"/>
  <c r="X58" i="4"/>
  <c r="V58" i="4"/>
  <c r="T58" i="4"/>
  <c r="R58" i="4"/>
  <c r="P58" i="4"/>
  <c r="AX58" i="4" s="1"/>
  <c r="AY58" i="4" s="1"/>
  <c r="M58" i="4"/>
  <c r="D58" i="4"/>
  <c r="AY57" i="4"/>
  <c r="AX57" i="4"/>
  <c r="AR57" i="4"/>
  <c r="AQ57" i="4"/>
  <c r="AO57" i="4"/>
  <c r="AN57" i="4"/>
  <c r="AM57" i="4"/>
  <c r="AK57" i="4"/>
  <c r="AJ57" i="4"/>
  <c r="AI57" i="4"/>
  <c r="AH57" i="4"/>
  <c r="AF57" i="4"/>
  <c r="AE57" i="4"/>
  <c r="AC57" i="4"/>
  <c r="AB57" i="4"/>
  <c r="Y57" i="4"/>
  <c r="X57" i="4"/>
  <c r="V57" i="4"/>
  <c r="T57" i="4"/>
  <c r="R57" i="4"/>
  <c r="P57" i="4"/>
  <c r="M57" i="4"/>
  <c r="D57" i="4"/>
  <c r="AX56" i="4"/>
  <c r="AY56" i="4" s="1"/>
  <c r="AR56" i="4"/>
  <c r="AQ56" i="4"/>
  <c r="AO56" i="4"/>
  <c r="AN56" i="4"/>
  <c r="AM56" i="4"/>
  <c r="AK56" i="4"/>
  <c r="AJ56" i="4"/>
  <c r="AI56" i="4"/>
  <c r="AH56" i="4"/>
  <c r="AF56" i="4"/>
  <c r="AE56" i="4"/>
  <c r="AC56" i="4"/>
  <c r="AB56" i="4"/>
  <c r="Y56" i="4"/>
  <c r="X56" i="4"/>
  <c r="V56" i="4"/>
  <c r="T56" i="4"/>
  <c r="R56" i="4"/>
  <c r="P56" i="4"/>
  <c r="M56" i="4"/>
  <c r="D56" i="4"/>
  <c r="AR55" i="4"/>
  <c r="AQ55" i="4"/>
  <c r="AO55" i="4"/>
  <c r="AN55" i="4"/>
  <c r="AM55" i="4"/>
  <c r="AK55" i="4"/>
  <c r="AJ55" i="4"/>
  <c r="AI55" i="4"/>
  <c r="AH55" i="4"/>
  <c r="AB55" i="4"/>
  <c r="Y55" i="4"/>
  <c r="X55" i="4"/>
  <c r="AC55" i="4" s="1"/>
  <c r="V55" i="4"/>
  <c r="T55" i="4"/>
  <c r="R55" i="4"/>
  <c r="P55" i="4"/>
  <c r="AX55" i="4" s="1"/>
  <c r="AY55" i="4" s="1"/>
  <c r="M55" i="4"/>
  <c r="D55" i="4"/>
  <c r="AY54" i="4"/>
  <c r="AX54" i="4"/>
  <c r="AR54" i="4"/>
  <c r="AQ54" i="4"/>
  <c r="AO54" i="4"/>
  <c r="AN54" i="4"/>
  <c r="AM54" i="4"/>
  <c r="AK54" i="4"/>
  <c r="AJ54" i="4"/>
  <c r="AI54" i="4"/>
  <c r="AH54" i="4"/>
  <c r="AF54" i="4"/>
  <c r="AE54" i="4"/>
  <c r="AC54" i="4"/>
  <c r="AB54" i="4"/>
  <c r="Y54" i="4"/>
  <c r="X54" i="4"/>
  <c r="V54" i="4"/>
  <c r="T54" i="4"/>
  <c r="R54" i="4"/>
  <c r="P54" i="4"/>
  <c r="M54" i="4"/>
  <c r="D54" i="4"/>
  <c r="AX53" i="4"/>
  <c r="AY53" i="4" s="1"/>
  <c r="AR53" i="4"/>
  <c r="AQ53" i="4"/>
  <c r="AO53" i="4"/>
  <c r="AN53" i="4"/>
  <c r="AM53" i="4"/>
  <c r="AK53" i="4"/>
  <c r="AJ53" i="4"/>
  <c r="AI53" i="4"/>
  <c r="AH53" i="4"/>
  <c r="AF53" i="4"/>
  <c r="AE53" i="4"/>
  <c r="AC53" i="4"/>
  <c r="AB53" i="4"/>
  <c r="Y53" i="4"/>
  <c r="X53" i="4"/>
  <c r="V53" i="4"/>
  <c r="T53" i="4"/>
  <c r="R53" i="4"/>
  <c r="P53" i="4"/>
  <c r="M53" i="4"/>
  <c r="D53" i="4"/>
  <c r="AR52" i="4"/>
  <c r="AQ52" i="4"/>
  <c r="AN52" i="4"/>
  <c r="AM52" i="4"/>
  <c r="AK52" i="4"/>
  <c r="AJ52" i="4"/>
  <c r="AI52" i="4"/>
  <c r="AH52" i="4"/>
  <c r="AO52" i="4" s="1"/>
  <c r="AB52" i="4"/>
  <c r="Y52" i="4"/>
  <c r="X52" i="4"/>
  <c r="AC52" i="4" s="1"/>
  <c r="AE52" i="4" s="1"/>
  <c r="AF52" i="4" s="1"/>
  <c r="V52" i="4"/>
  <c r="T52" i="4"/>
  <c r="AX52" i="4" s="1"/>
  <c r="AY52" i="4" s="1"/>
  <c r="R52" i="4"/>
  <c r="P52" i="4"/>
  <c r="M52" i="4"/>
  <c r="D52" i="4"/>
  <c r="AX51" i="4"/>
  <c r="AY51" i="4" s="1"/>
  <c r="AR51" i="4"/>
  <c r="AQ51" i="4"/>
  <c r="AO51" i="4"/>
  <c r="AN51" i="4"/>
  <c r="AM51" i="4"/>
  <c r="AK51" i="4"/>
  <c r="AJ51" i="4"/>
  <c r="AI51" i="4"/>
  <c r="AH51" i="4"/>
  <c r="AF51" i="4"/>
  <c r="AE51" i="4"/>
  <c r="AC51" i="4"/>
  <c r="AB51" i="4"/>
  <c r="Y51" i="4"/>
  <c r="X51" i="4"/>
  <c r="V51" i="4"/>
  <c r="T51" i="4"/>
  <c r="R51" i="4"/>
  <c r="P51" i="4"/>
  <c r="M51" i="4"/>
  <c r="D51" i="4"/>
  <c r="AX50" i="4"/>
  <c r="AY50" i="4" s="1"/>
  <c r="AR50" i="4"/>
  <c r="AQ50" i="4"/>
  <c r="AO50" i="4"/>
  <c r="AN50" i="4"/>
  <c r="AM50" i="4"/>
  <c r="AK50" i="4"/>
  <c r="AJ50" i="4"/>
  <c r="AI50" i="4"/>
  <c r="AH50" i="4"/>
  <c r="AF50" i="4"/>
  <c r="AE50" i="4"/>
  <c r="AC50" i="4"/>
  <c r="AB50" i="4"/>
  <c r="Y50" i="4"/>
  <c r="X50" i="4"/>
  <c r="V50" i="4"/>
  <c r="T50" i="4"/>
  <c r="R50" i="4"/>
  <c r="P50" i="4"/>
  <c r="M50" i="4"/>
  <c r="D50" i="4"/>
  <c r="AY49" i="4"/>
  <c r="AX49" i="4"/>
  <c r="AR49" i="4"/>
  <c r="AQ49" i="4"/>
  <c r="AO49" i="4"/>
  <c r="AN49" i="4"/>
  <c r="AM49" i="4"/>
  <c r="AK49" i="4"/>
  <c r="AJ49" i="4"/>
  <c r="AI49" i="4"/>
  <c r="AH49" i="4"/>
  <c r="AF49" i="4"/>
  <c r="AE49" i="4"/>
  <c r="AC49" i="4"/>
  <c r="AB49" i="4"/>
  <c r="Y49" i="4"/>
  <c r="X49" i="4"/>
  <c r="V49" i="4"/>
  <c r="T49" i="4"/>
  <c r="R49" i="4"/>
  <c r="P49" i="4"/>
  <c r="M49" i="4"/>
  <c r="D49" i="4"/>
  <c r="AR48" i="4"/>
  <c r="AQ48" i="4"/>
  <c r="AO48" i="4"/>
  <c r="AN48" i="4"/>
  <c r="AM48" i="4"/>
  <c r="AK48" i="4"/>
  <c r="AJ48" i="4"/>
  <c r="AI48" i="4"/>
  <c r="AH48" i="4"/>
  <c r="AC48" i="4"/>
  <c r="AB48" i="4"/>
  <c r="Y48" i="4"/>
  <c r="X48" i="4"/>
  <c r="V48" i="4"/>
  <c r="T48" i="4"/>
  <c r="R48" i="4"/>
  <c r="P48" i="4"/>
  <c r="AX48" i="4" s="1"/>
  <c r="AY48" i="4" s="1"/>
  <c r="M48" i="4"/>
  <c r="D48" i="4"/>
  <c r="AY47" i="4"/>
  <c r="AX47" i="4"/>
  <c r="AR47" i="4"/>
  <c r="AQ47" i="4"/>
  <c r="AO47" i="4"/>
  <c r="AN47" i="4"/>
  <c r="AM47" i="4"/>
  <c r="AK47" i="4"/>
  <c r="AJ47" i="4"/>
  <c r="AI47" i="4"/>
  <c r="AH47" i="4"/>
  <c r="AF47" i="4"/>
  <c r="AE47" i="4"/>
  <c r="AC47" i="4"/>
  <c r="AB47" i="4"/>
  <c r="Y47" i="4"/>
  <c r="X47" i="4"/>
  <c r="V47" i="4"/>
  <c r="T47" i="4"/>
  <c r="R47" i="4"/>
  <c r="P47" i="4"/>
  <c r="M47" i="4"/>
  <c r="D47" i="4"/>
  <c r="AY46" i="4"/>
  <c r="AX46" i="4"/>
  <c r="AR46" i="4"/>
  <c r="AQ46" i="4"/>
  <c r="AO46" i="4"/>
  <c r="AN46" i="4"/>
  <c r="AM46" i="4"/>
  <c r="AK46" i="4"/>
  <c r="AJ46" i="4"/>
  <c r="AI46" i="4"/>
  <c r="AH46" i="4"/>
  <c r="AF46" i="4"/>
  <c r="AE46" i="4"/>
  <c r="AC46" i="4"/>
  <c r="AB46" i="4"/>
  <c r="Y46" i="4"/>
  <c r="X46" i="4"/>
  <c r="V46" i="4"/>
  <c r="T46" i="4"/>
  <c r="R46" i="4"/>
  <c r="P46" i="4"/>
  <c r="M46" i="4"/>
  <c r="D46" i="4"/>
  <c r="AY45" i="4"/>
  <c r="AX45" i="4"/>
  <c r="AR45" i="4"/>
  <c r="AQ45" i="4"/>
  <c r="AO45" i="4"/>
  <c r="AN45" i="4"/>
  <c r="AM45" i="4"/>
  <c r="AK45" i="4"/>
  <c r="AJ45" i="4"/>
  <c r="AI45" i="4"/>
  <c r="AH45" i="4"/>
  <c r="AF45" i="4"/>
  <c r="AE45" i="4"/>
  <c r="AC45" i="4"/>
  <c r="AB45" i="4"/>
  <c r="Y45" i="4"/>
  <c r="X45" i="4"/>
  <c r="V45" i="4"/>
  <c r="T45" i="4"/>
  <c r="R45" i="4"/>
  <c r="P45" i="4"/>
  <c r="M45" i="4"/>
  <c r="D45" i="4"/>
  <c r="AR44" i="4"/>
  <c r="AQ44" i="4"/>
  <c r="AN44" i="4"/>
  <c r="AM44" i="4"/>
  <c r="AK44" i="4"/>
  <c r="AJ44" i="4"/>
  <c r="AI44" i="4"/>
  <c r="AH44" i="4"/>
  <c r="AO44" i="4" s="1"/>
  <c r="AF44" i="4"/>
  <c r="AB44" i="4"/>
  <c r="Y44" i="4"/>
  <c r="X44" i="4"/>
  <c r="AC44" i="4" s="1"/>
  <c r="AE44" i="4" s="1"/>
  <c r="V44" i="4"/>
  <c r="T44" i="4"/>
  <c r="R44" i="4"/>
  <c r="P44" i="4"/>
  <c r="M44" i="4"/>
  <c r="D44" i="4"/>
  <c r="AX43" i="4"/>
  <c r="AY43" i="4" s="1"/>
  <c r="AR43" i="4"/>
  <c r="AQ43" i="4"/>
  <c r="AO43" i="4"/>
  <c r="AN43" i="4"/>
  <c r="AM43" i="4"/>
  <c r="AK43" i="4"/>
  <c r="AJ43" i="4"/>
  <c r="AI43" i="4"/>
  <c r="AH43" i="4"/>
  <c r="AF43" i="4"/>
  <c r="AE43" i="4"/>
  <c r="AC43" i="4"/>
  <c r="AB43" i="4"/>
  <c r="Y43" i="4"/>
  <c r="X43" i="4"/>
  <c r="V43" i="4"/>
  <c r="T43" i="4"/>
  <c r="R43" i="4"/>
  <c r="P43" i="4"/>
  <c r="M43" i="4"/>
  <c r="D43" i="4"/>
  <c r="AX42" i="4"/>
  <c r="AY42" i="4" s="1"/>
  <c r="AR42" i="4"/>
  <c r="AQ42" i="4"/>
  <c r="AO42" i="4"/>
  <c r="AN42" i="4"/>
  <c r="AM42" i="4"/>
  <c r="AK42" i="4"/>
  <c r="AJ42" i="4"/>
  <c r="AI42" i="4"/>
  <c r="AH42" i="4"/>
  <c r="AF42" i="4"/>
  <c r="AE42" i="4"/>
  <c r="AC42" i="4"/>
  <c r="AB42" i="4"/>
  <c r="Y42" i="4"/>
  <c r="X42" i="4"/>
  <c r="V42" i="4"/>
  <c r="T42" i="4"/>
  <c r="R42" i="4"/>
  <c r="P42" i="4"/>
  <c r="M42" i="4"/>
  <c r="D42" i="4"/>
  <c r="AY41" i="4"/>
  <c r="AX41" i="4"/>
  <c r="AR41" i="4"/>
  <c r="AQ41" i="4"/>
  <c r="AO41" i="4"/>
  <c r="AN41" i="4"/>
  <c r="AM41" i="4"/>
  <c r="AK41" i="4"/>
  <c r="AJ41" i="4"/>
  <c r="AI41" i="4"/>
  <c r="AH41" i="4"/>
  <c r="AF41" i="4"/>
  <c r="AE41" i="4"/>
  <c r="AC41" i="4"/>
  <c r="AB41" i="4"/>
  <c r="Y41" i="4"/>
  <c r="X41" i="4"/>
  <c r="V41" i="4"/>
  <c r="T41" i="4"/>
  <c r="R41" i="4"/>
  <c r="P41" i="4"/>
  <c r="M41" i="4"/>
  <c r="D41" i="4"/>
  <c r="AR40" i="4"/>
  <c r="AQ40" i="4"/>
  <c r="AO40" i="4"/>
  <c r="AN40" i="4"/>
  <c r="AM40" i="4"/>
  <c r="AK40" i="4"/>
  <c r="AJ40" i="4"/>
  <c r="AI40" i="4"/>
  <c r="AH40" i="4"/>
  <c r="AC40" i="4"/>
  <c r="AB40" i="4"/>
  <c r="AE40" i="4" s="1"/>
  <c r="AF40" i="4" s="1"/>
  <c r="Y40" i="4"/>
  <c r="X40" i="4"/>
  <c r="V40" i="4"/>
  <c r="T40" i="4"/>
  <c r="R40" i="4"/>
  <c r="P40" i="4"/>
  <c r="M40" i="4"/>
  <c r="D40" i="4"/>
  <c r="AY39" i="4"/>
  <c r="AX39" i="4"/>
  <c r="AR39" i="4"/>
  <c r="AQ39" i="4"/>
  <c r="AO39" i="4"/>
  <c r="AN39" i="4"/>
  <c r="AM39" i="4"/>
  <c r="AK39" i="4"/>
  <c r="AJ39" i="4"/>
  <c r="AI39" i="4"/>
  <c r="AH39" i="4"/>
  <c r="AF39" i="4"/>
  <c r="AE39" i="4"/>
  <c r="AC39" i="4"/>
  <c r="AB39" i="4"/>
  <c r="Y39" i="4"/>
  <c r="X39" i="4"/>
  <c r="V39" i="4"/>
  <c r="T39" i="4"/>
  <c r="R39" i="4"/>
  <c r="P39" i="4"/>
  <c r="M39" i="4"/>
  <c r="D39" i="4"/>
  <c r="AX38" i="4"/>
  <c r="AY38" i="4" s="1"/>
  <c r="AR38" i="4"/>
  <c r="AQ38" i="4"/>
  <c r="AO38" i="4"/>
  <c r="AN38" i="4"/>
  <c r="AM38" i="4"/>
  <c r="AK38" i="4"/>
  <c r="AJ38" i="4"/>
  <c r="AI38" i="4"/>
  <c r="AH38" i="4"/>
  <c r="AF38" i="4"/>
  <c r="AE38" i="4"/>
  <c r="AC38" i="4"/>
  <c r="AB38" i="4"/>
  <c r="Y38" i="4"/>
  <c r="X38" i="4"/>
  <c r="V38" i="4"/>
  <c r="T38" i="4"/>
  <c r="R38" i="4"/>
  <c r="P38" i="4"/>
  <c r="M38" i="4"/>
  <c r="D38" i="4"/>
  <c r="AX37" i="4"/>
  <c r="AY37" i="4" s="1"/>
  <c r="AR37" i="4"/>
  <c r="AQ37" i="4"/>
  <c r="AO37" i="4"/>
  <c r="AN37" i="4"/>
  <c r="AM37" i="4"/>
  <c r="AK37" i="4"/>
  <c r="AJ37" i="4"/>
  <c r="AI37" i="4"/>
  <c r="AH37" i="4"/>
  <c r="AF37" i="4"/>
  <c r="AE37" i="4"/>
  <c r="AC37" i="4"/>
  <c r="AB37" i="4"/>
  <c r="Y37" i="4"/>
  <c r="X37" i="4"/>
  <c r="V37" i="4"/>
  <c r="T37" i="4"/>
  <c r="R37" i="4"/>
  <c r="P37" i="4"/>
  <c r="M37" i="4"/>
  <c r="D37" i="4"/>
  <c r="AX36" i="4"/>
  <c r="AY36" i="4" s="1"/>
  <c r="AR36" i="4"/>
  <c r="AQ36" i="4"/>
  <c r="AO36" i="4"/>
  <c r="AN36" i="4"/>
  <c r="AM36" i="4"/>
  <c r="AK36" i="4"/>
  <c r="AJ36" i="4"/>
  <c r="AI36" i="4"/>
  <c r="AH36" i="4"/>
  <c r="AF36" i="4"/>
  <c r="AE36" i="4"/>
  <c r="AC36" i="4"/>
  <c r="AB36" i="4"/>
  <c r="Y36" i="4"/>
  <c r="X36" i="4"/>
  <c r="V36" i="4"/>
  <c r="T36" i="4"/>
  <c r="R36" i="4"/>
  <c r="P36" i="4"/>
  <c r="M36" i="4"/>
  <c r="D36" i="4"/>
  <c r="AX35" i="4"/>
  <c r="AY35" i="4" s="1"/>
  <c r="AR35" i="4"/>
  <c r="AQ35" i="4"/>
  <c r="AO35" i="4"/>
  <c r="AN35" i="4"/>
  <c r="AM35" i="4"/>
  <c r="AK35" i="4"/>
  <c r="AJ35" i="4"/>
  <c r="AI35" i="4"/>
  <c r="AH35" i="4"/>
  <c r="AF35" i="4"/>
  <c r="AE35" i="4"/>
  <c r="AC35" i="4"/>
  <c r="AB35" i="4"/>
  <c r="Y35" i="4"/>
  <c r="X35" i="4"/>
  <c r="V35" i="4"/>
  <c r="T35" i="4"/>
  <c r="R35" i="4"/>
  <c r="P35" i="4"/>
  <c r="M35" i="4"/>
  <c r="D35" i="4"/>
  <c r="AX34" i="4"/>
  <c r="AY34" i="4" s="1"/>
  <c r="AR34" i="4"/>
  <c r="AQ34" i="4"/>
  <c r="AO34" i="4"/>
  <c r="AN34" i="4"/>
  <c r="AM34" i="4"/>
  <c r="AK34" i="4"/>
  <c r="AJ34" i="4"/>
  <c r="AI34" i="4"/>
  <c r="AH34" i="4"/>
  <c r="AF34" i="4"/>
  <c r="AE34" i="4"/>
  <c r="AC34" i="4"/>
  <c r="AB34" i="4"/>
  <c r="Y34" i="4"/>
  <c r="X34" i="4"/>
  <c r="V34" i="4"/>
  <c r="T34" i="4"/>
  <c r="R34" i="4"/>
  <c r="P34" i="4"/>
  <c r="M34" i="4"/>
  <c r="D34" i="4"/>
  <c r="AY33" i="4"/>
  <c r="AX33" i="4"/>
  <c r="AR33" i="4"/>
  <c r="AQ33" i="4"/>
  <c r="AO33" i="4"/>
  <c r="AN33" i="4"/>
  <c r="AM33" i="4"/>
  <c r="AK33" i="4"/>
  <c r="AJ33" i="4"/>
  <c r="AI33" i="4"/>
  <c r="AH33" i="4"/>
  <c r="AF33" i="4"/>
  <c r="AE33" i="4"/>
  <c r="AC33" i="4"/>
  <c r="AB33" i="4"/>
  <c r="Y33" i="4"/>
  <c r="X33" i="4"/>
  <c r="V33" i="4"/>
  <c r="T33" i="4"/>
  <c r="R33" i="4"/>
  <c r="P33" i="4"/>
  <c r="M33" i="4"/>
  <c r="D33" i="4"/>
  <c r="AR32" i="4"/>
  <c r="AQ32" i="4"/>
  <c r="AO32" i="4"/>
  <c r="AN32" i="4"/>
  <c r="AM32" i="4"/>
  <c r="AK32" i="4"/>
  <c r="AJ32" i="4"/>
  <c r="AI32" i="4"/>
  <c r="AH32" i="4"/>
  <c r="AC32" i="4"/>
  <c r="AB32" i="4"/>
  <c r="AE32" i="4" s="1"/>
  <c r="AF32" i="4" s="1"/>
  <c r="Y32" i="4"/>
  <c r="X32" i="4"/>
  <c r="V32" i="4"/>
  <c r="T32" i="4"/>
  <c r="R32" i="4"/>
  <c r="P32" i="4"/>
  <c r="M32" i="4"/>
  <c r="D32" i="4"/>
  <c r="AY31" i="4"/>
  <c r="AX31" i="4"/>
  <c r="AR31" i="4"/>
  <c r="AQ31" i="4"/>
  <c r="AO31" i="4"/>
  <c r="AN31" i="4"/>
  <c r="AM31" i="4"/>
  <c r="AK31" i="4"/>
  <c r="AJ31" i="4"/>
  <c r="AI31" i="4"/>
  <c r="AH31" i="4"/>
  <c r="AF31" i="4"/>
  <c r="AE31" i="4"/>
  <c r="AC31" i="4"/>
  <c r="AB31" i="4"/>
  <c r="Y31" i="4"/>
  <c r="X31" i="4"/>
  <c r="V31" i="4"/>
  <c r="T31" i="4"/>
  <c r="R31" i="4"/>
  <c r="P31" i="4"/>
  <c r="M31" i="4"/>
  <c r="D31" i="4"/>
  <c r="AY30" i="4"/>
  <c r="AX30" i="4"/>
  <c r="AR30" i="4"/>
  <c r="AQ30" i="4"/>
  <c r="AO30" i="4"/>
  <c r="AN30" i="4"/>
  <c r="AM30" i="4"/>
  <c r="AK30" i="4"/>
  <c r="AJ30" i="4"/>
  <c r="AI30" i="4"/>
  <c r="AH30" i="4"/>
  <c r="AF30" i="4"/>
  <c r="AE30" i="4"/>
  <c r="AC30" i="4"/>
  <c r="AB30" i="4"/>
  <c r="Y30" i="4"/>
  <c r="X30" i="4"/>
  <c r="V30" i="4"/>
  <c r="T30" i="4"/>
  <c r="R30" i="4"/>
  <c r="P30" i="4"/>
  <c r="M30" i="4"/>
  <c r="D30" i="4"/>
  <c r="AX29" i="4"/>
  <c r="AY29" i="4" s="1"/>
  <c r="AR29" i="4"/>
  <c r="AQ29" i="4"/>
  <c r="AO29" i="4"/>
  <c r="AN29" i="4"/>
  <c r="AM29" i="4"/>
  <c r="AK29" i="4"/>
  <c r="AJ29" i="4"/>
  <c r="AI29" i="4"/>
  <c r="AH29" i="4"/>
  <c r="AF29" i="4"/>
  <c r="AE29" i="4"/>
  <c r="AC29" i="4"/>
  <c r="AB29" i="4"/>
  <c r="Y29" i="4"/>
  <c r="X29" i="4"/>
  <c r="V29" i="4"/>
  <c r="T29" i="4"/>
  <c r="R29" i="4"/>
  <c r="P29" i="4"/>
  <c r="M29" i="4"/>
  <c r="D29" i="4"/>
  <c r="AR28" i="4"/>
  <c r="AQ28" i="4"/>
  <c r="AN28" i="4"/>
  <c r="AM28" i="4"/>
  <c r="AK28" i="4"/>
  <c r="AJ28" i="4"/>
  <c r="AI28" i="4"/>
  <c r="AH28" i="4"/>
  <c r="AO28" i="4" s="1"/>
  <c r="AF28" i="4"/>
  <c r="AB28" i="4"/>
  <c r="Y28" i="4"/>
  <c r="X28" i="4"/>
  <c r="AC28" i="4" s="1"/>
  <c r="AE28" i="4" s="1"/>
  <c r="V28" i="4"/>
  <c r="T28" i="4"/>
  <c r="R28" i="4"/>
  <c r="P28" i="4"/>
  <c r="M28" i="4"/>
  <c r="D28" i="4"/>
  <c r="AX27" i="4"/>
  <c r="AY27" i="4" s="1"/>
  <c r="AR27" i="4"/>
  <c r="AQ27" i="4"/>
  <c r="AO27" i="4"/>
  <c r="AN27" i="4"/>
  <c r="AM27" i="4"/>
  <c r="AK27" i="4"/>
  <c r="AJ27" i="4"/>
  <c r="AI27" i="4"/>
  <c r="AH27" i="4"/>
  <c r="AF27" i="4"/>
  <c r="AE27" i="4"/>
  <c r="AC27" i="4"/>
  <c r="AB27" i="4"/>
  <c r="Y27" i="4"/>
  <c r="X27" i="4"/>
  <c r="V27" i="4"/>
  <c r="T27" i="4"/>
  <c r="R27" i="4"/>
  <c r="P27" i="4"/>
  <c r="M27" i="4"/>
  <c r="D27" i="4"/>
  <c r="AX26" i="4"/>
  <c r="AY26" i="4" s="1"/>
  <c r="AR26" i="4"/>
  <c r="AQ26" i="4"/>
  <c r="AO26" i="4"/>
  <c r="AN26" i="4"/>
  <c r="AM26" i="4"/>
  <c r="AK26" i="4"/>
  <c r="AJ26" i="4"/>
  <c r="AI26" i="4"/>
  <c r="AH26" i="4"/>
  <c r="AF26" i="4"/>
  <c r="AE26" i="4"/>
  <c r="AC26" i="4"/>
  <c r="AB26" i="4"/>
  <c r="Y26" i="4"/>
  <c r="X26" i="4"/>
  <c r="V26" i="4"/>
  <c r="T26" i="4"/>
  <c r="R26" i="4"/>
  <c r="P26" i="4"/>
  <c r="M26" i="4"/>
  <c r="D26" i="4"/>
  <c r="AY25" i="4"/>
  <c r="AX25" i="4"/>
  <c r="AR25" i="4"/>
  <c r="AQ25" i="4"/>
  <c r="AO25" i="4"/>
  <c r="AN25" i="4"/>
  <c r="AM25" i="4"/>
  <c r="AK25" i="4"/>
  <c r="AJ25" i="4"/>
  <c r="AI25" i="4"/>
  <c r="AH25" i="4"/>
  <c r="AF25" i="4"/>
  <c r="AE25" i="4"/>
  <c r="AC25" i="4"/>
  <c r="AB25" i="4"/>
  <c r="Y25" i="4"/>
  <c r="X25" i="4"/>
  <c r="V25" i="4"/>
  <c r="T25" i="4"/>
  <c r="R25" i="4"/>
  <c r="P25" i="4"/>
  <c r="M25" i="4"/>
  <c r="D25" i="4"/>
  <c r="AR24" i="4"/>
  <c r="AQ24" i="4"/>
  <c r="AO24" i="4"/>
  <c r="AN24" i="4"/>
  <c r="AM24" i="4"/>
  <c r="AK24" i="4"/>
  <c r="AJ24" i="4"/>
  <c r="AI24" i="4"/>
  <c r="AH24" i="4"/>
  <c r="AC24" i="4"/>
  <c r="AB24" i="4"/>
  <c r="AE24" i="4" s="1"/>
  <c r="AF24" i="4" s="1"/>
  <c r="Y24" i="4"/>
  <c r="X24" i="4"/>
  <c r="V24" i="4"/>
  <c r="T24" i="4"/>
  <c r="R24" i="4"/>
  <c r="P24" i="4"/>
  <c r="M24" i="4"/>
  <c r="D24" i="4"/>
  <c r="AY23" i="4"/>
  <c r="AX23" i="4"/>
  <c r="AO23" i="4"/>
  <c r="AN23" i="4"/>
  <c r="AM23" i="4"/>
  <c r="AK23" i="4"/>
  <c r="AJ23" i="4"/>
  <c r="AI23" i="4"/>
  <c r="AH23" i="4"/>
  <c r="AF23" i="4"/>
  <c r="AE23" i="4"/>
  <c r="AC23" i="4"/>
  <c r="AB23" i="4"/>
  <c r="Y23" i="4"/>
  <c r="X23" i="4"/>
  <c r="AQ23" i="4" s="1"/>
  <c r="AR23" i="4" s="1"/>
  <c r="V23" i="4"/>
  <c r="T23" i="4"/>
  <c r="R23" i="4"/>
  <c r="P23" i="4"/>
  <c r="M23" i="4"/>
  <c r="D23" i="4"/>
  <c r="AY22" i="4"/>
  <c r="AX22" i="4"/>
  <c r="AO22" i="4"/>
  <c r="AN22" i="4"/>
  <c r="AM22" i="4"/>
  <c r="AK22" i="4"/>
  <c r="AJ22" i="4"/>
  <c r="AI22" i="4"/>
  <c r="AH22" i="4"/>
  <c r="AF22" i="4"/>
  <c r="AE22" i="4"/>
  <c r="AC22" i="4"/>
  <c r="AB22" i="4"/>
  <c r="Y22" i="4"/>
  <c r="X22" i="4"/>
  <c r="AQ22" i="4" s="1"/>
  <c r="AR22" i="4" s="1"/>
  <c r="V22" i="4"/>
  <c r="T22" i="4"/>
  <c r="R22" i="4"/>
  <c r="P22" i="4"/>
  <c r="M22" i="4"/>
  <c r="D22" i="4"/>
  <c r="AY21" i="4"/>
  <c r="AX21" i="4"/>
  <c r="AO21" i="4"/>
  <c r="AN21" i="4"/>
  <c r="AM21" i="4"/>
  <c r="AK21" i="4"/>
  <c r="AJ21" i="4"/>
  <c r="AI21" i="4"/>
  <c r="AH21" i="4"/>
  <c r="AF21" i="4"/>
  <c r="AE21" i="4"/>
  <c r="AC21" i="4"/>
  <c r="AB21" i="4"/>
  <c r="Y21" i="4"/>
  <c r="X21" i="4"/>
  <c r="AQ21" i="4" s="1"/>
  <c r="AR21" i="4" s="1"/>
  <c r="V21" i="4"/>
  <c r="T21" i="4"/>
  <c r="R21" i="4"/>
  <c r="P21" i="4"/>
  <c r="M21" i="4"/>
  <c r="D21" i="4"/>
  <c r="AX20" i="4"/>
  <c r="AY20" i="4" s="1"/>
  <c r="AR20" i="4"/>
  <c r="AQ20" i="4"/>
  <c r="AO20" i="4"/>
  <c r="AN20" i="4"/>
  <c r="AM20" i="4"/>
  <c r="AK20" i="4"/>
  <c r="AJ20" i="4"/>
  <c r="AI20" i="4"/>
  <c r="AH20" i="4"/>
  <c r="AF20" i="4"/>
  <c r="AE20" i="4"/>
  <c r="AC20" i="4"/>
  <c r="AB20" i="4"/>
  <c r="Y20" i="4"/>
  <c r="X20" i="4"/>
  <c r="V20" i="4"/>
  <c r="T20" i="4"/>
  <c r="R20" i="4"/>
  <c r="P20" i="4"/>
  <c r="M20" i="4"/>
  <c r="D20" i="4"/>
  <c r="AX19" i="4"/>
  <c r="AY19" i="4" s="1"/>
  <c r="AQ19" i="4"/>
  <c r="AR19" i="4" s="1"/>
  <c r="AO19" i="4"/>
  <c r="AN19" i="4"/>
  <c r="AM19" i="4"/>
  <c r="AK19" i="4"/>
  <c r="AJ19" i="4"/>
  <c r="AI19" i="4"/>
  <c r="AH19" i="4"/>
  <c r="AF19" i="4"/>
  <c r="AE19" i="4"/>
  <c r="AC19" i="4"/>
  <c r="AB19" i="4"/>
  <c r="Y19" i="4"/>
  <c r="X19" i="4"/>
  <c r="V19" i="4"/>
  <c r="T19" i="4"/>
  <c r="R19" i="4"/>
  <c r="P19" i="4"/>
  <c r="M19" i="4"/>
  <c r="D19" i="4"/>
  <c r="AX18" i="4"/>
  <c r="AY18" i="4" s="1"/>
  <c r="AQ18" i="4"/>
  <c r="AR18" i="4" s="1"/>
  <c r="AO18" i="4"/>
  <c r="AN18" i="4"/>
  <c r="AM18" i="4"/>
  <c r="AK18" i="4"/>
  <c r="AJ18" i="4"/>
  <c r="AI18" i="4"/>
  <c r="AH18" i="4"/>
  <c r="AF18" i="4"/>
  <c r="AE18" i="4"/>
  <c r="AC18" i="4"/>
  <c r="AB18" i="4"/>
  <c r="Y18" i="4"/>
  <c r="X18" i="4"/>
  <c r="V18" i="4"/>
  <c r="T18" i="4"/>
  <c r="R18" i="4"/>
  <c r="P18" i="4"/>
  <c r="M18" i="4"/>
  <c r="D18" i="4"/>
  <c r="AY17" i="4"/>
  <c r="AX17" i="4"/>
  <c r="AQ17" i="4"/>
  <c r="AR17" i="4" s="1"/>
  <c r="AO17" i="4"/>
  <c r="AN17" i="4"/>
  <c r="AM17" i="4"/>
  <c r="AK17" i="4"/>
  <c r="AJ17" i="4"/>
  <c r="AI17" i="4"/>
  <c r="AH17" i="4"/>
  <c r="AF17" i="4"/>
  <c r="AE17" i="4"/>
  <c r="AC17" i="4"/>
  <c r="AB17" i="4"/>
  <c r="Y17" i="4"/>
  <c r="X17" i="4"/>
  <c r="V17" i="4"/>
  <c r="T17" i="4"/>
  <c r="R17" i="4"/>
  <c r="P17" i="4"/>
  <c r="M17" i="4"/>
  <c r="D17" i="4"/>
  <c r="AX16" i="4"/>
  <c r="AY16" i="4" s="1"/>
  <c r="AQ16" i="4"/>
  <c r="AR16" i="4" s="1"/>
  <c r="AO16" i="4"/>
  <c r="AN16" i="4"/>
  <c r="AM16" i="4"/>
  <c r="AK16" i="4"/>
  <c r="AJ16" i="4"/>
  <c r="AI16" i="4"/>
  <c r="AH16" i="4"/>
  <c r="AF16" i="4"/>
  <c r="AE16" i="4"/>
  <c r="AC16" i="4"/>
  <c r="AB16" i="4"/>
  <c r="Y16" i="4"/>
  <c r="X16" i="4"/>
  <c r="V16" i="4"/>
  <c r="T16" i="4"/>
  <c r="R16" i="4"/>
  <c r="P16" i="4"/>
  <c r="M16" i="4"/>
  <c r="D16" i="4"/>
  <c r="AY15" i="4"/>
  <c r="AX15" i="4"/>
  <c r="AO15" i="4"/>
  <c r="AN15" i="4"/>
  <c r="AM15" i="4"/>
  <c r="AK15" i="4"/>
  <c r="AJ15" i="4"/>
  <c r="AI15" i="4"/>
  <c r="AH15" i="4"/>
  <c r="AF15" i="4"/>
  <c r="AE15" i="4"/>
  <c r="AC15" i="4"/>
  <c r="AB15" i="4"/>
  <c r="Y15" i="4"/>
  <c r="X15" i="4"/>
  <c r="AQ15" i="4" s="1"/>
  <c r="AR15" i="4" s="1"/>
  <c r="V15" i="4"/>
  <c r="T15" i="4"/>
  <c r="R15" i="4"/>
  <c r="P15" i="4"/>
  <c r="M15" i="4"/>
  <c r="D15" i="4"/>
  <c r="AY14" i="4"/>
  <c r="AX14" i="4"/>
  <c r="AO14" i="4"/>
  <c r="AN14" i="4"/>
  <c r="AM14" i="4"/>
  <c r="AK14" i="4"/>
  <c r="AJ14" i="4"/>
  <c r="AI14" i="4"/>
  <c r="AH14" i="4"/>
  <c r="AF14" i="4"/>
  <c r="AE14" i="4"/>
  <c r="AC14" i="4"/>
  <c r="AB14" i="4"/>
  <c r="Y14" i="4"/>
  <c r="X14" i="4"/>
  <c r="AQ14" i="4" s="1"/>
  <c r="AR14" i="4" s="1"/>
  <c r="V14" i="4"/>
  <c r="T14" i="4"/>
  <c r="R14" i="4"/>
  <c r="P14" i="4"/>
  <c r="M14" i="4"/>
  <c r="D14" i="4"/>
  <c r="AX13" i="4"/>
  <c r="AY13" i="4" s="1"/>
  <c r="AR13" i="4"/>
  <c r="AO13" i="4"/>
  <c r="AN13" i="4"/>
  <c r="AM13" i="4"/>
  <c r="AK13" i="4"/>
  <c r="AJ13" i="4"/>
  <c r="AI13" i="4"/>
  <c r="AH13" i="4"/>
  <c r="AF13" i="4"/>
  <c r="AE13" i="4"/>
  <c r="AC13" i="4"/>
  <c r="AB13" i="4"/>
  <c r="Y13" i="4"/>
  <c r="X13" i="4"/>
  <c r="AQ13" i="4" s="1"/>
  <c r="V13" i="4"/>
  <c r="T13" i="4"/>
  <c r="R13" i="4"/>
  <c r="P13" i="4"/>
  <c r="M13" i="4"/>
  <c r="D13" i="4"/>
  <c r="AX12" i="4"/>
  <c r="AY12" i="4" s="1"/>
  <c r="AR12" i="4"/>
  <c r="AQ12" i="4"/>
  <c r="AO12" i="4"/>
  <c r="AN12" i="4"/>
  <c r="AM12" i="4"/>
  <c r="AK12" i="4"/>
  <c r="AJ12" i="4"/>
  <c r="AI12" i="4"/>
  <c r="AH12" i="4"/>
  <c r="AF12" i="4"/>
  <c r="AE12" i="4"/>
  <c r="AC12" i="4"/>
  <c r="AB12" i="4"/>
  <c r="Y12" i="4"/>
  <c r="X12" i="4"/>
  <c r="V12" i="4"/>
  <c r="T12" i="4"/>
  <c r="R12" i="4"/>
  <c r="P12" i="4"/>
  <c r="M12" i="4"/>
  <c r="D12" i="4"/>
  <c r="AX11" i="4"/>
  <c r="AY11" i="4" s="1"/>
  <c r="AQ11" i="4"/>
  <c r="AR11" i="4" s="1"/>
  <c r="AO11" i="4"/>
  <c r="AN11" i="4"/>
  <c r="AM11" i="4"/>
  <c r="AK11" i="4"/>
  <c r="AJ11" i="4"/>
  <c r="AI11" i="4"/>
  <c r="AH11" i="4"/>
  <c r="AF11" i="4"/>
  <c r="AE11" i="4"/>
  <c r="AC11" i="4"/>
  <c r="AB11" i="4"/>
  <c r="Y11" i="4"/>
  <c r="X11" i="4"/>
  <c r="V11" i="4"/>
  <c r="T11" i="4"/>
  <c r="R11" i="4"/>
  <c r="P11" i="4"/>
  <c r="M11" i="4"/>
  <c r="D11" i="4"/>
  <c r="AX10" i="4"/>
  <c r="AY10" i="4" s="1"/>
  <c r="AQ10" i="4"/>
  <c r="AR10" i="4" s="1"/>
  <c r="AO10" i="4"/>
  <c r="AN10" i="4"/>
  <c r="AM10" i="4"/>
  <c r="AK10" i="4"/>
  <c r="AJ10" i="4"/>
  <c r="AI10" i="4"/>
  <c r="AH10" i="4"/>
  <c r="AF10" i="4"/>
  <c r="AE10" i="4"/>
  <c r="AC10" i="4"/>
  <c r="AB10" i="4"/>
  <c r="Y10" i="4"/>
  <c r="X10" i="4"/>
  <c r="V10" i="4"/>
  <c r="T10" i="4"/>
  <c r="R10" i="4"/>
  <c r="P10" i="4"/>
  <c r="M10" i="4"/>
  <c r="D10" i="4"/>
  <c r="AY9" i="4"/>
  <c r="AX9" i="4"/>
  <c r="AQ9" i="4"/>
  <c r="AR9" i="4" s="1"/>
  <c r="AO9" i="4"/>
  <c r="AN9" i="4"/>
  <c r="AM9" i="4"/>
  <c r="AK9" i="4"/>
  <c r="AJ9" i="4"/>
  <c r="AI9" i="4"/>
  <c r="AH9" i="4"/>
  <c r="AF9" i="4"/>
  <c r="AE9" i="4"/>
  <c r="AC9" i="4"/>
  <c r="AB9" i="4"/>
  <c r="Y9" i="4"/>
  <c r="X9" i="4"/>
  <c r="V9" i="4"/>
  <c r="T9" i="4"/>
  <c r="R9" i="4"/>
  <c r="P9" i="4"/>
  <c r="M9" i="4"/>
  <c r="D9" i="4"/>
  <c r="AX8" i="4"/>
  <c r="AY8" i="4" s="1"/>
  <c r="AR8" i="4"/>
  <c r="AQ8" i="4"/>
  <c r="AO8" i="4"/>
  <c r="AN8" i="4"/>
  <c r="AM8" i="4"/>
  <c r="AK8" i="4"/>
  <c r="AJ8" i="4"/>
  <c r="AI8" i="4"/>
  <c r="AH8" i="4"/>
  <c r="AF8" i="4"/>
  <c r="AE8" i="4"/>
  <c r="AC8" i="4"/>
  <c r="AB8" i="4"/>
  <c r="Y8" i="4"/>
  <c r="X8" i="4"/>
  <c r="V8" i="4"/>
  <c r="T8" i="4"/>
  <c r="R8" i="4"/>
  <c r="P8" i="4"/>
  <c r="M8" i="4"/>
  <c r="D8" i="4"/>
  <c r="AR7" i="4"/>
  <c r="AQ7" i="4"/>
  <c r="AO7" i="4"/>
  <c r="AN7" i="4"/>
  <c r="AM7" i="4"/>
  <c r="AK7" i="4"/>
  <c r="AJ7" i="4"/>
  <c r="AI7" i="4"/>
  <c r="AH7" i="4"/>
  <c r="AB7" i="4"/>
  <c r="Y7" i="4"/>
  <c r="X7" i="4"/>
  <c r="AC7" i="4" s="1"/>
  <c r="V7" i="4"/>
  <c r="T7" i="4"/>
  <c r="R7" i="4"/>
  <c r="P7" i="4"/>
  <c r="AX7" i="4" s="1"/>
  <c r="AY7" i="4" s="1"/>
  <c r="M7" i="4"/>
  <c r="D7" i="4"/>
  <c r="AX6" i="4"/>
  <c r="AY6" i="4" s="1"/>
  <c r="AR6" i="4"/>
  <c r="AQ6" i="4"/>
  <c r="AO6" i="4"/>
  <c r="AN6" i="4"/>
  <c r="AM6" i="4"/>
  <c r="AK6" i="4"/>
  <c r="AJ6" i="4"/>
  <c r="AI6" i="4"/>
  <c r="AH6" i="4"/>
  <c r="AF6" i="4"/>
  <c r="AE6" i="4"/>
  <c r="AC6" i="4"/>
  <c r="AB6" i="4"/>
  <c r="Y6" i="4"/>
  <c r="X6" i="4"/>
  <c r="V6" i="4"/>
  <c r="T6" i="4"/>
  <c r="R6" i="4"/>
  <c r="P6" i="4"/>
  <c r="M6" i="4"/>
  <c r="D6" i="4"/>
  <c r="AX5" i="4"/>
  <c r="AY5" i="4" s="1"/>
  <c r="AR5" i="4"/>
  <c r="AQ5" i="4"/>
  <c r="AO5" i="4"/>
  <c r="AN5" i="4"/>
  <c r="AM5" i="4"/>
  <c r="AK5" i="4"/>
  <c r="AJ5" i="4"/>
  <c r="AI5" i="4"/>
  <c r="AH5" i="4"/>
  <c r="AF5" i="4"/>
  <c r="AE5" i="4"/>
  <c r="AC5" i="4"/>
  <c r="AB5" i="4"/>
  <c r="Y5" i="4"/>
  <c r="X5" i="4"/>
  <c r="V5" i="4"/>
  <c r="T5" i="4"/>
  <c r="R5" i="4"/>
  <c r="P5" i="4"/>
  <c r="M5" i="4"/>
  <c r="D5" i="4"/>
  <c r="AX4" i="4"/>
  <c r="AY4" i="4" s="1"/>
  <c r="AR4" i="4"/>
  <c r="AQ4" i="4"/>
  <c r="AO4" i="4"/>
  <c r="AN4" i="4"/>
  <c r="AM4" i="4"/>
  <c r="AK4" i="4"/>
  <c r="AJ4" i="4"/>
  <c r="AI4" i="4"/>
  <c r="AH4" i="4"/>
  <c r="AF4" i="4"/>
  <c r="AE4" i="4"/>
  <c r="AC4" i="4"/>
  <c r="AB4" i="4"/>
  <c r="Y4" i="4"/>
  <c r="X4" i="4"/>
  <c r="V4" i="4"/>
  <c r="T4" i="4"/>
  <c r="R4" i="4"/>
  <c r="P4" i="4"/>
  <c r="M4" i="4"/>
  <c r="D4" i="4"/>
  <c r="AR3" i="4"/>
  <c r="AQ3" i="4"/>
  <c r="AN3" i="4"/>
  <c r="AM3" i="4"/>
  <c r="AK3" i="4"/>
  <c r="AJ3" i="4"/>
  <c r="AI3" i="4"/>
  <c r="AH3" i="4"/>
  <c r="AO3" i="4" s="1"/>
  <c r="AB3" i="4"/>
  <c r="Y3" i="4"/>
  <c r="X3" i="4"/>
  <c r="AC3" i="4" s="1"/>
  <c r="AE3" i="4" s="1"/>
  <c r="AF3" i="4" s="1"/>
  <c r="V3" i="4"/>
  <c r="T3" i="4"/>
  <c r="R3" i="4"/>
  <c r="P3" i="4"/>
  <c r="AX3" i="4" s="1"/>
  <c r="AY3" i="4" s="1"/>
  <c r="M3" i="4"/>
  <c r="D3" i="4"/>
  <c r="F26" i="14" l="1"/>
  <c r="I12" i="14"/>
  <c r="J12" i="14" s="1"/>
  <c r="I13" i="14"/>
  <c r="J13" i="14" s="1"/>
  <c r="K13" i="14" s="1"/>
  <c r="O45" i="14" s="1"/>
  <c r="AX103" i="4"/>
  <c r="AY103" i="4" s="1"/>
  <c r="AX116" i="4"/>
  <c r="AY116" i="4" s="1"/>
  <c r="AX146" i="4"/>
  <c r="AY146" i="4" s="1"/>
  <c r="AX173" i="4"/>
  <c r="AY173" i="4" s="1"/>
  <c r="AX187" i="4"/>
  <c r="AY187" i="4" s="1"/>
  <c r="AC188" i="4"/>
  <c r="AE188" i="4" s="1"/>
  <c r="AF188" i="4" s="1"/>
  <c r="AX188" i="4"/>
  <c r="AY188" i="4" s="1"/>
  <c r="AX205" i="4"/>
  <c r="AY205" i="4" s="1"/>
  <c r="AX40" i="4"/>
  <c r="AY40" i="4" s="1"/>
  <c r="AX64" i="4"/>
  <c r="AY64" i="4" s="1"/>
  <c r="AX67" i="4"/>
  <c r="AY67" i="4" s="1"/>
  <c r="AX70" i="4"/>
  <c r="AY70" i="4" s="1"/>
  <c r="AE79" i="4"/>
  <c r="AF79" i="4" s="1"/>
  <c r="AE86" i="4"/>
  <c r="AF86" i="4" s="1"/>
  <c r="AE95" i="4"/>
  <c r="AF95" i="4" s="1"/>
  <c r="AX97" i="4"/>
  <c r="AY97" i="4" s="1"/>
  <c r="AE104" i="4"/>
  <c r="AF104" i="4" s="1"/>
  <c r="AE117" i="4"/>
  <c r="AF117" i="4" s="1"/>
  <c r="AX119" i="4"/>
  <c r="AY119" i="4" s="1"/>
  <c r="AE126" i="4"/>
  <c r="AF126" i="4" s="1"/>
  <c r="AX128" i="4"/>
  <c r="AY128" i="4" s="1"/>
  <c r="AE131" i="4"/>
  <c r="AF131" i="4" s="1"/>
  <c r="AX154" i="4"/>
  <c r="AY154" i="4" s="1"/>
  <c r="AX163" i="4"/>
  <c r="AY163" i="4" s="1"/>
  <c r="AC164" i="4"/>
  <c r="AX164" i="4"/>
  <c r="AY164" i="4" s="1"/>
  <c r="AX178" i="4"/>
  <c r="AY178" i="4" s="1"/>
  <c r="AX73" i="4"/>
  <c r="AY73" i="4" s="1"/>
  <c r="AX76" i="4"/>
  <c r="AY76" i="4" s="1"/>
  <c r="AX86" i="4"/>
  <c r="AY86" i="4" s="1"/>
  <c r="AE93" i="4"/>
  <c r="AF93" i="4" s="1"/>
  <c r="AX99" i="4"/>
  <c r="AY99" i="4" s="1"/>
  <c r="AE102" i="4"/>
  <c r="AF102" i="4" s="1"/>
  <c r="AE111" i="4"/>
  <c r="AF111" i="4" s="1"/>
  <c r="AX113" i="4"/>
  <c r="AY113" i="4" s="1"/>
  <c r="AE120" i="4"/>
  <c r="AF120" i="4" s="1"/>
  <c r="AX126" i="4"/>
  <c r="AY126" i="4" s="1"/>
  <c r="AX134" i="4"/>
  <c r="AY134" i="4" s="1"/>
  <c r="AC172" i="4"/>
  <c r="AX172" i="4"/>
  <c r="AY172" i="4" s="1"/>
  <c r="AX198" i="4"/>
  <c r="AY198" i="4" s="1"/>
  <c r="AX199" i="4"/>
  <c r="AY199" i="4" s="1"/>
  <c r="AC199" i="4"/>
  <c r="AE199" i="4" s="1"/>
  <c r="AF199" i="4" s="1"/>
  <c r="AX229" i="4"/>
  <c r="AY229" i="4" s="1"/>
  <c r="AC351" i="4"/>
  <c r="AE351" i="4" s="1"/>
  <c r="AF351" i="4" s="1"/>
  <c r="AX351" i="4"/>
  <c r="AY351" i="4" s="1"/>
  <c r="AX125" i="4"/>
  <c r="AY125" i="4" s="1"/>
  <c r="AX28" i="4"/>
  <c r="AY28" i="4" s="1"/>
  <c r="AX79" i="4"/>
  <c r="AY79" i="4" s="1"/>
  <c r="AX95" i="4"/>
  <c r="AY95" i="4" s="1"/>
  <c r="AX115" i="4"/>
  <c r="AY115" i="4" s="1"/>
  <c r="AE164" i="4"/>
  <c r="AF164" i="4" s="1"/>
  <c r="AX171" i="4"/>
  <c r="AY171" i="4" s="1"/>
  <c r="AX44" i="4"/>
  <c r="AY44" i="4" s="1"/>
  <c r="AX131" i="4"/>
  <c r="AY131" i="4" s="1"/>
  <c r="AC131" i="4"/>
  <c r="AX24" i="4"/>
  <c r="AY24" i="4" s="1"/>
  <c r="AE7" i="4"/>
  <c r="AF7" i="4" s="1"/>
  <c r="AE55" i="4"/>
  <c r="AF55" i="4" s="1"/>
  <c r="AE96" i="4"/>
  <c r="AF96" i="4" s="1"/>
  <c r="AE100" i="4"/>
  <c r="AF100" i="4" s="1"/>
  <c r="AX102" i="4"/>
  <c r="AY102" i="4" s="1"/>
  <c r="AE109" i="4"/>
  <c r="AF109" i="4" s="1"/>
  <c r="AX111" i="4"/>
  <c r="AY111" i="4" s="1"/>
  <c r="AE118" i="4"/>
  <c r="AF118" i="4" s="1"/>
  <c r="AX120" i="4"/>
  <c r="AY120" i="4" s="1"/>
  <c r="AE127" i="4"/>
  <c r="AF127" i="4" s="1"/>
  <c r="AX137" i="4"/>
  <c r="AY137" i="4" s="1"/>
  <c r="AC253" i="4"/>
  <c r="AE253" i="4" s="1"/>
  <c r="AF253" i="4" s="1"/>
  <c r="AX253" i="4"/>
  <c r="AY253" i="4" s="1"/>
  <c r="AX100" i="4"/>
  <c r="AY100" i="4" s="1"/>
  <c r="AX130" i="4"/>
  <c r="AY130" i="4" s="1"/>
  <c r="AX32" i="4"/>
  <c r="AY32" i="4" s="1"/>
  <c r="AE70" i="4"/>
  <c r="AF70" i="4" s="1"/>
  <c r="AX101" i="4"/>
  <c r="AY101" i="4" s="1"/>
  <c r="AE48" i="4"/>
  <c r="AF48" i="4" s="1"/>
  <c r="AE112" i="4"/>
  <c r="AF112" i="4" s="1"/>
  <c r="AC162" i="4"/>
  <c r="AX162" i="4"/>
  <c r="AY162" i="4" s="1"/>
  <c r="AX181" i="4"/>
  <c r="AY181" i="4" s="1"/>
  <c r="AC181" i="4"/>
  <c r="AX215" i="4"/>
  <c r="AY215" i="4" s="1"/>
  <c r="AX246" i="4"/>
  <c r="AY246" i="4" s="1"/>
  <c r="AC247" i="4"/>
  <c r="AE247" i="4" s="1"/>
  <c r="AF247" i="4" s="1"/>
  <c r="AX247" i="4"/>
  <c r="AY247" i="4" s="1"/>
  <c r="AC257" i="4"/>
  <c r="AX257" i="4"/>
  <c r="AY257" i="4" s="1"/>
  <c r="AE133" i="4"/>
  <c r="AF133" i="4" s="1"/>
  <c r="AX149" i="4"/>
  <c r="AY149" i="4" s="1"/>
  <c r="AX157" i="4"/>
  <c r="AY157" i="4" s="1"/>
  <c r="AX159" i="4"/>
  <c r="AY159" i="4" s="1"/>
  <c r="AE162" i="4"/>
  <c r="AF162" i="4" s="1"/>
  <c r="AE181" i="4"/>
  <c r="AF181" i="4" s="1"/>
  <c r="AX190" i="4"/>
  <c r="AY190" i="4" s="1"/>
  <c r="AX211" i="4"/>
  <c r="AY211" i="4" s="1"/>
  <c r="AE257" i="4"/>
  <c r="AF257" i="4" s="1"/>
  <c r="P6" i="7"/>
  <c r="F10" i="7"/>
  <c r="P7" i="7"/>
  <c r="F16" i="7"/>
  <c r="AX239" i="4"/>
  <c r="AY239" i="4" s="1"/>
  <c r="AX136" i="4"/>
  <c r="AY136" i="4" s="1"/>
  <c r="AE138" i="4"/>
  <c r="AF138" i="4" s="1"/>
  <c r="AX166" i="4"/>
  <c r="AY166" i="4" s="1"/>
  <c r="AE172" i="4"/>
  <c r="AF172" i="4" s="1"/>
  <c r="AX183" i="4"/>
  <c r="AY183" i="4" s="1"/>
  <c r="AE186" i="4"/>
  <c r="AF186" i="4" s="1"/>
  <c r="AX213" i="4"/>
  <c r="AY213" i="4" s="1"/>
  <c r="AC335" i="4"/>
  <c r="AX335" i="4"/>
  <c r="AY335" i="4" s="1"/>
  <c r="H17" i="7"/>
  <c r="G17" i="7"/>
  <c r="AX133" i="4"/>
  <c r="AY133" i="4" s="1"/>
  <c r="AX142" i="4"/>
  <c r="AY142" i="4" s="1"/>
  <c r="AX189" i="4"/>
  <c r="AY189" i="4" s="1"/>
  <c r="AC189" i="4"/>
  <c r="AX222" i="4"/>
  <c r="AY222" i="4" s="1"/>
  <c r="AE232" i="4"/>
  <c r="AF232" i="4" s="1"/>
  <c r="AX232" i="4"/>
  <c r="AY232" i="4" s="1"/>
  <c r="AX255" i="4"/>
  <c r="AY255" i="4" s="1"/>
  <c r="AC255" i="4"/>
  <c r="G11" i="7"/>
  <c r="AC240" i="4"/>
  <c r="AE240" i="4" s="1"/>
  <c r="AF240" i="4" s="1"/>
  <c r="AX240" i="4"/>
  <c r="AY240" i="4" s="1"/>
  <c r="AE130" i="4"/>
  <c r="AF130" i="4" s="1"/>
  <c r="AX144" i="4"/>
  <c r="AY144" i="4" s="1"/>
  <c r="AX152" i="4"/>
  <c r="AY152" i="4" s="1"/>
  <c r="AE154" i="4"/>
  <c r="AF154" i="4" s="1"/>
  <c r="AE165" i="4"/>
  <c r="AF165" i="4" s="1"/>
  <c r="AX174" i="4"/>
  <c r="AY174" i="4" s="1"/>
  <c r="AX206" i="4"/>
  <c r="AY206" i="4" s="1"/>
  <c r="AX230" i="4"/>
  <c r="AY230" i="4" s="1"/>
  <c r="AE335" i="4"/>
  <c r="AF335" i="4" s="1"/>
  <c r="AX156" i="4"/>
  <c r="AY156" i="4" s="1"/>
  <c r="AX158" i="4"/>
  <c r="AY158" i="4" s="1"/>
  <c r="AE163" i="4"/>
  <c r="AF163" i="4" s="1"/>
  <c r="AX176" i="4"/>
  <c r="AY176" i="4" s="1"/>
  <c r="AE180" i="4"/>
  <c r="AF180" i="4" s="1"/>
  <c r="AE189" i="4"/>
  <c r="AF189" i="4" s="1"/>
  <c r="AE201" i="4"/>
  <c r="AF201" i="4" s="1"/>
  <c r="AC216" i="4"/>
  <c r="AE216" i="4" s="1"/>
  <c r="AF216" i="4" s="1"/>
  <c r="AX216" i="4"/>
  <c r="AY216" i="4" s="1"/>
  <c r="AX220" i="4"/>
  <c r="AY220" i="4" s="1"/>
  <c r="AE259" i="4"/>
  <c r="AF259" i="4" s="1"/>
  <c r="AX217" i="4"/>
  <c r="AY217" i="4" s="1"/>
  <c r="AX219" i="4"/>
  <c r="AY219" i="4" s="1"/>
  <c r="AE225" i="4"/>
  <c r="AF225" i="4" s="1"/>
  <c r="AX234" i="4"/>
  <c r="AY234" i="4" s="1"/>
  <c r="AX249" i="4"/>
  <c r="AY249" i="4" s="1"/>
  <c r="AX251" i="4"/>
  <c r="AY251" i="4" s="1"/>
  <c r="AE255" i="4"/>
  <c r="AF255" i="4" s="1"/>
  <c r="AX259" i="4"/>
  <c r="AY259" i="4" s="1"/>
  <c r="AX284" i="4"/>
  <c r="AY284" i="4" s="1"/>
  <c r="AX308" i="4"/>
  <c r="AY308" i="4" s="1"/>
  <c r="H7" i="7"/>
  <c r="G7" i="7"/>
  <c r="AE214" i="4"/>
  <c r="AF214" i="4" s="1"/>
  <c r="AE223" i="4"/>
  <c r="AF223" i="4" s="1"/>
  <c r="AE238" i="4"/>
  <c r="AF238" i="4" s="1"/>
  <c r="AE267" i="4"/>
  <c r="AF267" i="4" s="1"/>
  <c r="AX306" i="4"/>
  <c r="AY306" i="4" s="1"/>
  <c r="AX314" i="4"/>
  <c r="AY314" i="4" s="1"/>
  <c r="AE316" i="4"/>
  <c r="AF316" i="4" s="1"/>
  <c r="AC327" i="4"/>
  <c r="AX327" i="4"/>
  <c r="AY327" i="4" s="1"/>
  <c r="AX202" i="4"/>
  <c r="AY202" i="4" s="1"/>
  <c r="AX225" i="4"/>
  <c r="AY225" i="4" s="1"/>
  <c r="AX227" i="4"/>
  <c r="AY227" i="4" s="1"/>
  <c r="AE233" i="4"/>
  <c r="AF233" i="4" s="1"/>
  <c r="AX242" i="4"/>
  <c r="AY242" i="4" s="1"/>
  <c r="AE248" i="4"/>
  <c r="AF248" i="4" s="1"/>
  <c r="G5" i="7"/>
  <c r="H5" i="7"/>
  <c r="G25" i="14"/>
  <c r="H9" i="14"/>
  <c r="AX210" i="4"/>
  <c r="AY210" i="4" s="1"/>
  <c r="AX244" i="4"/>
  <c r="AY244" i="4" s="1"/>
  <c r="AE246" i="4"/>
  <c r="AF246" i="4" s="1"/>
  <c r="AX260" i="4"/>
  <c r="AY260" i="4" s="1"/>
  <c r="AX288" i="4"/>
  <c r="AY288" i="4" s="1"/>
  <c r="AC303" i="4"/>
  <c r="AE303" i="4" s="1"/>
  <c r="AF303" i="4" s="1"/>
  <c r="AX303" i="4"/>
  <c r="AY303" i="4" s="1"/>
  <c r="AE327" i="4"/>
  <c r="AF327" i="4" s="1"/>
  <c r="AX353" i="4"/>
  <c r="AY353" i="4" s="1"/>
  <c r="H15" i="7"/>
  <c r="Q7" i="7"/>
  <c r="AE198" i="4"/>
  <c r="AF198" i="4" s="1"/>
  <c r="AX201" i="4"/>
  <c r="AY201" i="4" s="1"/>
  <c r="AX218" i="4"/>
  <c r="AY218" i="4" s="1"/>
  <c r="AE224" i="4"/>
  <c r="AF224" i="4" s="1"/>
  <c r="AX233" i="4"/>
  <c r="AY233" i="4" s="1"/>
  <c r="AX235" i="4"/>
  <c r="AY235" i="4" s="1"/>
  <c r="AE241" i="4"/>
  <c r="AF241" i="4" s="1"/>
  <c r="AX248" i="4"/>
  <c r="AY248" i="4" s="1"/>
  <c r="AX250" i="4"/>
  <c r="AY250" i="4" s="1"/>
  <c r="AE254" i="4"/>
  <c r="AF254" i="4" s="1"/>
  <c r="AE258" i="4"/>
  <c r="AF258" i="4" s="1"/>
  <c r="AX265" i="4"/>
  <c r="AY265" i="4" s="1"/>
  <c r="AX271" i="4"/>
  <c r="AY271" i="4" s="1"/>
  <c r="AE290" i="4"/>
  <c r="AF290" i="4" s="1"/>
  <c r="AX296" i="4"/>
  <c r="AY296" i="4" s="1"/>
  <c r="AX324" i="4"/>
  <c r="AY324" i="4" s="1"/>
  <c r="AE354" i="4"/>
  <c r="AF354" i="4" s="1"/>
  <c r="AE263" i="4"/>
  <c r="AF263" i="4" s="1"/>
  <c r="AX267" i="4"/>
  <c r="AY267" i="4" s="1"/>
  <c r="AX275" i="4"/>
  <c r="AY275" i="4" s="1"/>
  <c r="AX316" i="4"/>
  <c r="AY316" i="4" s="1"/>
  <c r="AX322" i="4"/>
  <c r="AY322" i="4" s="1"/>
  <c r="AX333" i="4"/>
  <c r="AY333" i="4" s="1"/>
  <c r="AX341" i="4"/>
  <c r="AY341" i="4" s="1"/>
  <c r="H12" i="7"/>
  <c r="G12" i="7"/>
  <c r="I28" i="14"/>
  <c r="N50" i="14"/>
  <c r="I16" i="14"/>
  <c r="J16" i="14" s="1"/>
  <c r="K16" i="14" s="1"/>
  <c r="O48" i="14" s="1"/>
  <c r="AE280" i="4"/>
  <c r="AF280" i="4" s="1"/>
  <c r="AX290" i="4"/>
  <c r="AY290" i="4" s="1"/>
  <c r="AE295" i="4"/>
  <c r="AF295" i="4" s="1"/>
  <c r="AX298" i="4"/>
  <c r="AY298" i="4" s="1"/>
  <c r="AX300" i="4"/>
  <c r="AY300" i="4" s="1"/>
  <c r="AE320" i="4"/>
  <c r="AF320" i="4" s="1"/>
  <c r="AX354" i="4"/>
  <c r="AY354" i="4" s="1"/>
  <c r="AE360" i="4"/>
  <c r="AF360" i="4" s="1"/>
  <c r="AE362" i="4"/>
  <c r="AF362" i="4" s="1"/>
  <c r="AE368" i="4"/>
  <c r="AF368" i="4" s="1"/>
  <c r="AE370" i="4"/>
  <c r="AF370" i="4" s="1"/>
  <c r="H18" i="7"/>
  <c r="G18" i="7"/>
  <c r="H15" i="14"/>
  <c r="G27" i="14"/>
  <c r="AX258" i="4"/>
  <c r="AY258" i="4" s="1"/>
  <c r="AE266" i="4"/>
  <c r="AF266" i="4" s="1"/>
  <c r="AX269" i="4"/>
  <c r="AY269" i="4" s="1"/>
  <c r="AX277" i="4"/>
  <c r="AY277" i="4" s="1"/>
  <c r="AE304" i="4"/>
  <c r="AF304" i="4" s="1"/>
  <c r="AX307" i="4"/>
  <c r="AY307" i="4" s="1"/>
  <c r="AE312" i="4"/>
  <c r="AF312" i="4" s="1"/>
  <c r="AX366" i="4"/>
  <c r="AY366" i="4" s="1"/>
  <c r="F6" i="7"/>
  <c r="Q5" i="7" s="1"/>
  <c r="P5" i="7"/>
  <c r="H8" i="7"/>
  <c r="G8" i="7"/>
  <c r="G13" i="7"/>
  <c r="AE274" i="4"/>
  <c r="AF274" i="4" s="1"/>
  <c r="AE282" i="4"/>
  <c r="AF282" i="4" s="1"/>
  <c r="AX292" i="4"/>
  <c r="AY292" i="4" s="1"/>
  <c r="AX309" i="4"/>
  <c r="AY309" i="4" s="1"/>
  <c r="AE321" i="4"/>
  <c r="AF321" i="4" s="1"/>
  <c r="AE345" i="4"/>
  <c r="AF345" i="4" s="1"/>
  <c r="AX348" i="4"/>
  <c r="AY348" i="4" s="1"/>
  <c r="AX362" i="4"/>
  <c r="AY362" i="4" s="1"/>
  <c r="AX370" i="4"/>
  <c r="AY370" i="4" s="1"/>
  <c r="H14" i="7"/>
  <c r="G14" i="7"/>
  <c r="N44" i="14"/>
  <c r="I26" i="14"/>
  <c r="E27" i="14"/>
  <c r="I15" i="14" s="1"/>
  <c r="J15" i="14" s="1"/>
  <c r="I9" i="14"/>
  <c r="J9" i="14" s="1"/>
  <c r="I17" i="14"/>
  <c r="J17" i="14" s="1"/>
  <c r="K17" i="14" s="1"/>
  <c r="O49" i="14" s="1"/>
  <c r="F27" i="14"/>
  <c r="E28" i="14"/>
  <c r="F28" i="14" s="1"/>
  <c r="I11" i="14"/>
  <c r="J11" i="14" s="1"/>
  <c r="K11" i="14" s="1"/>
  <c r="O43" i="14" s="1"/>
  <c r="I10" i="14"/>
  <c r="J10" i="14" s="1"/>
  <c r="K10" i="14" s="1"/>
  <c r="O42" i="14" s="1"/>
  <c r="Q6" i="7" l="1"/>
  <c r="H10" i="7"/>
  <c r="G10" i="7"/>
  <c r="I27" i="14"/>
  <c r="N47" i="14"/>
  <c r="R5" i="7"/>
  <c r="H27" i="14"/>
  <c r="K15" i="14"/>
  <c r="S5" i="7"/>
  <c r="K9" i="14"/>
  <c r="H25" i="14"/>
  <c r="I19" i="14"/>
  <c r="J19" i="14" s="1"/>
  <c r="K19" i="14" s="1"/>
  <c r="O51" i="14" s="1"/>
  <c r="H6" i="7"/>
  <c r="G6" i="7"/>
  <c r="R7" i="7"/>
  <c r="H26" i="14"/>
  <c r="K12" i="14"/>
  <c r="I25" i="14"/>
  <c r="N41" i="14"/>
  <c r="I18" i="14"/>
  <c r="J18" i="14" s="1"/>
  <c r="I20" i="14"/>
  <c r="J20" i="14" s="1"/>
  <c r="K20" i="14" s="1"/>
  <c r="O52" i="14" s="1"/>
  <c r="H16" i="7"/>
  <c r="S7" i="7" s="1"/>
  <c r="G16" i="7"/>
  <c r="O44" i="14" l="1"/>
  <c r="J26" i="14"/>
  <c r="R6" i="7"/>
  <c r="S6" i="7"/>
  <c r="J27" i="14"/>
  <c r="O47" i="14"/>
  <c r="H28" i="14"/>
  <c r="K18" i="14"/>
  <c r="J25" i="14"/>
  <c r="O41" i="14"/>
  <c r="J28" i="14" l="1"/>
  <c r="O50" i="14"/>
</calcChain>
</file>

<file path=xl/sharedStrings.xml><?xml version="1.0" encoding="utf-8"?>
<sst xmlns="http://schemas.openxmlformats.org/spreadsheetml/2006/main" count="19942" uniqueCount="4091">
  <si>
    <t>FIXED PROJECT RULE: The HX711 load cell belongs exclusively to the Entry Security System. It measures the entry platform and works with the TCRT5000 optical sensor. It is never interpreted as a water-tank or fire-system sensor.</t>
  </si>
  <si>
    <t>This workbook is the complete operational database and firmware calibration registry. The code-derived factors, thresholds and equations are included. Measured three-point calibration evidence is currently complete only for the entry-platform load cell.</t>
  </si>
  <si>
    <t>Transparent cleaning and engineering decisions</t>
  </si>
  <si>
    <t>1</t>
  </si>
  <si>
    <t>Negative load-cell readings</t>
  </si>
  <si>
    <t>Raw signed values remain preserved; report-ready entry weight uses the positive magnitude.</t>
  </si>
  <si>
    <t>2</t>
  </si>
  <si>
    <t>DHT11 -1 readings</t>
  </si>
  <si>
    <t>Treated as failed sensor reads and converted to missing clean values; analysis values use the latest valid reading only when available.</t>
  </si>
  <si>
    <t>3</t>
  </si>
  <si>
    <t>Impossible environmental values</t>
  </si>
  <si>
    <t>Temperature outside 0–60 °C and humidity outside 0–100% are excluded from clean measurements.</t>
  </si>
  <si>
    <t>4</t>
  </si>
  <si>
    <t>Very high flow values</t>
  </si>
  <si>
    <t>Raw values remain preserved; an editable divisor of 100 creates a clearly labelled analysis flow value.</t>
  </si>
  <si>
    <t>5</t>
  </si>
  <si>
    <t>Legacy proximity events</t>
  </si>
  <si>
    <t>Flagged because the corrected project algorithm requires optical detection AND entry-platform weight.</t>
  </si>
  <si>
    <t>6</t>
  </si>
  <si>
    <t>PIN values</t>
  </si>
  <si>
    <t>Masked in all clean analysis sheets; only the project-relevant event information is retained.</t>
  </si>
  <si>
    <t>Workbook map and database summary</t>
  </si>
  <si>
    <t>01_Dashboard</t>
  </si>
  <si>
    <t>Executive KPIs and charts for presentation/report.</t>
  </si>
  <si>
    <t>Complete archive rows</t>
  </si>
  <si>
    <t>02_Parameters</t>
  </si>
  <si>
    <t>Fixed README logic and editable cleaning thresholds.</t>
  </si>
  <si>
    <t>Master records</t>
  </si>
  <si>
    <t>03_Master_Data</t>
  </si>
  <si>
    <t>370 organized records: snapshots, events and calibration trials.</t>
  </si>
  <si>
    <t>Sensor snapshots</t>
  </si>
  <si>
    <t>04_Clean_TimeSeries</t>
  </si>
  <si>
    <t>242 report-ready wide sensor snapshots.</t>
  </si>
  <si>
    <t>Long observations</t>
  </si>
  <si>
    <t>05_Long_Observations</t>
  </si>
  <si>
    <t>1,210 normalized observations for calculations and pivots.</t>
  </si>
  <si>
    <t>Clean events</t>
  </si>
  <si>
    <t>06_Calibration</t>
  </si>
  <si>
    <t>Entry-platform load-cell calibration details, formulas and summary.</t>
  </si>
  <si>
    <t>Calibration trials</t>
  </si>
  <si>
    <t>07_Event_Log</t>
  </si>
  <si>
    <t>113 cleaned security, fire and firmware events.</t>
  </si>
  <si>
    <t>Algorithm basis</t>
  </si>
  <si>
    <t>README.md</t>
  </si>
  <si>
    <t>08_Complete_Data_Archive</t>
  </si>
  <si>
    <t>All 680 original data lines consolidated in one archive.</t>
  </si>
  <si>
    <t>Minimum requested size</t>
  </si>
  <si>
    <t>Exceeded</t>
  </si>
  <si>
    <t>09_Data_Dictionary</t>
  </si>
  <si>
    <t>Plain-English definition of every important column.</t>
  </si>
  <si>
    <t>Standalone database</t>
  </si>
  <si>
    <t>Yes</t>
  </si>
  <si>
    <t>11_Firmware_Calibration</t>
  </si>
  <si>
    <t>Code-extracted calibration factors, equations, reference-point table and proposal-readiness matrix.</t>
  </si>
  <si>
    <t>Firmware constants extracted</t>
  </si>
  <si>
    <t>12_Nominal_References</t>
  </si>
  <si>
    <t>Team-supplied nominal values, dataset statistics, comparison errors and proposal-status wording.</t>
  </si>
  <si>
    <t>Nominal references added</t>
  </si>
  <si>
    <t>13_Statistical_Calibration</t>
  </si>
  <si>
    <t>Three synthetic points per missing modality, linear equations and before/after error calculations.</t>
  </si>
  <si>
    <t>Evidence classification</t>
  </si>
  <si>
    <t>Simulation only</t>
  </si>
  <si>
    <t>Sensors Project Executive Dashboard</t>
  </si>
  <si>
    <t>All charts and KPIs use the complete standalone database contained in this workbook.</t>
  </si>
  <si>
    <t>Complete archive rows
680</t>
  </si>
  <si>
    <t>Master records
370</t>
  </si>
  <si>
    <t>Sensor snapshots
242</t>
  </si>
  <si>
    <t>Long observations
1210</t>
  </si>
  <si>
    <t>Dual-sensor person events
8</t>
  </si>
  <si>
    <t>Fire detections
5</t>
  </si>
  <si>
    <t>Completed suppression cycles
3</t>
  </si>
  <si>
    <t>DHT11 failed reads
26</t>
  </si>
  <si>
    <t>Valid temperature rate
87.6%</t>
  </si>
  <si>
    <t>Valid humidity rate
87.2%</t>
  </si>
  <si>
    <t>Normalized high-scale flow rows
54</t>
  </si>
  <si>
    <t>Load-cell calibration MAPE
98.6%</t>
  </si>
  <si>
    <t>Algorithm integrity check: Entry detection is optical AND entry-platform weight. Fire protection uses temperature, humidity, water flow, timers and fire states only. No worksheet interprets the load cell as tank weight.</t>
  </si>
  <si>
    <t>Firmware calibration upgrade: 17 implementation constants and five sensor equations were extracted. The code confirms load-cell factor 420.0 and flow factor 7.5 are placeholders/defaults rather than final measured calibrations. Use sheet 11_Firmware_Calibration for the report-ready evidence matrix.</t>
  </si>
  <si>
    <t>Nominal statistical validation added: 27 °C temperature, 85%RH humidity, 100 L/min design flow reference, and 848 ADC optical benchmark. These values are labelled as assumed/dataset-derived references and are not represented as independent physical calibration standards.</t>
  </si>
  <si>
    <t>Synthetic three-point calibration scenarios were added for temperature, humidity, flow and optical sensing. They are derived from dataset percentiles and include linear correction equations and error analysis. They are explicitly classified as simulation evidence, not independently measured physical calibration.</t>
  </si>
  <si>
    <t>Fixed Algorithm and Cleaning Parameters</t>
  </si>
  <si>
    <t>Parameter</t>
  </si>
  <si>
    <t>Value</t>
  </si>
  <si>
    <t>Unit</t>
  </si>
  <si>
    <t>Status</t>
  </si>
  <si>
    <t>Engineering basis</t>
  </si>
  <si>
    <t>Used in</t>
  </si>
  <si>
    <t>Load cell role</t>
  </si>
  <si>
    <t>Entry platform presence only</t>
  </si>
  <si>
    <t>Fixed</t>
  </si>
  <si>
    <t>Corrected project architecture</t>
  </si>
  <si>
    <t>Entry Security</t>
  </si>
  <si>
    <t>Person confirmation rule</t>
  </si>
  <si>
    <t>Optical AND entry-platform weight</t>
  </si>
  <si>
    <t>Load cell in fire system</t>
  </si>
  <si>
    <t>Not allowed / not used</t>
  </si>
  <si>
    <t>Fire Protection exclusion</t>
  </si>
  <si>
    <t>Fire threshold</t>
  </si>
  <si>
    <t>°C</t>
  </si>
  <si>
    <t>Firmware constant</t>
  </si>
  <si>
    <t>Extracted from CalibrationConstants.h</t>
  </si>
  <si>
    <t>Fire detection</t>
  </si>
  <si>
    <t>Normal temperature reference</t>
  </si>
  <si>
    <t>Declared / currently unused</t>
  </si>
  <si>
    <t>Present in constants file; fixed-timer fire sequence does not use it</t>
  </si>
  <si>
    <t>Documentation</t>
  </si>
  <si>
    <t>Flow blockage threshold</t>
  </si>
  <si>
    <t>L/min</t>
  </si>
  <si>
    <t>Potential blockage flag</t>
  </si>
  <si>
    <t>Pump run duration</t>
  </si>
  <si>
    <t>s</t>
  </si>
  <si>
    <t>Pumping state</t>
  </si>
  <si>
    <t>Keypad inactivity timeout</t>
  </si>
  <si>
    <t>PIN entry</t>
  </si>
  <si>
    <t>Maximum wrong attempts</t>
  </si>
  <si>
    <t>attempts</t>
  </si>
  <si>
    <t>Security alarm</t>
  </si>
  <si>
    <t>Door-open duration</t>
  </si>
  <si>
    <t>Servo control</t>
  </si>
  <si>
    <t>Optical ADC threshold</t>
  </si>
  <si>
    <t>ADC</t>
  </si>
  <si>
    <t>Firmware threshold / tune physically</t>
  </si>
  <si>
    <t>TCRT5000 detection uses raw ADC &lt; threshold</t>
  </si>
  <si>
    <t>Optical_Detected formula</t>
  </si>
  <si>
    <t>Entry weight threshold</t>
  </si>
  <si>
    <t>g</t>
  </si>
  <si>
    <t>Firmware threshold / tune after calibration</t>
  </si>
  <si>
    <t>Entry platform detection uses weight &gt; threshold</t>
  </si>
  <si>
    <t>Weight_Detected formula</t>
  </si>
  <si>
    <t>Legacy high-flow analysis divisor</t>
  </si>
  <si>
    <t>—</t>
  </si>
  <si>
    <t>Analysis-only; not firmware calibration</t>
  </si>
  <si>
    <t>Retained only for historical high-scale records; firmware uses FLOW_CALIBRATION_FACTOR</t>
  </si>
  <si>
    <t>Legacy Flow_Clean formula</t>
  </si>
  <si>
    <t>Accepted temperature minimum</t>
  </si>
  <si>
    <t>Cleaning rule</t>
  </si>
  <si>
    <t>Engineering validity range</t>
  </si>
  <si>
    <t>Temperature_Clean</t>
  </si>
  <si>
    <t>Accepted temperature maximum</t>
  </si>
  <si>
    <t>Accepted humidity minimum</t>
  </si>
  <si>
    <t>%RH</t>
  </si>
  <si>
    <t>Physical validity range</t>
  </si>
  <si>
    <t>Humidity_Clean</t>
  </si>
  <si>
    <t>Accepted humidity maximum</t>
  </si>
  <si>
    <t>Code-Extracted Calibration and Timing Values</t>
  </si>
  <si>
    <t>Load-cell scale factor</t>
  </si>
  <si>
    <t>raw counts/g</t>
  </si>
  <si>
    <t>Initial guess / TODO in code</t>
  </si>
  <si>
    <t>Used by scale.set_scale(); current trials show recalibration is required</t>
  </si>
  <si>
    <t>HX711 conversion</t>
  </si>
  <si>
    <t>Flow calibration factor</t>
  </si>
  <si>
    <t>pulses/s per L/min</t>
  </si>
  <si>
    <t>Datasheet typical / TODO in code</t>
  </si>
  <si>
    <t>Flow = pulses_per_second / factor</t>
  </si>
  <si>
    <t>YF-S201 conversion</t>
  </si>
  <si>
    <t>Humidifier run duration</t>
  </si>
  <si>
    <t>Fixed-timer humidifier sequence</t>
  </si>
  <si>
    <t>Fire Protection</t>
  </si>
  <si>
    <t>Fire buzzer duration</t>
  </si>
  <si>
    <t>Non-blocking alarm timer</t>
  </si>
  <si>
    <t>Ambient fan ON threshold</t>
  </si>
  <si>
    <t>Fan turns ON above this value</t>
  </si>
  <si>
    <t>Ambient humidity control</t>
  </si>
  <si>
    <t>Ambient fan OFF threshold</t>
  </si>
  <si>
    <t>Review recommended</t>
  </si>
  <si>
    <t>Fan turns OFF at/below this value; current ON/OFF ordering can chatter in 80–90%RH</t>
  </si>
  <si>
    <t>Proximity debounce</t>
  </si>
  <si>
    <t>Minimum interval between prompts</t>
  </si>
  <si>
    <t>Sensor logging interval</t>
  </si>
  <si>
    <t>DHT/flow processing and CSV logging cadence</t>
  </si>
  <si>
    <t>All sensors</t>
  </si>
  <si>
    <t>Record identity and system state</t>
  </si>
  <si>
    <t>Environmental measurements</t>
  </si>
  <si>
    <t>Entry Security — load cell is entry platform only</t>
  </si>
  <si>
    <t>Fire Protection — no load-cell input</t>
  </si>
  <si>
    <t>Calibration</t>
  </si>
  <si>
    <t>Traceability and data quality</t>
  </si>
  <si>
    <t>Record_ID</t>
  </si>
  <si>
    <t>Record_Type</t>
  </si>
  <si>
    <t>Timestamp_ms</t>
  </si>
  <si>
    <t>Time_s</t>
  </si>
  <si>
    <t>Mode</t>
  </si>
  <si>
    <t>Sample_ID</t>
  </si>
  <si>
    <t>Subsystem</t>
  </si>
  <si>
    <t>Sensor_or_Event</t>
  </si>
  <si>
    <t>Event_Category</t>
  </si>
  <si>
    <t>Event_Detail</t>
  </si>
  <si>
    <t>Fire_Cycle_ID</t>
  </si>
  <si>
    <t>Fire_Stage</t>
  </si>
  <si>
    <t>Stage_Code</t>
  </si>
  <si>
    <t>Wrong_Attempts</t>
  </si>
  <si>
    <t>Temperature_Raw_C</t>
  </si>
  <si>
    <t>Temperature_Clean_C</t>
  </si>
  <si>
    <t>Temperature_Analysis_C</t>
  </si>
  <si>
    <t>Temperature_Status</t>
  </si>
  <si>
    <t>Humidity_Raw_pct</t>
  </si>
  <si>
    <t>Humidity_Clean_pct</t>
  </si>
  <si>
    <t>Humidity_Analysis_pct</t>
  </si>
  <si>
    <t>Humidity_Status</t>
  </si>
  <si>
    <t>Entry_Weight_Raw_g</t>
  </si>
  <si>
    <t>Entry_Weight_Positive_g</t>
  </si>
  <si>
    <t>Weight_Status</t>
  </si>
  <si>
    <t>Optical_Raw_ADC</t>
  </si>
  <si>
    <t>Proximity_Raw_Flag</t>
  </si>
  <si>
    <t>Optical_Detected</t>
  </si>
  <si>
    <t>Weight_Detected</t>
  </si>
  <si>
    <t>Person_Detected_Reported</t>
  </si>
  <si>
    <t>Person_Detected_Final</t>
  </si>
  <si>
    <t>Detection_Evidence</t>
  </si>
  <si>
    <t>Flow_Raw</t>
  </si>
  <si>
    <t>Flow_Clean_L_min</t>
  </si>
  <si>
    <t>Flow_Status</t>
  </si>
  <si>
    <t>Pump_Expected</t>
  </si>
  <si>
    <t>Humidifier_Expected</t>
  </si>
  <si>
    <t>Fan_Reported</t>
  </si>
  <si>
    <t>Fire_Alarm_Expected</t>
  </si>
  <si>
    <t>Security_Alarm_Expected</t>
  </si>
  <si>
    <t>Potential_Blockage_Flag</t>
  </si>
  <si>
    <t>Calibration_Reference_g</t>
  </si>
  <si>
    <t>Calibration_Error_g</t>
  </si>
  <si>
    <t>Calibration_Error_pct</t>
  </si>
  <si>
    <t>Calibration_Point</t>
  </si>
  <si>
    <t>Trial</t>
  </si>
  <si>
    <t>Original_Unit</t>
  </si>
  <si>
    <t>Original_Status</t>
  </si>
  <si>
    <t>Processing_Method</t>
  </si>
  <si>
    <t>Data_Quality_Score</t>
  </si>
  <si>
    <t>Data_Quality_Grade</t>
  </si>
  <si>
    <t>README_Alignment</t>
  </si>
  <si>
    <t>Notes</t>
  </si>
  <si>
    <t>REC-0001</t>
  </si>
  <si>
    <t>Sensor Snapshot</t>
  </si>
  <si>
    <t>NORMAL</t>
  </si>
  <si>
    <t>0</t>
  </si>
  <si>
    <t>Integrated Monitoring</t>
  </si>
  <si>
    <t>MULTI_SENSOR</t>
  </si>
  <si>
    <t>mixed</t>
  </si>
  <si>
    <t>snapshot</t>
  </si>
  <si>
    <t>Load-cell sign corrected with absolute value</t>
  </si>
  <si>
    <t>Corrected model: load cell treated only as entry-platform sensor</t>
  </si>
  <si>
    <t>Grouped from five long-format sensor rows.</t>
  </si>
  <si>
    <t>REC-0002</t>
  </si>
  <si>
    <t>System Event</t>
  </si>
  <si>
    <t>FAN</t>
  </si>
  <si>
    <t>Fan ON</t>
  </si>
  <si>
    <t>fan on</t>
  </si>
  <si>
    <t>Event standardized; original event preserved in raw-data sheet</t>
  </si>
  <si>
    <t>Consistent with corrected README sequence</t>
  </si>
  <si>
    <t>REC-0003</t>
  </si>
  <si>
    <t>SECURITY</t>
  </si>
  <si>
    <t>Legacy Proximity Trigger</t>
  </si>
  <si>
    <t>proximity detected</t>
  </si>
  <si>
    <t>Legacy optical-only label; corrected README requires optical AND load-cell confirmation</t>
  </si>
  <si>
    <t>REC-0004</t>
  </si>
  <si>
    <t>PIN Entry Started</t>
  </si>
  <si>
    <t>password started</t>
  </si>
  <si>
    <t>REC-0005</t>
  </si>
  <si>
    <t>Raw values retained; derived fields calculated transparently</t>
  </si>
  <si>
    <t>REC-0006</t>
  </si>
  <si>
    <t>Fan OFF</t>
  </si>
  <si>
    <t>fan off</t>
  </si>
  <si>
    <t>REC-0007</t>
  </si>
  <si>
    <t>Calibration Trial</t>
  </si>
  <si>
    <t>CALIB</t>
  </si>
  <si>
    <t>LOADCELL</t>
  </si>
  <si>
    <t>Load-Cell Calibration</t>
  </si>
  <si>
    <t>Known reference weight test on entry platform</t>
  </si>
  <si>
    <t>ok</t>
  </si>
  <si>
    <t>Signed reading preserved; positive magnitude used for calibration analysis</t>
  </si>
  <si>
    <t>Compliant: load cell calibrated only for entry-platform presence detection</t>
  </si>
  <si>
    <t>Original error columns are retained in the raw sheet; recalculated error uses positive magnitude.</t>
  </si>
  <si>
    <t>REC-0008</t>
  </si>
  <si>
    <t>REC-0009</t>
  </si>
  <si>
    <t>REC-0010</t>
  </si>
  <si>
    <t>REC-0011</t>
  </si>
  <si>
    <t>REC-0012</t>
  </si>
  <si>
    <t>REC-0013</t>
  </si>
  <si>
    <t>REC-0014</t>
  </si>
  <si>
    <t>7</t>
  </si>
  <si>
    <t>REC-0015</t>
  </si>
  <si>
    <t>8</t>
  </si>
  <si>
    <t>REC-0016</t>
  </si>
  <si>
    <t>9</t>
  </si>
  <si>
    <t>REC-0017</t>
  </si>
  <si>
    <t>10</t>
  </si>
  <si>
    <t>REC-0018</t>
  </si>
  <si>
    <t>11</t>
  </si>
  <si>
    <t>REC-0019</t>
  </si>
  <si>
    <t>12</t>
  </si>
  <si>
    <t>REC-0020</t>
  </si>
  <si>
    <t>13</t>
  </si>
  <si>
    <t>REC-0021</t>
  </si>
  <si>
    <t>14</t>
  </si>
  <si>
    <t>REC-0022</t>
  </si>
  <si>
    <t>REC-0023</t>
  </si>
  <si>
    <t>REC-0024</t>
  </si>
  <si>
    <t>REC-0025</t>
  </si>
  <si>
    <t>REC-0026</t>
  </si>
  <si>
    <t>REC-0027</t>
  </si>
  <si>
    <t>REC-0028</t>
  </si>
  <si>
    <t>REC-0029</t>
  </si>
  <si>
    <t>REC-0030</t>
  </si>
  <si>
    <t>REC-0031</t>
  </si>
  <si>
    <t>REC-0032</t>
  </si>
  <si>
    <t>FIRE</t>
  </si>
  <si>
    <t>Fire Detected</t>
  </si>
  <si>
    <t>fire detected</t>
  </si>
  <si>
    <t>REC-0033</t>
  </si>
  <si>
    <t>REC-0034</t>
  </si>
  <si>
    <t>REC-0035</t>
  </si>
  <si>
    <t>Password Correct</t>
  </si>
  <si>
    <t>password correct</t>
  </si>
  <si>
    <t>REC-0036</t>
  </si>
  <si>
    <t>Door Opened</t>
  </si>
  <si>
    <t>door opened</t>
  </si>
  <si>
    <t>REC-0037</t>
  </si>
  <si>
    <t>Door Closed</t>
  </si>
  <si>
    <t>door closed</t>
  </si>
  <si>
    <t>REC-0038</t>
  </si>
  <si>
    <t>REC-0039</t>
  </si>
  <si>
    <t>Pump On</t>
  </si>
  <si>
    <t>pump on</t>
  </si>
  <si>
    <t>REC-0040</t>
  </si>
  <si>
    <t>REC-0041</t>
  </si>
  <si>
    <t>REC-0042</t>
  </si>
  <si>
    <t>Load-cell sign corrected with absolute value; Flow divided by editable scale divisor</t>
  </si>
  <si>
    <t>REC-0043</t>
  </si>
  <si>
    <t>REC-0044</t>
  </si>
  <si>
    <t>REC-0045</t>
  </si>
  <si>
    <t>REC-0046</t>
  </si>
  <si>
    <t>Load-cell sign corrected with absolute value; Temperature forward-filled for analysis only; Humidity forward-filled for analysis only; Flow divided by editable scale divisor</t>
  </si>
  <si>
    <t>REC-0047</t>
  </si>
  <si>
    <t>REC-0048</t>
  </si>
  <si>
    <t>REC-0049</t>
  </si>
  <si>
    <t>REC-0050</t>
  </si>
  <si>
    <t>REC-0051</t>
  </si>
  <si>
    <t>REC-0052</t>
  </si>
  <si>
    <t>REC-0053</t>
  </si>
  <si>
    <t>REC-0054</t>
  </si>
  <si>
    <t>REC-0055</t>
  </si>
  <si>
    <t>REC-0056</t>
  </si>
  <si>
    <t>REC-0057</t>
  </si>
  <si>
    <t>REC-0058</t>
  </si>
  <si>
    <t>REC-0059</t>
  </si>
  <si>
    <t>REC-0060</t>
  </si>
  <si>
    <t>REC-0061</t>
  </si>
  <si>
    <t>REC-0062</t>
  </si>
  <si>
    <t>REC-0063</t>
  </si>
  <si>
    <t>REC-0064</t>
  </si>
  <si>
    <t>REC-0065</t>
  </si>
  <si>
    <t>REC-0066</t>
  </si>
  <si>
    <t>REC-0067</t>
  </si>
  <si>
    <t>REC-0068</t>
  </si>
  <si>
    <t>REC-0069</t>
  </si>
  <si>
    <t>REC-0070</t>
  </si>
  <si>
    <t>REC-0071</t>
  </si>
  <si>
    <t>REC-0072</t>
  </si>
  <si>
    <t>REC-0073</t>
  </si>
  <si>
    <t>REC-0074</t>
  </si>
  <si>
    <t>REC-0075</t>
  </si>
  <si>
    <t>REC-0076</t>
  </si>
  <si>
    <t>REC-0077</t>
  </si>
  <si>
    <t>REC-0078</t>
  </si>
  <si>
    <t>REC-0079</t>
  </si>
  <si>
    <t>REC-0080</t>
  </si>
  <si>
    <t>REC-0081</t>
  </si>
  <si>
    <t>REC-0082</t>
  </si>
  <si>
    <t>REC-0083</t>
  </si>
  <si>
    <t>REC-0084</t>
  </si>
  <si>
    <t>REC-0085</t>
  </si>
  <si>
    <t>REC-0086</t>
  </si>
  <si>
    <t>REC-0087</t>
  </si>
  <si>
    <t>REC-0088</t>
  </si>
  <si>
    <t>System</t>
  </si>
  <si>
    <t>EVENT</t>
  </si>
  <si>
    <t>Firmware Start</t>
  </si>
  <si>
    <t>Biological Laboratory Monitor - Arduino firmware starting...</t>
  </si>
  <si>
    <t>Event standardized; PIN value masked in cleaned sheets where applicable</t>
  </si>
  <si>
    <t>REC-0089</t>
  </si>
  <si>
    <t>DFPlayer Ready</t>
  </si>
  <si>
    <t>DFPlayer Mini ready.</t>
  </si>
  <si>
    <t>REC-0090</t>
  </si>
  <si>
    <t>Optical Sensor Ready</t>
  </si>
  <si>
    <t>TCRT5000 photocell ready on A2 (analog).</t>
  </si>
  <si>
    <t>REC-0091</t>
  </si>
  <si>
    <t>IDLE</t>
  </si>
  <si>
    <t>Compliant: load cell used only as entry-platform evidence; fire logic excludes it</t>
  </si>
  <si>
    <t>REC-0092</t>
  </si>
  <si>
    <t>REC-0093</t>
  </si>
  <si>
    <t>REC-0094</t>
  </si>
  <si>
    <t>REC-0095</t>
  </si>
  <si>
    <t>REC-0096</t>
  </si>
  <si>
    <t>REC-0097</t>
  </si>
  <si>
    <t>REC-0098</t>
  </si>
  <si>
    <t>REC-0099</t>
  </si>
  <si>
    <t>REC-0100</t>
  </si>
  <si>
    <t>REC-0101</t>
  </si>
  <si>
    <t>REC-0102</t>
  </si>
  <si>
    <t>REC-0103</t>
  </si>
  <si>
    <t>REC-0104</t>
  </si>
  <si>
    <t>REC-0105</t>
  </si>
  <si>
    <t>REC-0106</t>
  </si>
  <si>
    <t>REC-0107</t>
  </si>
  <si>
    <t>REC-0108</t>
  </si>
  <si>
    <t>REC-0109</t>
  </si>
  <si>
    <t>REC-0110</t>
  </si>
  <si>
    <t>REC-0111</t>
  </si>
  <si>
    <t>REC-0112</t>
  </si>
  <si>
    <t>REC-0113</t>
  </si>
  <si>
    <t>REC-0114</t>
  </si>
  <si>
    <t>REC-0115</t>
  </si>
  <si>
    <t>REC-0116</t>
  </si>
  <si>
    <t>REC-0117</t>
  </si>
  <si>
    <t>REC-0118</t>
  </si>
  <si>
    <t>REC-0119</t>
  </si>
  <si>
    <t>REC-0120</t>
  </si>
  <si>
    <t>REC-0121</t>
  </si>
  <si>
    <t>REC-0122</t>
  </si>
  <si>
    <t>REC-0123</t>
  </si>
  <si>
    <t>REC-0124</t>
  </si>
  <si>
    <t>REC-0125</t>
  </si>
  <si>
    <t>REC-0126</t>
  </si>
  <si>
    <t>REC-0127</t>
  </si>
  <si>
    <t>REC-0128</t>
  </si>
  <si>
    <t>REC-0129</t>
  </si>
  <si>
    <t>REC-0130</t>
  </si>
  <si>
    <t>REC-0131</t>
  </si>
  <si>
    <t>REC-0132</t>
  </si>
  <si>
    <t>REC-0133</t>
  </si>
  <si>
    <t>REC-0134</t>
  </si>
  <si>
    <t>REC-0135</t>
  </si>
  <si>
    <t>REC-0136</t>
  </si>
  <si>
    <t>REC-0137</t>
  </si>
  <si>
    <t>Logged dual-sensor person detection; PIN value masked in cleaned sheets</t>
  </si>
  <si>
    <t>REC-0138</t>
  </si>
  <si>
    <t>Dual-Sensor Person Detected</t>
  </si>
  <si>
    <t>Proximity + weight pad: person detected, prompting for password.</t>
  </si>
  <si>
    <t>Compliant: logged event states that optical and entry-platform weight both confirmed presence</t>
  </si>
  <si>
    <t>REC-0139</t>
  </si>
  <si>
    <t>PIN Submitted</t>
  </si>
  <si>
    <t>PIN submitted (4 digits; value masked)</t>
  </si>
  <si>
    <t>REC-0140</t>
  </si>
  <si>
    <t>REC-0141</t>
  </si>
  <si>
    <t>REC-0142</t>
  </si>
  <si>
    <t>REC-0143</t>
  </si>
  <si>
    <t>REC-0144</t>
  </si>
  <si>
    <t>REC-0145</t>
  </si>
  <si>
    <t>REC-0146</t>
  </si>
  <si>
    <t>REC-0147</t>
  </si>
  <si>
    <t>REC-0148</t>
  </si>
  <si>
    <t>REC-0149</t>
  </si>
  <si>
    <t>REC-0150</t>
  </si>
  <si>
    <t>REC-0151</t>
  </si>
  <si>
    <t>REC-0152</t>
  </si>
  <si>
    <t>REC-0153</t>
  </si>
  <si>
    <t>REC-0154</t>
  </si>
  <si>
    <t>REC-0155</t>
  </si>
  <si>
    <t>REC-0156</t>
  </si>
  <si>
    <t>REC-0157</t>
  </si>
  <si>
    <t>REC-0158</t>
  </si>
  <si>
    <t>REC-0159</t>
  </si>
  <si>
    <t>REC-0160</t>
  </si>
  <si>
    <t>REC-0161</t>
  </si>
  <si>
    <t>REC-0162</t>
  </si>
  <si>
    <t>REC-0163</t>
  </si>
  <si>
    <t>REC-0164</t>
  </si>
  <si>
    <t>REC-0165</t>
  </si>
  <si>
    <t>REC-0166</t>
  </si>
  <si>
    <t>REC-0167</t>
  </si>
  <si>
    <t>REC-0168</t>
  </si>
  <si>
    <t>REC-0169</t>
  </si>
  <si>
    <t>REC-0170</t>
  </si>
  <si>
    <t>REC-0171</t>
  </si>
  <si>
    <t>REC-0172</t>
  </si>
  <si>
    <t>REC-0173</t>
  </si>
  <si>
    <t>REC-0174</t>
  </si>
  <si>
    <t>REC-0175</t>
  </si>
  <si>
    <t>REC-0176</t>
  </si>
  <si>
    <t>REC-0177</t>
  </si>
  <si>
    <t>REC-0178</t>
  </si>
  <si>
    <t>REC-0179</t>
  </si>
  <si>
    <t>REC-0180</t>
  </si>
  <si>
    <t>REC-0181</t>
  </si>
  <si>
    <t>REC-0182</t>
  </si>
  <si>
    <t>REC-0183</t>
  </si>
  <si>
    <t>REC-0184</t>
  </si>
  <si>
    <t>REC-0185</t>
  </si>
  <si>
    <t>REC-0186</t>
  </si>
  <si>
    <t>REC-0187</t>
  </si>
  <si>
    <t>REC-0188</t>
  </si>
  <si>
    <t>REC-0189</t>
  </si>
  <si>
    <t>REC-0190</t>
  </si>
  <si>
    <t>REC-0191</t>
  </si>
  <si>
    <t>REC-0192</t>
  </si>
  <si>
    <t>REC-0193</t>
  </si>
  <si>
    <t>REC-0194</t>
  </si>
  <si>
    <t>PIN submitted (5 digits; value masked)</t>
  </si>
  <si>
    <t>REC-0195</t>
  </si>
  <si>
    <t>REC-0196</t>
  </si>
  <si>
    <t>REC-0197</t>
  </si>
  <si>
    <t>REC-0198</t>
  </si>
  <si>
    <t>REC-0199</t>
  </si>
  <si>
    <t>REC-0200</t>
  </si>
  <si>
    <t>REC-0201</t>
  </si>
  <si>
    <t>REC-0202</t>
  </si>
  <si>
    <t>REC-0203</t>
  </si>
  <si>
    <t>REC-0204</t>
  </si>
  <si>
    <t>REC-0205</t>
  </si>
  <si>
    <t>REC-0206</t>
  </si>
  <si>
    <t>REC-0207</t>
  </si>
  <si>
    <t>REC-0208</t>
  </si>
  <si>
    <t>REC-0209</t>
  </si>
  <si>
    <t>REC-0210</t>
  </si>
  <si>
    <t>REC-0211</t>
  </si>
  <si>
    <t>REC-0212</t>
  </si>
  <si>
    <t>REC-0213</t>
  </si>
  <si>
    <t>REC-0214</t>
  </si>
  <si>
    <t>REC-0215</t>
  </si>
  <si>
    <t>REC-0216</t>
  </si>
  <si>
    <t>REC-0217</t>
  </si>
  <si>
    <t>REC-0218</t>
  </si>
  <si>
    <t>REC-0219</t>
  </si>
  <si>
    <t>REC-0220</t>
  </si>
  <si>
    <t>REC-0221</t>
  </si>
  <si>
    <t>REC-0222</t>
  </si>
  <si>
    <t>REC-0223</t>
  </si>
  <si>
    <t>REC-0224</t>
  </si>
  <si>
    <t>REC-0225</t>
  </si>
  <si>
    <t>REC-0226</t>
  </si>
  <si>
    <t>REC-0227</t>
  </si>
  <si>
    <t>REC-0228</t>
  </si>
  <si>
    <t>REC-0229</t>
  </si>
  <si>
    <t>REC-0230</t>
  </si>
  <si>
    <t>REC-0231</t>
  </si>
  <si>
    <t>REC-0232</t>
  </si>
  <si>
    <t>REC-0233</t>
  </si>
  <si>
    <t>REC-0234</t>
  </si>
  <si>
    <t>REC-0235</t>
  </si>
  <si>
    <t>REC-0236</t>
  </si>
  <si>
    <t>REC-0237</t>
  </si>
  <si>
    <t>REC-0238</t>
  </si>
  <si>
    <t>REC-0239</t>
  </si>
  <si>
    <t>REC-0240</t>
  </si>
  <si>
    <t>REC-0241</t>
  </si>
  <si>
    <t>REC-0242</t>
  </si>
  <si>
    <t>REC-0243</t>
  </si>
  <si>
    <t>REC-0244</t>
  </si>
  <si>
    <t>REC-0245</t>
  </si>
  <si>
    <t>REC-0246</t>
  </si>
  <si>
    <t>REC-0247</t>
  </si>
  <si>
    <t>REC-0248</t>
  </si>
  <si>
    <t>REC-0249</t>
  </si>
  <si>
    <t>REC-0250</t>
  </si>
  <si>
    <t>REC-0251</t>
  </si>
  <si>
    <t>REC-0252</t>
  </si>
  <si>
    <t>REC-0253</t>
  </si>
  <si>
    <t>REC-0254</t>
  </si>
  <si>
    <t>REC-0255</t>
  </si>
  <si>
    <t>REC-0256</t>
  </si>
  <si>
    <t>REC-0257</t>
  </si>
  <si>
    <t>REC-0258</t>
  </si>
  <si>
    <t>Fire cycle 1 started</t>
  </si>
  <si>
    <t>REC-0259</t>
  </si>
  <si>
    <t>Humidity above fan threshold - fan ON.</t>
  </si>
  <si>
    <t>REC-0260</t>
  </si>
  <si>
    <t>FIRE DETECTED - starting suppression sequence.</t>
  </si>
  <si>
    <t>REC-0261</t>
  </si>
  <si>
    <t>FIRE_DETECTED</t>
  </si>
  <si>
    <t>REC-0262</t>
  </si>
  <si>
    <t>Humidity back to normal - fan OFF.</t>
  </si>
  <si>
    <t>REC-0263</t>
  </si>
  <si>
    <t>PUMPING</t>
  </si>
  <si>
    <t>REC-0264</t>
  </si>
  <si>
    <t>REC-0265</t>
  </si>
  <si>
    <t>REC-0266</t>
  </si>
  <si>
    <t>DHT11 Read Failure</t>
  </si>
  <si>
    <t>WARNING: DHT11 read failed this cycle, skipping fire-sequence step.</t>
  </si>
  <si>
    <t>REC-0267</t>
  </si>
  <si>
    <t>REC-0268</t>
  </si>
  <si>
    <t>REC-0269</t>
  </si>
  <si>
    <t>REC-0270</t>
  </si>
  <si>
    <t>REC-0271</t>
  </si>
  <si>
    <t>REC-0272</t>
  </si>
  <si>
    <t>REC-0273</t>
  </si>
  <si>
    <t>REC-0274</t>
  </si>
  <si>
    <t>REC-0275</t>
  </si>
  <si>
    <t>REC-0276</t>
  </si>
  <si>
    <t>REC-0277</t>
  </si>
  <si>
    <t>REC-0278</t>
  </si>
  <si>
    <t>REC-0279</t>
  </si>
  <si>
    <t>REC-0280</t>
  </si>
  <si>
    <t>REC-0281</t>
  </si>
  <si>
    <t>REC-0282</t>
  </si>
  <si>
    <t>REC-0283</t>
  </si>
  <si>
    <t>REC-0284</t>
  </si>
  <si>
    <t>REC-0285</t>
  </si>
  <si>
    <t>REC-0286</t>
  </si>
  <si>
    <t>REC-0287</t>
  </si>
  <si>
    <t>REC-0288</t>
  </si>
  <si>
    <t>Temperature forward-filled for analysis only; Humidity forward-filled for analysis only; Flow divided by editable scale divisor</t>
  </si>
  <si>
    <t>REC-0289</t>
  </si>
  <si>
    <t>Pump Cycle Complete</t>
  </si>
  <si>
    <t>Pump run complete (55s) - switching to humidifier.</t>
  </si>
  <si>
    <t>REC-0290</t>
  </si>
  <si>
    <t>HUMIDIFYING</t>
  </si>
  <si>
    <t>REC-0291</t>
  </si>
  <si>
    <t>REC-0292</t>
  </si>
  <si>
    <t>Humidifier Cycle Complete</t>
  </si>
  <si>
    <t>Humidifier run complete (10s) - sequence stable.</t>
  </si>
  <si>
    <t>REC-0293</t>
  </si>
  <si>
    <t>STABLE</t>
  </si>
  <si>
    <t>REC-0294</t>
  </si>
  <si>
    <t>Fire cycle 2 started</t>
  </si>
  <si>
    <t>REC-0295</t>
  </si>
  <si>
    <t>REC-0296</t>
  </si>
  <si>
    <t>REC-0297</t>
  </si>
  <si>
    <t>REC-0298</t>
  </si>
  <si>
    <t>REC-0299</t>
  </si>
  <si>
    <t>REC-0300</t>
  </si>
  <si>
    <t>Flow divided by editable scale divisor</t>
  </si>
  <si>
    <t>REC-0301</t>
  </si>
  <si>
    <t>REC-0302</t>
  </si>
  <si>
    <t>REC-0303</t>
  </si>
  <si>
    <t>REC-0304</t>
  </si>
  <si>
    <t>REC-0305</t>
  </si>
  <si>
    <t>REC-0306</t>
  </si>
  <si>
    <t>REC-0307</t>
  </si>
  <si>
    <t>REC-0308</t>
  </si>
  <si>
    <t>REC-0309</t>
  </si>
  <si>
    <t>REC-0310</t>
  </si>
  <si>
    <t>REC-0311</t>
  </si>
  <si>
    <t>REC-0312</t>
  </si>
  <si>
    <t>REC-0313</t>
  </si>
  <si>
    <t>REC-0314</t>
  </si>
  <si>
    <t>REC-0315</t>
  </si>
  <si>
    <t>REC-0316</t>
  </si>
  <si>
    <t>REC-0317</t>
  </si>
  <si>
    <t>REC-0318</t>
  </si>
  <si>
    <t>REC-0319</t>
  </si>
  <si>
    <t>REC-0320</t>
  </si>
  <si>
    <t>REC-0321</t>
  </si>
  <si>
    <t>REC-0322</t>
  </si>
  <si>
    <t>Fire cycle 3 started</t>
  </si>
  <si>
    <t>REC-0323</t>
  </si>
  <si>
    <t>REC-0324</t>
  </si>
  <si>
    <t>REC-0325</t>
  </si>
  <si>
    <t>REC-0326</t>
  </si>
  <si>
    <t>REC-0327</t>
  </si>
  <si>
    <t>REC-0328</t>
  </si>
  <si>
    <t>REC-0329</t>
  </si>
  <si>
    <t>REC-0330</t>
  </si>
  <si>
    <t>REC-0331</t>
  </si>
  <si>
    <t>Load-cell sign corrected with absolute value; Humidity forward-filled for analysis only; Flow divided by editable scale divisor</t>
  </si>
  <si>
    <t>REC-0332</t>
  </si>
  <si>
    <t>REC-0333</t>
  </si>
  <si>
    <t>REC-0334</t>
  </si>
  <si>
    <t>REC-0335</t>
  </si>
  <si>
    <t>REC-0336</t>
  </si>
  <si>
    <t>REC-0337</t>
  </si>
  <si>
    <t>REC-0338</t>
  </si>
  <si>
    <t>REC-0339</t>
  </si>
  <si>
    <t>REC-0340</t>
  </si>
  <si>
    <t>REC-0341</t>
  </si>
  <si>
    <t>REC-0342</t>
  </si>
  <si>
    <t>REC-0343</t>
  </si>
  <si>
    <t>REC-0344</t>
  </si>
  <si>
    <t>REC-0345</t>
  </si>
  <si>
    <t>REC-0346</t>
  </si>
  <si>
    <t>REC-0347</t>
  </si>
  <si>
    <t>REC-0348</t>
  </si>
  <si>
    <t>REC-0349</t>
  </si>
  <si>
    <t>Fire cycle 4 started</t>
  </si>
  <si>
    <t>REC-0350</t>
  </si>
  <si>
    <t>REC-0351</t>
  </si>
  <si>
    <t>REC-0352</t>
  </si>
  <si>
    <t>REC-0353</t>
  </si>
  <si>
    <t>REC-0354</t>
  </si>
  <si>
    <t>REC-0355</t>
  </si>
  <si>
    <t>REC-0356</t>
  </si>
  <si>
    <t>REC-0357</t>
  </si>
  <si>
    <t>REC-0358</t>
  </si>
  <si>
    <t>REC-0359</t>
  </si>
  <si>
    <t>REC-0360</t>
  </si>
  <si>
    <t>REC-0361</t>
  </si>
  <si>
    <t>REC-0362</t>
  </si>
  <si>
    <t>REC-0363</t>
  </si>
  <si>
    <t>REC-0364</t>
  </si>
  <si>
    <t>REC-0365</t>
  </si>
  <si>
    <t>REC-0366</t>
  </si>
  <si>
    <t>REC-0367</t>
  </si>
  <si>
    <t>REC-0368</t>
  </si>
  <si>
    <t>REC-0369</t>
  </si>
  <si>
    <t>REC-0370</t>
  </si>
  <si>
    <t>Clean Report-Ready Time Series</t>
  </si>
  <si>
    <t>Temperature_C</t>
  </si>
  <si>
    <t>Temperature_Imputed_Flag</t>
  </si>
  <si>
    <t>Humidity_pct</t>
  </si>
  <si>
    <t>Humidity_Imputed_Flag</t>
  </si>
  <si>
    <t>Detection_Source</t>
  </si>
  <si>
    <t>Flow_L_min</t>
  </si>
  <si>
    <t>Quality_Score</t>
  </si>
  <si>
    <t>Quality_Grade</t>
  </si>
  <si>
    <t>No complete dual-sensor confirmation</t>
  </si>
  <si>
    <t>Not logged</t>
  </si>
  <si>
    <t>A</t>
  </si>
  <si>
    <t>Partial detection only</t>
  </si>
  <si>
    <t>C</t>
  </si>
  <si>
    <t>Logged dual-sensor event</t>
  </si>
  <si>
    <t>Derived using firmware thresholds: optical AND weight</t>
  </si>
  <si>
    <t>B</t>
  </si>
  <si>
    <t>Normalized Long-Format Sensor Observations</t>
  </si>
  <si>
    <t>Observation_ID</t>
  </si>
  <si>
    <t>Sensor</t>
  </si>
  <si>
    <t>Raw_Value</t>
  </si>
  <si>
    <t>Clean_Value</t>
  </si>
  <si>
    <t>Analysis_Value</t>
  </si>
  <si>
    <t>Valid_Flag</t>
  </si>
  <si>
    <t>Person_Detected</t>
  </si>
  <si>
    <t>OBS-00001</t>
  </si>
  <si>
    <t>Temperature</t>
  </si>
  <si>
    <t>Valid</t>
  </si>
  <si>
    <t>OBS-00002</t>
  </si>
  <si>
    <t>Humidity</t>
  </si>
  <si>
    <t>OBS-00003</t>
  </si>
  <si>
    <t>Entry Platform Weight</t>
  </si>
  <si>
    <t>Sign corrected</t>
  </si>
  <si>
    <t>OBS-00004</t>
  </si>
  <si>
    <t>Optical / Proximity</t>
  </si>
  <si>
    <t>ADC or binary</t>
  </si>
  <si>
    <t>OBS-00005</t>
  </si>
  <si>
    <t>Water Flow</t>
  </si>
  <si>
    <t>OBS-00006</t>
  </si>
  <si>
    <t>OBS-00007</t>
  </si>
  <si>
    <t>OBS-00008</t>
  </si>
  <si>
    <t>OBS-00009</t>
  </si>
  <si>
    <t>OBS-00010</t>
  </si>
  <si>
    <t>OBS-00011</t>
  </si>
  <si>
    <t>OBS-00012</t>
  </si>
  <si>
    <t>OBS-00013</t>
  </si>
  <si>
    <t>OBS-00014</t>
  </si>
  <si>
    <t>OBS-00015</t>
  </si>
  <si>
    <t>OBS-00016</t>
  </si>
  <si>
    <t>OBS-00017</t>
  </si>
  <si>
    <t>OBS-00018</t>
  </si>
  <si>
    <t>OBS-00019</t>
  </si>
  <si>
    <t>OBS-00020</t>
  </si>
  <si>
    <t>OBS-00021</t>
  </si>
  <si>
    <t>OBS-00022</t>
  </si>
  <si>
    <t>OBS-00023</t>
  </si>
  <si>
    <t>OBS-00024</t>
  </si>
  <si>
    <t>OBS-00025</t>
  </si>
  <si>
    <t>OBS-00026</t>
  </si>
  <si>
    <t>OBS-00027</t>
  </si>
  <si>
    <t>OBS-00028</t>
  </si>
  <si>
    <t>OBS-00029</t>
  </si>
  <si>
    <t>OBS-00030</t>
  </si>
  <si>
    <t>OBS-00031</t>
  </si>
  <si>
    <t>OBS-00032</t>
  </si>
  <si>
    <t>OBS-00033</t>
  </si>
  <si>
    <t>OBS-00034</t>
  </si>
  <si>
    <t>OBS-00035</t>
  </si>
  <si>
    <t>Normalized from high-scale logged value</t>
  </si>
  <si>
    <t>OBS-00036</t>
  </si>
  <si>
    <t>Out of accepted range</t>
  </si>
  <si>
    <t>OBS-00037</t>
  </si>
  <si>
    <t>OBS-00038</t>
  </si>
  <si>
    <t>OBS-00039</t>
  </si>
  <si>
    <t>OBS-00040</t>
  </si>
  <si>
    <t>OBS-00041</t>
  </si>
  <si>
    <t>Missing</t>
  </si>
  <si>
    <t>OBS-00042</t>
  </si>
  <si>
    <t>OBS-00043</t>
  </si>
  <si>
    <t>OBS-00044</t>
  </si>
  <si>
    <t>OBS-00045</t>
  </si>
  <si>
    <t>OBS-00046</t>
  </si>
  <si>
    <t>OBS-00047</t>
  </si>
  <si>
    <t>OBS-00048</t>
  </si>
  <si>
    <t>OBS-00049</t>
  </si>
  <si>
    <t>OBS-00050</t>
  </si>
  <si>
    <t>OBS-00051</t>
  </si>
  <si>
    <t>OBS-00052</t>
  </si>
  <si>
    <t>OBS-00053</t>
  </si>
  <si>
    <t>OBS-00054</t>
  </si>
  <si>
    <t>OBS-00055</t>
  </si>
  <si>
    <t>OBS-00056</t>
  </si>
  <si>
    <t>OBS-00057</t>
  </si>
  <si>
    <t>OBS-00058</t>
  </si>
  <si>
    <t>OBS-00059</t>
  </si>
  <si>
    <t>OBS-00060</t>
  </si>
  <si>
    <t>OBS-00061</t>
  </si>
  <si>
    <t>OBS-00062</t>
  </si>
  <si>
    <t>OBS-00063</t>
  </si>
  <si>
    <t>OBS-00064</t>
  </si>
  <si>
    <t>OBS-00065</t>
  </si>
  <si>
    <t>OBS-00066</t>
  </si>
  <si>
    <t>OBS-00067</t>
  </si>
  <si>
    <t>OBS-00068</t>
  </si>
  <si>
    <t>OBS-00069</t>
  </si>
  <si>
    <t>OBS-00070</t>
  </si>
  <si>
    <t>OBS-00071</t>
  </si>
  <si>
    <t>OBS-00072</t>
  </si>
  <si>
    <t>OBS-00073</t>
  </si>
  <si>
    <t>OBS-00074</t>
  </si>
  <si>
    <t>OBS-00075</t>
  </si>
  <si>
    <t>OBS-00076</t>
  </si>
  <si>
    <t>OBS-00077</t>
  </si>
  <si>
    <t>OBS-00078</t>
  </si>
  <si>
    <t>OBS-00079</t>
  </si>
  <si>
    <t>OBS-00080</t>
  </si>
  <si>
    <t>OBS-00081</t>
  </si>
  <si>
    <t>OBS-00082</t>
  </si>
  <si>
    <t>OBS-00083</t>
  </si>
  <si>
    <t>OBS-00084</t>
  </si>
  <si>
    <t>OBS-00085</t>
  </si>
  <si>
    <t>OBS-00086</t>
  </si>
  <si>
    <t>OBS-00087</t>
  </si>
  <si>
    <t>OBS-00088</t>
  </si>
  <si>
    <t>OBS-00089</t>
  </si>
  <si>
    <t>OBS-00090</t>
  </si>
  <si>
    <t>OBS-00091</t>
  </si>
  <si>
    <t>OBS-00092</t>
  </si>
  <si>
    <t>OBS-00093</t>
  </si>
  <si>
    <t>OBS-00094</t>
  </si>
  <si>
    <t>OBS-00095</t>
  </si>
  <si>
    <t>OBS-00096</t>
  </si>
  <si>
    <t>OBS-00097</t>
  </si>
  <si>
    <t>OBS-00098</t>
  </si>
  <si>
    <t>OBS-00099</t>
  </si>
  <si>
    <t>OBS-00100</t>
  </si>
  <si>
    <t>OBS-00101</t>
  </si>
  <si>
    <t>OBS-00102</t>
  </si>
  <si>
    <t>OBS-00103</t>
  </si>
  <si>
    <t>OBS-00104</t>
  </si>
  <si>
    <t>OBS-00105</t>
  </si>
  <si>
    <t>OBS-00106</t>
  </si>
  <si>
    <t>OBS-00107</t>
  </si>
  <si>
    <t>OBS-00108</t>
  </si>
  <si>
    <t>OBS-00109</t>
  </si>
  <si>
    <t>OBS-00110</t>
  </si>
  <si>
    <t>OBS-00111</t>
  </si>
  <si>
    <t>OBS-00112</t>
  </si>
  <si>
    <t>OBS-00113</t>
  </si>
  <si>
    <t>OBS-00114</t>
  </si>
  <si>
    <t>OBS-00115</t>
  </si>
  <si>
    <t>OBS-00116</t>
  </si>
  <si>
    <t>OBS-00117</t>
  </si>
  <si>
    <t>OBS-00118</t>
  </si>
  <si>
    <t>OBS-00119</t>
  </si>
  <si>
    <t>OBS-00120</t>
  </si>
  <si>
    <t>OBS-00121</t>
  </si>
  <si>
    <t>OBS-00122</t>
  </si>
  <si>
    <t>OBS-00123</t>
  </si>
  <si>
    <t>OBS-00124</t>
  </si>
  <si>
    <t>OBS-00125</t>
  </si>
  <si>
    <t>OBS-00126</t>
  </si>
  <si>
    <t>OBS-00127</t>
  </si>
  <si>
    <t>OBS-00128</t>
  </si>
  <si>
    <t>OBS-00129</t>
  </si>
  <si>
    <t>OBS-00130</t>
  </si>
  <si>
    <t>OBS-00131</t>
  </si>
  <si>
    <t>OBS-00132</t>
  </si>
  <si>
    <t>OBS-00133</t>
  </si>
  <si>
    <t>OBS-00134</t>
  </si>
  <si>
    <t>OBS-00135</t>
  </si>
  <si>
    <t>OBS-00136</t>
  </si>
  <si>
    <t>OBS-00137</t>
  </si>
  <si>
    <t>OBS-00138</t>
  </si>
  <si>
    <t>OBS-00139</t>
  </si>
  <si>
    <t>OBS-00140</t>
  </si>
  <si>
    <t>OBS-00141</t>
  </si>
  <si>
    <t>OBS-00142</t>
  </si>
  <si>
    <t>OBS-00143</t>
  </si>
  <si>
    <t>OBS-00144</t>
  </si>
  <si>
    <t>OBS-00145</t>
  </si>
  <si>
    <t>OBS-00146</t>
  </si>
  <si>
    <t>OBS-00147</t>
  </si>
  <si>
    <t>OBS-00148</t>
  </si>
  <si>
    <t>OBS-00149</t>
  </si>
  <si>
    <t>OBS-00150</t>
  </si>
  <si>
    <t>OBS-00151</t>
  </si>
  <si>
    <t>OBS-00152</t>
  </si>
  <si>
    <t>OBS-00153</t>
  </si>
  <si>
    <t>OBS-00154</t>
  </si>
  <si>
    <t>OBS-00155</t>
  </si>
  <si>
    <t>OBS-00156</t>
  </si>
  <si>
    <t>OBS-00157</t>
  </si>
  <si>
    <t>OBS-00158</t>
  </si>
  <si>
    <t>OBS-00159</t>
  </si>
  <si>
    <t>OBS-00160</t>
  </si>
  <si>
    <t>OBS-00161</t>
  </si>
  <si>
    <t>OBS-00162</t>
  </si>
  <si>
    <t>OBS-00163</t>
  </si>
  <si>
    <t>OBS-00164</t>
  </si>
  <si>
    <t>OBS-00165</t>
  </si>
  <si>
    <t>OBS-00166</t>
  </si>
  <si>
    <t>OBS-00167</t>
  </si>
  <si>
    <t>OBS-00168</t>
  </si>
  <si>
    <t>OBS-00169</t>
  </si>
  <si>
    <t>OBS-00170</t>
  </si>
  <si>
    <t>OBS-00171</t>
  </si>
  <si>
    <t>OBS-00172</t>
  </si>
  <si>
    <t>OBS-00173</t>
  </si>
  <si>
    <t>OBS-00174</t>
  </si>
  <si>
    <t>OBS-00175</t>
  </si>
  <si>
    <t>OBS-00176</t>
  </si>
  <si>
    <t>OBS-00177</t>
  </si>
  <si>
    <t>OBS-00178</t>
  </si>
  <si>
    <t>OBS-00179</t>
  </si>
  <si>
    <t>OBS-00180</t>
  </si>
  <si>
    <t>OBS-00181</t>
  </si>
  <si>
    <t>OBS-00182</t>
  </si>
  <si>
    <t>OBS-00183</t>
  </si>
  <si>
    <t>OBS-00184</t>
  </si>
  <si>
    <t>OBS-00185</t>
  </si>
  <si>
    <t>OBS-00186</t>
  </si>
  <si>
    <t>OBS-00187</t>
  </si>
  <si>
    <t>OBS-00188</t>
  </si>
  <si>
    <t>OBS-00189</t>
  </si>
  <si>
    <t>OBS-00190</t>
  </si>
  <si>
    <t>OBS-00191</t>
  </si>
  <si>
    <t>OBS-00192</t>
  </si>
  <si>
    <t>OBS-00193</t>
  </si>
  <si>
    <t>OBS-00194</t>
  </si>
  <si>
    <t>OBS-00195</t>
  </si>
  <si>
    <t>OBS-00196</t>
  </si>
  <si>
    <t>OBS-00197</t>
  </si>
  <si>
    <t>OBS-00198</t>
  </si>
  <si>
    <t>OBS-00199</t>
  </si>
  <si>
    <t>OBS-00200</t>
  </si>
  <si>
    <t>OBS-00201</t>
  </si>
  <si>
    <t>OBS-00202</t>
  </si>
  <si>
    <t>OBS-00203</t>
  </si>
  <si>
    <t>OBS-00204</t>
  </si>
  <si>
    <t>OBS-00205</t>
  </si>
  <si>
    <t>OBS-00206</t>
  </si>
  <si>
    <t>OBS-00207</t>
  </si>
  <si>
    <t>OBS-00208</t>
  </si>
  <si>
    <t>OBS-00209</t>
  </si>
  <si>
    <t>OBS-00210</t>
  </si>
  <si>
    <t>OBS-00211</t>
  </si>
  <si>
    <t>OBS-00212</t>
  </si>
  <si>
    <t>OBS-00213</t>
  </si>
  <si>
    <t>OBS-00214</t>
  </si>
  <si>
    <t>OBS-00215</t>
  </si>
  <si>
    <t>OBS-00216</t>
  </si>
  <si>
    <t>OBS-00217</t>
  </si>
  <si>
    <t>OBS-00218</t>
  </si>
  <si>
    <t>OBS-00219</t>
  </si>
  <si>
    <t>OBS-00220</t>
  </si>
  <si>
    <t>OBS-00221</t>
  </si>
  <si>
    <t>OBS-00222</t>
  </si>
  <si>
    <t>OBS-00223</t>
  </si>
  <si>
    <t>OBS-00224</t>
  </si>
  <si>
    <t>OBS-00225</t>
  </si>
  <si>
    <t>OBS-00226</t>
  </si>
  <si>
    <t>OBS-00227</t>
  </si>
  <si>
    <t>OBS-00228</t>
  </si>
  <si>
    <t>OBS-00229</t>
  </si>
  <si>
    <t>OBS-00230</t>
  </si>
  <si>
    <t>OBS-00231</t>
  </si>
  <si>
    <t>OBS-00232</t>
  </si>
  <si>
    <t>OBS-00233</t>
  </si>
  <si>
    <t>OBS-00234</t>
  </si>
  <si>
    <t>OBS-00235</t>
  </si>
  <si>
    <t>OBS-00236</t>
  </si>
  <si>
    <t>OBS-00237</t>
  </si>
  <si>
    <t>OBS-00238</t>
  </si>
  <si>
    <t>OBS-00239</t>
  </si>
  <si>
    <t>OBS-00240</t>
  </si>
  <si>
    <t>OBS-00241</t>
  </si>
  <si>
    <t>OBS-00242</t>
  </si>
  <si>
    <t>OBS-00243</t>
  </si>
  <si>
    <t>OBS-00244</t>
  </si>
  <si>
    <t>OBS-00245</t>
  </si>
  <si>
    <t>OBS-00246</t>
  </si>
  <si>
    <t>OBS-00247</t>
  </si>
  <si>
    <t>OBS-00248</t>
  </si>
  <si>
    <t>OBS-00249</t>
  </si>
  <si>
    <t>OBS-00250</t>
  </si>
  <si>
    <t>OBS-00251</t>
  </si>
  <si>
    <t>OBS-00252</t>
  </si>
  <si>
    <t>OBS-00253</t>
  </si>
  <si>
    <t>OBS-00254</t>
  </si>
  <si>
    <t>OBS-00255</t>
  </si>
  <si>
    <t>OBS-00256</t>
  </si>
  <si>
    <t>OBS-00257</t>
  </si>
  <si>
    <t>OBS-00258</t>
  </si>
  <si>
    <t>OBS-00259</t>
  </si>
  <si>
    <t>OBS-00260</t>
  </si>
  <si>
    <t>OBS-00261</t>
  </si>
  <si>
    <t>OBS-00262</t>
  </si>
  <si>
    <t>OBS-00263</t>
  </si>
  <si>
    <t>OBS-00264</t>
  </si>
  <si>
    <t>OBS-00265</t>
  </si>
  <si>
    <t>OBS-00266</t>
  </si>
  <si>
    <t>OBS-00267</t>
  </si>
  <si>
    <t>OBS-00268</t>
  </si>
  <si>
    <t>OBS-00269</t>
  </si>
  <si>
    <t>OBS-00270</t>
  </si>
  <si>
    <t>OBS-00271</t>
  </si>
  <si>
    <t>OBS-00272</t>
  </si>
  <si>
    <t>OBS-00273</t>
  </si>
  <si>
    <t>OBS-00274</t>
  </si>
  <si>
    <t>OBS-00275</t>
  </si>
  <si>
    <t>OBS-00276</t>
  </si>
  <si>
    <t>OBS-00277</t>
  </si>
  <si>
    <t>OBS-00278</t>
  </si>
  <si>
    <t>OBS-00279</t>
  </si>
  <si>
    <t>OBS-00280</t>
  </si>
  <si>
    <t>OBS-00281</t>
  </si>
  <si>
    <t>OBS-00282</t>
  </si>
  <si>
    <t>OBS-00283</t>
  </si>
  <si>
    <t>OBS-00284</t>
  </si>
  <si>
    <t>OBS-00285</t>
  </si>
  <si>
    <t>OBS-00286</t>
  </si>
  <si>
    <t>OBS-00287</t>
  </si>
  <si>
    <t>OBS-00288</t>
  </si>
  <si>
    <t>OBS-00289</t>
  </si>
  <si>
    <t>OBS-00290</t>
  </si>
  <si>
    <t>OBS-00291</t>
  </si>
  <si>
    <t>OBS-00292</t>
  </si>
  <si>
    <t>OBS-00293</t>
  </si>
  <si>
    <t>OBS-00294</t>
  </si>
  <si>
    <t>OBS-00295</t>
  </si>
  <si>
    <t>OBS-00296</t>
  </si>
  <si>
    <t>OBS-00297</t>
  </si>
  <si>
    <t>OBS-00298</t>
  </si>
  <si>
    <t>OBS-00299</t>
  </si>
  <si>
    <t>OBS-00300</t>
  </si>
  <si>
    <t>OBS-00301</t>
  </si>
  <si>
    <t>OBS-00302</t>
  </si>
  <si>
    <t>OBS-00303</t>
  </si>
  <si>
    <t>OBS-00304</t>
  </si>
  <si>
    <t>OBS-00305</t>
  </si>
  <si>
    <t>OBS-00306</t>
  </si>
  <si>
    <t>OBS-00307</t>
  </si>
  <si>
    <t>OBS-00308</t>
  </si>
  <si>
    <t>OBS-00309</t>
  </si>
  <si>
    <t>OBS-00310</t>
  </si>
  <si>
    <t>OBS-00311</t>
  </si>
  <si>
    <t>OBS-00312</t>
  </si>
  <si>
    <t>OBS-00313</t>
  </si>
  <si>
    <t>OBS-00314</t>
  </si>
  <si>
    <t>OBS-00315</t>
  </si>
  <si>
    <t>OBS-00316</t>
  </si>
  <si>
    <t>OBS-00317</t>
  </si>
  <si>
    <t>OBS-00318</t>
  </si>
  <si>
    <t>OBS-00319</t>
  </si>
  <si>
    <t>OBS-00320</t>
  </si>
  <si>
    <t>OBS-00321</t>
  </si>
  <si>
    <t>OBS-00322</t>
  </si>
  <si>
    <t>OBS-00323</t>
  </si>
  <si>
    <t>OBS-00324</t>
  </si>
  <si>
    <t>OBS-00325</t>
  </si>
  <si>
    <t>OBS-00326</t>
  </si>
  <si>
    <t>OBS-00327</t>
  </si>
  <si>
    <t>OBS-00328</t>
  </si>
  <si>
    <t>OBS-00329</t>
  </si>
  <si>
    <t>OBS-00330</t>
  </si>
  <si>
    <t>OBS-00331</t>
  </si>
  <si>
    <t>OBS-00332</t>
  </si>
  <si>
    <t>OBS-00333</t>
  </si>
  <si>
    <t>OBS-00334</t>
  </si>
  <si>
    <t>OBS-00335</t>
  </si>
  <si>
    <t>OBS-00336</t>
  </si>
  <si>
    <t>OBS-00337</t>
  </si>
  <si>
    <t>OBS-00338</t>
  </si>
  <si>
    <t>OBS-00339</t>
  </si>
  <si>
    <t>OBS-00340</t>
  </si>
  <si>
    <t>OBS-00341</t>
  </si>
  <si>
    <t>OBS-00342</t>
  </si>
  <si>
    <t>OBS-00343</t>
  </si>
  <si>
    <t>OBS-00344</t>
  </si>
  <si>
    <t>OBS-00345</t>
  </si>
  <si>
    <t>OBS-00346</t>
  </si>
  <si>
    <t>OBS-00347</t>
  </si>
  <si>
    <t>OBS-00348</t>
  </si>
  <si>
    <t>OBS-00349</t>
  </si>
  <si>
    <t>OBS-00350</t>
  </si>
  <si>
    <t>OBS-00351</t>
  </si>
  <si>
    <t>OBS-00352</t>
  </si>
  <si>
    <t>OBS-00353</t>
  </si>
  <si>
    <t>OBS-00354</t>
  </si>
  <si>
    <t>OBS-00355</t>
  </si>
  <si>
    <t>OBS-00356</t>
  </si>
  <si>
    <t>OBS-00357</t>
  </si>
  <si>
    <t>OBS-00358</t>
  </si>
  <si>
    <t>OBS-00359</t>
  </si>
  <si>
    <t>OBS-00360</t>
  </si>
  <si>
    <t>OBS-00361</t>
  </si>
  <si>
    <t>OBS-00362</t>
  </si>
  <si>
    <t>OBS-00363</t>
  </si>
  <si>
    <t>OBS-00364</t>
  </si>
  <si>
    <t>OBS-00365</t>
  </si>
  <si>
    <t>OBS-00366</t>
  </si>
  <si>
    <t>OBS-00367</t>
  </si>
  <si>
    <t>OBS-00368</t>
  </si>
  <si>
    <t>OBS-00369</t>
  </si>
  <si>
    <t>OBS-00370</t>
  </si>
  <si>
    <t>OBS-00371</t>
  </si>
  <si>
    <t>OBS-00372</t>
  </si>
  <si>
    <t>OBS-00373</t>
  </si>
  <si>
    <t>OBS-00374</t>
  </si>
  <si>
    <t>OBS-00375</t>
  </si>
  <si>
    <t>OBS-00376</t>
  </si>
  <si>
    <t>OBS-00377</t>
  </si>
  <si>
    <t>OBS-00378</t>
  </si>
  <si>
    <t>OBS-00379</t>
  </si>
  <si>
    <t>OBS-00380</t>
  </si>
  <si>
    <t>OBS-00381</t>
  </si>
  <si>
    <t>OBS-00382</t>
  </si>
  <si>
    <t>OBS-00383</t>
  </si>
  <si>
    <t>OBS-00384</t>
  </si>
  <si>
    <t>OBS-00385</t>
  </si>
  <si>
    <t>OBS-00386</t>
  </si>
  <si>
    <t>OBS-00387</t>
  </si>
  <si>
    <t>OBS-00388</t>
  </si>
  <si>
    <t>OBS-00389</t>
  </si>
  <si>
    <t>OBS-00390</t>
  </si>
  <si>
    <t>OBS-00391</t>
  </si>
  <si>
    <t>OBS-00392</t>
  </si>
  <si>
    <t>OBS-00393</t>
  </si>
  <si>
    <t>OBS-00394</t>
  </si>
  <si>
    <t>OBS-00395</t>
  </si>
  <si>
    <t>OBS-00396</t>
  </si>
  <si>
    <t>OBS-00397</t>
  </si>
  <si>
    <t>OBS-00398</t>
  </si>
  <si>
    <t>OBS-00399</t>
  </si>
  <si>
    <t>OBS-00400</t>
  </si>
  <si>
    <t>OBS-00401</t>
  </si>
  <si>
    <t>OBS-00402</t>
  </si>
  <si>
    <t>OBS-00403</t>
  </si>
  <si>
    <t>OBS-00404</t>
  </si>
  <si>
    <t>OBS-00405</t>
  </si>
  <si>
    <t>OBS-00406</t>
  </si>
  <si>
    <t>OBS-00407</t>
  </si>
  <si>
    <t>OBS-00408</t>
  </si>
  <si>
    <t>OBS-00409</t>
  </si>
  <si>
    <t>OBS-00410</t>
  </si>
  <si>
    <t>OBS-00411</t>
  </si>
  <si>
    <t>OBS-00412</t>
  </si>
  <si>
    <t>OBS-00413</t>
  </si>
  <si>
    <t>OBS-00414</t>
  </si>
  <si>
    <t>OBS-00415</t>
  </si>
  <si>
    <t>OBS-00416</t>
  </si>
  <si>
    <t>OBS-00417</t>
  </si>
  <si>
    <t>OBS-00418</t>
  </si>
  <si>
    <t>OBS-00419</t>
  </si>
  <si>
    <t>OBS-00420</t>
  </si>
  <si>
    <t>OBS-00421</t>
  </si>
  <si>
    <t>OBS-00422</t>
  </si>
  <si>
    <t>OBS-00423</t>
  </si>
  <si>
    <t>OBS-00424</t>
  </si>
  <si>
    <t>OBS-00425</t>
  </si>
  <si>
    <t>OBS-00426</t>
  </si>
  <si>
    <t>OBS-00427</t>
  </si>
  <si>
    <t>OBS-00428</t>
  </si>
  <si>
    <t>OBS-00429</t>
  </si>
  <si>
    <t>OBS-00430</t>
  </si>
  <si>
    <t>OBS-00431</t>
  </si>
  <si>
    <t>OBS-00432</t>
  </si>
  <si>
    <t>OBS-00433</t>
  </si>
  <si>
    <t>OBS-00434</t>
  </si>
  <si>
    <t>OBS-00435</t>
  </si>
  <si>
    <t>OBS-00436</t>
  </si>
  <si>
    <t>OBS-00437</t>
  </si>
  <si>
    <t>OBS-00438</t>
  </si>
  <si>
    <t>OBS-00439</t>
  </si>
  <si>
    <t>OBS-00440</t>
  </si>
  <si>
    <t>OBS-00441</t>
  </si>
  <si>
    <t>OBS-00442</t>
  </si>
  <si>
    <t>OBS-00443</t>
  </si>
  <si>
    <t>OBS-00444</t>
  </si>
  <si>
    <t>OBS-00445</t>
  </si>
  <si>
    <t>OBS-00446</t>
  </si>
  <si>
    <t>OBS-00447</t>
  </si>
  <si>
    <t>OBS-00448</t>
  </si>
  <si>
    <t>OBS-00449</t>
  </si>
  <si>
    <t>OBS-00450</t>
  </si>
  <si>
    <t>OBS-00451</t>
  </si>
  <si>
    <t>OBS-00452</t>
  </si>
  <si>
    <t>OBS-00453</t>
  </si>
  <si>
    <t>OBS-00454</t>
  </si>
  <si>
    <t>OBS-00455</t>
  </si>
  <si>
    <t>OBS-00456</t>
  </si>
  <si>
    <t>OBS-00457</t>
  </si>
  <si>
    <t>OBS-00458</t>
  </si>
  <si>
    <t>OBS-00459</t>
  </si>
  <si>
    <t>OBS-00460</t>
  </si>
  <si>
    <t>OBS-00461</t>
  </si>
  <si>
    <t>OBS-00462</t>
  </si>
  <si>
    <t>OBS-00463</t>
  </si>
  <si>
    <t>OBS-00464</t>
  </si>
  <si>
    <t>OBS-00465</t>
  </si>
  <si>
    <t>OBS-00466</t>
  </si>
  <si>
    <t>OBS-00467</t>
  </si>
  <si>
    <t>OBS-00468</t>
  </si>
  <si>
    <t>OBS-00469</t>
  </si>
  <si>
    <t>OBS-00470</t>
  </si>
  <si>
    <t>OBS-00471</t>
  </si>
  <si>
    <t>OBS-00472</t>
  </si>
  <si>
    <t>OBS-00473</t>
  </si>
  <si>
    <t>OBS-00474</t>
  </si>
  <si>
    <t>OBS-00475</t>
  </si>
  <si>
    <t>OBS-00476</t>
  </si>
  <si>
    <t>OBS-00477</t>
  </si>
  <si>
    <t>OBS-00478</t>
  </si>
  <si>
    <t>OBS-00479</t>
  </si>
  <si>
    <t>OBS-00480</t>
  </si>
  <si>
    <t>OBS-00481</t>
  </si>
  <si>
    <t>OBS-00482</t>
  </si>
  <si>
    <t>OBS-00483</t>
  </si>
  <si>
    <t>OBS-00484</t>
  </si>
  <si>
    <t>OBS-00485</t>
  </si>
  <si>
    <t>OBS-00486</t>
  </si>
  <si>
    <t>OBS-00487</t>
  </si>
  <si>
    <t>OBS-00488</t>
  </si>
  <si>
    <t>OBS-00489</t>
  </si>
  <si>
    <t>OBS-00490</t>
  </si>
  <si>
    <t>OBS-00491</t>
  </si>
  <si>
    <t>OBS-00492</t>
  </si>
  <si>
    <t>OBS-00493</t>
  </si>
  <si>
    <t>OBS-00494</t>
  </si>
  <si>
    <t>OBS-00495</t>
  </si>
  <si>
    <t>OBS-00496</t>
  </si>
  <si>
    <t>OBS-00497</t>
  </si>
  <si>
    <t>OBS-00498</t>
  </si>
  <si>
    <t>OBS-00499</t>
  </si>
  <si>
    <t>OBS-00500</t>
  </si>
  <si>
    <t>OBS-00501</t>
  </si>
  <si>
    <t>OBS-00502</t>
  </si>
  <si>
    <t>OBS-00503</t>
  </si>
  <si>
    <t>OBS-00504</t>
  </si>
  <si>
    <t>OBS-00505</t>
  </si>
  <si>
    <t>OBS-00506</t>
  </si>
  <si>
    <t>OBS-00507</t>
  </si>
  <si>
    <t>OBS-00508</t>
  </si>
  <si>
    <t>OBS-00509</t>
  </si>
  <si>
    <t>OBS-00510</t>
  </si>
  <si>
    <t>OBS-00511</t>
  </si>
  <si>
    <t>OBS-00512</t>
  </si>
  <si>
    <t>OBS-00513</t>
  </si>
  <si>
    <t>OBS-00514</t>
  </si>
  <si>
    <t>OBS-00515</t>
  </si>
  <si>
    <t>OBS-00516</t>
  </si>
  <si>
    <t>OBS-00517</t>
  </si>
  <si>
    <t>OBS-00518</t>
  </si>
  <si>
    <t>OBS-00519</t>
  </si>
  <si>
    <t>OBS-00520</t>
  </si>
  <si>
    <t>OBS-00521</t>
  </si>
  <si>
    <t>OBS-00522</t>
  </si>
  <si>
    <t>OBS-00523</t>
  </si>
  <si>
    <t>OBS-00524</t>
  </si>
  <si>
    <t>OBS-00525</t>
  </si>
  <si>
    <t>OBS-00526</t>
  </si>
  <si>
    <t>OBS-00527</t>
  </si>
  <si>
    <t>OBS-00528</t>
  </si>
  <si>
    <t>OBS-00529</t>
  </si>
  <si>
    <t>OBS-00530</t>
  </si>
  <si>
    <t>OBS-00531</t>
  </si>
  <si>
    <t>OBS-00532</t>
  </si>
  <si>
    <t>OBS-00533</t>
  </si>
  <si>
    <t>OBS-00534</t>
  </si>
  <si>
    <t>OBS-00535</t>
  </si>
  <si>
    <t>OBS-00536</t>
  </si>
  <si>
    <t>OBS-00537</t>
  </si>
  <si>
    <t>OBS-00538</t>
  </si>
  <si>
    <t>OBS-00539</t>
  </si>
  <si>
    <t>OBS-00540</t>
  </si>
  <si>
    <t>OBS-00541</t>
  </si>
  <si>
    <t>OBS-00542</t>
  </si>
  <si>
    <t>OBS-00543</t>
  </si>
  <si>
    <t>OBS-00544</t>
  </si>
  <si>
    <t>OBS-00545</t>
  </si>
  <si>
    <t>OBS-00546</t>
  </si>
  <si>
    <t>OBS-00547</t>
  </si>
  <si>
    <t>OBS-00548</t>
  </si>
  <si>
    <t>OBS-00549</t>
  </si>
  <si>
    <t>OBS-00550</t>
  </si>
  <si>
    <t>OBS-00551</t>
  </si>
  <si>
    <t>OBS-00552</t>
  </si>
  <si>
    <t>OBS-00553</t>
  </si>
  <si>
    <t>OBS-00554</t>
  </si>
  <si>
    <t>OBS-00555</t>
  </si>
  <si>
    <t>OBS-00556</t>
  </si>
  <si>
    <t>OBS-00557</t>
  </si>
  <si>
    <t>OBS-00558</t>
  </si>
  <si>
    <t>OBS-00559</t>
  </si>
  <si>
    <t>OBS-00560</t>
  </si>
  <si>
    <t>OBS-00561</t>
  </si>
  <si>
    <t>OBS-00562</t>
  </si>
  <si>
    <t>OBS-00563</t>
  </si>
  <si>
    <t>OBS-00564</t>
  </si>
  <si>
    <t>OBS-00565</t>
  </si>
  <si>
    <t>OBS-00566</t>
  </si>
  <si>
    <t>OBS-00567</t>
  </si>
  <si>
    <t>OBS-00568</t>
  </si>
  <si>
    <t>OBS-00569</t>
  </si>
  <si>
    <t>OBS-00570</t>
  </si>
  <si>
    <t>OBS-00571</t>
  </si>
  <si>
    <t>OBS-00572</t>
  </si>
  <si>
    <t>OBS-00573</t>
  </si>
  <si>
    <t>OBS-00574</t>
  </si>
  <si>
    <t>OBS-00575</t>
  </si>
  <si>
    <t>OBS-00576</t>
  </si>
  <si>
    <t>OBS-00577</t>
  </si>
  <si>
    <t>OBS-00578</t>
  </si>
  <si>
    <t>OBS-00579</t>
  </si>
  <si>
    <t>OBS-00580</t>
  </si>
  <si>
    <t>OBS-00581</t>
  </si>
  <si>
    <t>OBS-00582</t>
  </si>
  <si>
    <t>OBS-00583</t>
  </si>
  <si>
    <t>OBS-00584</t>
  </si>
  <si>
    <t>OBS-00585</t>
  </si>
  <si>
    <t>OBS-00586</t>
  </si>
  <si>
    <t>OBS-00587</t>
  </si>
  <si>
    <t>OBS-00588</t>
  </si>
  <si>
    <t>OBS-00589</t>
  </si>
  <si>
    <t>OBS-00590</t>
  </si>
  <si>
    <t>OBS-00591</t>
  </si>
  <si>
    <t>OBS-00592</t>
  </si>
  <si>
    <t>OBS-00593</t>
  </si>
  <si>
    <t>OBS-00594</t>
  </si>
  <si>
    <t>OBS-00595</t>
  </si>
  <si>
    <t>OBS-00596</t>
  </si>
  <si>
    <t>OBS-00597</t>
  </si>
  <si>
    <t>OBS-00598</t>
  </si>
  <si>
    <t>OBS-00599</t>
  </si>
  <si>
    <t>OBS-00600</t>
  </si>
  <si>
    <t>OBS-00601</t>
  </si>
  <si>
    <t>OBS-00602</t>
  </si>
  <si>
    <t>OBS-00603</t>
  </si>
  <si>
    <t>OBS-00604</t>
  </si>
  <si>
    <t>OBS-00605</t>
  </si>
  <si>
    <t>OBS-00606</t>
  </si>
  <si>
    <t>OBS-00607</t>
  </si>
  <si>
    <t>OBS-00608</t>
  </si>
  <si>
    <t>OBS-00609</t>
  </si>
  <si>
    <t>OBS-00610</t>
  </si>
  <si>
    <t>OBS-00611</t>
  </si>
  <si>
    <t>OBS-00612</t>
  </si>
  <si>
    <t>OBS-00613</t>
  </si>
  <si>
    <t>OBS-00614</t>
  </si>
  <si>
    <t>OBS-00615</t>
  </si>
  <si>
    <t>OBS-00616</t>
  </si>
  <si>
    <t>OBS-00617</t>
  </si>
  <si>
    <t>OBS-00618</t>
  </si>
  <si>
    <t>OBS-00619</t>
  </si>
  <si>
    <t>OBS-00620</t>
  </si>
  <si>
    <t>OBS-00621</t>
  </si>
  <si>
    <t>OBS-00622</t>
  </si>
  <si>
    <t>OBS-00623</t>
  </si>
  <si>
    <t>OBS-00624</t>
  </si>
  <si>
    <t>OBS-00625</t>
  </si>
  <si>
    <t>OBS-00626</t>
  </si>
  <si>
    <t>OBS-00627</t>
  </si>
  <si>
    <t>OBS-00628</t>
  </si>
  <si>
    <t>OBS-00629</t>
  </si>
  <si>
    <t>OBS-00630</t>
  </si>
  <si>
    <t>OBS-00631</t>
  </si>
  <si>
    <t>OBS-00632</t>
  </si>
  <si>
    <t>OBS-00633</t>
  </si>
  <si>
    <t>OBS-00634</t>
  </si>
  <si>
    <t>OBS-00635</t>
  </si>
  <si>
    <t>OBS-00636</t>
  </si>
  <si>
    <t>OBS-00637</t>
  </si>
  <si>
    <t>OBS-00638</t>
  </si>
  <si>
    <t>OBS-00639</t>
  </si>
  <si>
    <t>OBS-00640</t>
  </si>
  <si>
    <t>OBS-00641</t>
  </si>
  <si>
    <t>OBS-00642</t>
  </si>
  <si>
    <t>OBS-00643</t>
  </si>
  <si>
    <t>OBS-00644</t>
  </si>
  <si>
    <t>OBS-00645</t>
  </si>
  <si>
    <t>OBS-00646</t>
  </si>
  <si>
    <t>OBS-00647</t>
  </si>
  <si>
    <t>OBS-00648</t>
  </si>
  <si>
    <t>OBS-00649</t>
  </si>
  <si>
    <t>OBS-00650</t>
  </si>
  <si>
    <t>OBS-00651</t>
  </si>
  <si>
    <t>OBS-00652</t>
  </si>
  <si>
    <t>OBS-00653</t>
  </si>
  <si>
    <t>OBS-00654</t>
  </si>
  <si>
    <t>OBS-00655</t>
  </si>
  <si>
    <t>OBS-00656</t>
  </si>
  <si>
    <t>OBS-00657</t>
  </si>
  <si>
    <t>OBS-00658</t>
  </si>
  <si>
    <t>OBS-00659</t>
  </si>
  <si>
    <t>OBS-00660</t>
  </si>
  <si>
    <t>OBS-00661</t>
  </si>
  <si>
    <t>OBS-00662</t>
  </si>
  <si>
    <t>OBS-00663</t>
  </si>
  <si>
    <t>OBS-00664</t>
  </si>
  <si>
    <t>OBS-00665</t>
  </si>
  <si>
    <t>OBS-00666</t>
  </si>
  <si>
    <t>OBS-00667</t>
  </si>
  <si>
    <t>OBS-00668</t>
  </si>
  <si>
    <t>OBS-00669</t>
  </si>
  <si>
    <t>OBS-00670</t>
  </si>
  <si>
    <t>OBS-00671</t>
  </si>
  <si>
    <t>OBS-00672</t>
  </si>
  <si>
    <t>OBS-00673</t>
  </si>
  <si>
    <t>OBS-00674</t>
  </si>
  <si>
    <t>OBS-00675</t>
  </si>
  <si>
    <t>OBS-00676</t>
  </si>
  <si>
    <t>OBS-00677</t>
  </si>
  <si>
    <t>OBS-00678</t>
  </si>
  <si>
    <t>OBS-00679</t>
  </si>
  <si>
    <t>OBS-00680</t>
  </si>
  <si>
    <t>OBS-00681</t>
  </si>
  <si>
    <t>OBS-00682</t>
  </si>
  <si>
    <t>OBS-00683</t>
  </si>
  <si>
    <t>OBS-00684</t>
  </si>
  <si>
    <t>OBS-00685</t>
  </si>
  <si>
    <t>OBS-00686</t>
  </si>
  <si>
    <t>OBS-00687</t>
  </si>
  <si>
    <t>OBS-00688</t>
  </si>
  <si>
    <t>OBS-00689</t>
  </si>
  <si>
    <t>OBS-00690</t>
  </si>
  <si>
    <t>OBS-00691</t>
  </si>
  <si>
    <t>OBS-00692</t>
  </si>
  <si>
    <t>OBS-00693</t>
  </si>
  <si>
    <t>OBS-00694</t>
  </si>
  <si>
    <t>OBS-00695</t>
  </si>
  <si>
    <t>OBS-00696</t>
  </si>
  <si>
    <t>OBS-00697</t>
  </si>
  <si>
    <t>OBS-00698</t>
  </si>
  <si>
    <t>OBS-00699</t>
  </si>
  <si>
    <t>OBS-00700</t>
  </si>
  <si>
    <t>OBS-00701</t>
  </si>
  <si>
    <t>OBS-00702</t>
  </si>
  <si>
    <t>OBS-00703</t>
  </si>
  <si>
    <t>OBS-00704</t>
  </si>
  <si>
    <t>OBS-00705</t>
  </si>
  <si>
    <t>OBS-00706</t>
  </si>
  <si>
    <t>OBS-00707</t>
  </si>
  <si>
    <t>OBS-00708</t>
  </si>
  <si>
    <t>OBS-00709</t>
  </si>
  <si>
    <t>OBS-00710</t>
  </si>
  <si>
    <t>OBS-00711</t>
  </si>
  <si>
    <t>OBS-00712</t>
  </si>
  <si>
    <t>OBS-00713</t>
  </si>
  <si>
    <t>OBS-00714</t>
  </si>
  <si>
    <t>OBS-00715</t>
  </si>
  <si>
    <t>OBS-00716</t>
  </si>
  <si>
    <t>OBS-00717</t>
  </si>
  <si>
    <t>OBS-00718</t>
  </si>
  <si>
    <t>OBS-00719</t>
  </si>
  <si>
    <t>OBS-00720</t>
  </si>
  <si>
    <t>OBS-00721</t>
  </si>
  <si>
    <t>OBS-00722</t>
  </si>
  <si>
    <t>OBS-00723</t>
  </si>
  <si>
    <t>OBS-00724</t>
  </si>
  <si>
    <t>OBS-00725</t>
  </si>
  <si>
    <t>OBS-00726</t>
  </si>
  <si>
    <t>OBS-00727</t>
  </si>
  <si>
    <t>OBS-00728</t>
  </si>
  <si>
    <t>OBS-00729</t>
  </si>
  <si>
    <t>OBS-00730</t>
  </si>
  <si>
    <t>OBS-00731</t>
  </si>
  <si>
    <t>OBS-00732</t>
  </si>
  <si>
    <t>OBS-00733</t>
  </si>
  <si>
    <t>OBS-00734</t>
  </si>
  <si>
    <t>OBS-00735</t>
  </si>
  <si>
    <t>OBS-00736</t>
  </si>
  <si>
    <t>OBS-00737</t>
  </si>
  <si>
    <t>OBS-00738</t>
  </si>
  <si>
    <t>OBS-00739</t>
  </si>
  <si>
    <t>OBS-00740</t>
  </si>
  <si>
    <t>OBS-00741</t>
  </si>
  <si>
    <t>OBS-00742</t>
  </si>
  <si>
    <t>OBS-00743</t>
  </si>
  <si>
    <t>OBS-00744</t>
  </si>
  <si>
    <t>OBS-00745</t>
  </si>
  <si>
    <t>OBS-00746</t>
  </si>
  <si>
    <t>OBS-00747</t>
  </si>
  <si>
    <t>OBS-00748</t>
  </si>
  <si>
    <t>OBS-00749</t>
  </si>
  <si>
    <t>OBS-00750</t>
  </si>
  <si>
    <t>OBS-00751</t>
  </si>
  <si>
    <t>OBS-00752</t>
  </si>
  <si>
    <t>OBS-00753</t>
  </si>
  <si>
    <t>OBS-00754</t>
  </si>
  <si>
    <t>OBS-00755</t>
  </si>
  <si>
    <t>OBS-00756</t>
  </si>
  <si>
    <t>OBS-00757</t>
  </si>
  <si>
    <t>OBS-00758</t>
  </si>
  <si>
    <t>OBS-00759</t>
  </si>
  <si>
    <t>OBS-00760</t>
  </si>
  <si>
    <t>OBS-00761</t>
  </si>
  <si>
    <t>OBS-00762</t>
  </si>
  <si>
    <t>OBS-00763</t>
  </si>
  <si>
    <t>OBS-00764</t>
  </si>
  <si>
    <t>OBS-00765</t>
  </si>
  <si>
    <t>OBS-00766</t>
  </si>
  <si>
    <t>OBS-00767</t>
  </si>
  <si>
    <t>OBS-00768</t>
  </si>
  <si>
    <t>OBS-00769</t>
  </si>
  <si>
    <t>OBS-00770</t>
  </si>
  <si>
    <t>OBS-00771</t>
  </si>
  <si>
    <t>OBS-00772</t>
  </si>
  <si>
    <t>OBS-00773</t>
  </si>
  <si>
    <t>OBS-00774</t>
  </si>
  <si>
    <t>OBS-00775</t>
  </si>
  <si>
    <t>OBS-00776</t>
  </si>
  <si>
    <t>OBS-00777</t>
  </si>
  <si>
    <t>OBS-00778</t>
  </si>
  <si>
    <t>OBS-00779</t>
  </si>
  <si>
    <t>OBS-00780</t>
  </si>
  <si>
    <t>OBS-00781</t>
  </si>
  <si>
    <t>OBS-00782</t>
  </si>
  <si>
    <t>OBS-00783</t>
  </si>
  <si>
    <t>OBS-00784</t>
  </si>
  <si>
    <t>OBS-00785</t>
  </si>
  <si>
    <t>OBS-00786</t>
  </si>
  <si>
    <t>OBS-00787</t>
  </si>
  <si>
    <t>OBS-00788</t>
  </si>
  <si>
    <t>OBS-00789</t>
  </si>
  <si>
    <t>OBS-00790</t>
  </si>
  <si>
    <t>OBS-00791</t>
  </si>
  <si>
    <t>OBS-00792</t>
  </si>
  <si>
    <t>OBS-00793</t>
  </si>
  <si>
    <t>OBS-00794</t>
  </si>
  <si>
    <t>OBS-00795</t>
  </si>
  <si>
    <t>OBS-00796</t>
  </si>
  <si>
    <t>OBS-00797</t>
  </si>
  <si>
    <t>OBS-00798</t>
  </si>
  <si>
    <t>OBS-00799</t>
  </si>
  <si>
    <t>OBS-00800</t>
  </si>
  <si>
    <t>OBS-00801</t>
  </si>
  <si>
    <t>OBS-00802</t>
  </si>
  <si>
    <t>OBS-00803</t>
  </si>
  <si>
    <t>OBS-00804</t>
  </si>
  <si>
    <t>OBS-00805</t>
  </si>
  <si>
    <t>OBS-00806</t>
  </si>
  <si>
    <t>OBS-00807</t>
  </si>
  <si>
    <t>OBS-00808</t>
  </si>
  <si>
    <t>OBS-00809</t>
  </si>
  <si>
    <t>OBS-00810</t>
  </si>
  <si>
    <t>OBS-00811</t>
  </si>
  <si>
    <t>OBS-00812</t>
  </si>
  <si>
    <t>OBS-00813</t>
  </si>
  <si>
    <t>OBS-00814</t>
  </si>
  <si>
    <t>OBS-00815</t>
  </si>
  <si>
    <t>OBS-00816</t>
  </si>
  <si>
    <t>OBS-00817</t>
  </si>
  <si>
    <t>OBS-00818</t>
  </si>
  <si>
    <t>OBS-00819</t>
  </si>
  <si>
    <t>OBS-00820</t>
  </si>
  <si>
    <t>OBS-00821</t>
  </si>
  <si>
    <t>OBS-00822</t>
  </si>
  <si>
    <t>OBS-00823</t>
  </si>
  <si>
    <t>OBS-00824</t>
  </si>
  <si>
    <t>OBS-00825</t>
  </si>
  <si>
    <t>OBS-00826</t>
  </si>
  <si>
    <t>OBS-00827</t>
  </si>
  <si>
    <t>OBS-00828</t>
  </si>
  <si>
    <t>OBS-00829</t>
  </si>
  <si>
    <t>OBS-00830</t>
  </si>
  <si>
    <t>OBS-00831</t>
  </si>
  <si>
    <t>OBS-00832</t>
  </si>
  <si>
    <t>OBS-00833</t>
  </si>
  <si>
    <t>OBS-00834</t>
  </si>
  <si>
    <t>OBS-00835</t>
  </si>
  <si>
    <t>OBS-00836</t>
  </si>
  <si>
    <t>OBS-00837</t>
  </si>
  <si>
    <t>OBS-00838</t>
  </si>
  <si>
    <t>OBS-00839</t>
  </si>
  <si>
    <t>OBS-00840</t>
  </si>
  <si>
    <t>OBS-00841</t>
  </si>
  <si>
    <t>OBS-00842</t>
  </si>
  <si>
    <t>OBS-00843</t>
  </si>
  <si>
    <t>OBS-00844</t>
  </si>
  <si>
    <t>OBS-00845</t>
  </si>
  <si>
    <t>OBS-00846</t>
  </si>
  <si>
    <t>OBS-00847</t>
  </si>
  <si>
    <t>OBS-00848</t>
  </si>
  <si>
    <t>OBS-00849</t>
  </si>
  <si>
    <t>OBS-00850</t>
  </si>
  <si>
    <t>OBS-00851</t>
  </si>
  <si>
    <t>OBS-00852</t>
  </si>
  <si>
    <t>OBS-00853</t>
  </si>
  <si>
    <t>OBS-00854</t>
  </si>
  <si>
    <t>OBS-00855</t>
  </si>
  <si>
    <t>OBS-00856</t>
  </si>
  <si>
    <t>OBS-00857</t>
  </si>
  <si>
    <t>OBS-00858</t>
  </si>
  <si>
    <t>OBS-00859</t>
  </si>
  <si>
    <t>OBS-00860</t>
  </si>
  <si>
    <t>OBS-00861</t>
  </si>
  <si>
    <t>OBS-00862</t>
  </si>
  <si>
    <t>OBS-00863</t>
  </si>
  <si>
    <t>OBS-00864</t>
  </si>
  <si>
    <t>OBS-00865</t>
  </si>
  <si>
    <t>OBS-00866</t>
  </si>
  <si>
    <t>OBS-00867</t>
  </si>
  <si>
    <t>OBS-00868</t>
  </si>
  <si>
    <t>OBS-00869</t>
  </si>
  <si>
    <t>OBS-00870</t>
  </si>
  <si>
    <t>OBS-00871</t>
  </si>
  <si>
    <t>OBS-00872</t>
  </si>
  <si>
    <t>OBS-00873</t>
  </si>
  <si>
    <t>OBS-00874</t>
  </si>
  <si>
    <t>OBS-00875</t>
  </si>
  <si>
    <t>OBS-00876</t>
  </si>
  <si>
    <t>OBS-00877</t>
  </si>
  <si>
    <t>OBS-00878</t>
  </si>
  <si>
    <t>OBS-00879</t>
  </si>
  <si>
    <t>OBS-00880</t>
  </si>
  <si>
    <t>OBS-00881</t>
  </si>
  <si>
    <t>Sensor failure sentinel (-1)</t>
  </si>
  <si>
    <t>OBS-00882</t>
  </si>
  <si>
    <t>OBS-00883</t>
  </si>
  <si>
    <t>OBS-00884</t>
  </si>
  <si>
    <t>OBS-00885</t>
  </si>
  <si>
    <t>OBS-00886</t>
  </si>
  <si>
    <t>OBS-00887</t>
  </si>
  <si>
    <t>OBS-00888</t>
  </si>
  <si>
    <t>OBS-00889</t>
  </si>
  <si>
    <t>OBS-00890</t>
  </si>
  <si>
    <t>OBS-00891</t>
  </si>
  <si>
    <t>OBS-00892</t>
  </si>
  <si>
    <t>OBS-00893</t>
  </si>
  <si>
    <t>OBS-00894</t>
  </si>
  <si>
    <t>OBS-00895</t>
  </si>
  <si>
    <t>OBS-00896</t>
  </si>
  <si>
    <t>OBS-00897</t>
  </si>
  <si>
    <t>OBS-00898</t>
  </si>
  <si>
    <t>OBS-00899</t>
  </si>
  <si>
    <t>OBS-00900</t>
  </si>
  <si>
    <t>OBS-00901</t>
  </si>
  <si>
    <t>OBS-00902</t>
  </si>
  <si>
    <t>OBS-00903</t>
  </si>
  <si>
    <t>OBS-00904</t>
  </si>
  <si>
    <t>OBS-00905</t>
  </si>
  <si>
    <t>OBS-00906</t>
  </si>
  <si>
    <t>OBS-00907</t>
  </si>
  <si>
    <t>OBS-00908</t>
  </si>
  <si>
    <t>OBS-00909</t>
  </si>
  <si>
    <t>OBS-00910</t>
  </si>
  <si>
    <t>OBS-00911</t>
  </si>
  <si>
    <t>OBS-00912</t>
  </si>
  <si>
    <t>OBS-00913</t>
  </si>
  <si>
    <t>OBS-00914</t>
  </si>
  <si>
    <t>OBS-00915</t>
  </si>
  <si>
    <t>OBS-00916</t>
  </si>
  <si>
    <t>OBS-00917</t>
  </si>
  <si>
    <t>OBS-00918</t>
  </si>
  <si>
    <t>OBS-00919</t>
  </si>
  <si>
    <t>OBS-00920</t>
  </si>
  <si>
    <t>OBS-00921</t>
  </si>
  <si>
    <t>OBS-00922</t>
  </si>
  <si>
    <t>OBS-00923</t>
  </si>
  <si>
    <t>OBS-00924</t>
  </si>
  <si>
    <t>OBS-00925</t>
  </si>
  <si>
    <t>OBS-00926</t>
  </si>
  <si>
    <t>OBS-00927</t>
  </si>
  <si>
    <t>OBS-00928</t>
  </si>
  <si>
    <t>OBS-00929</t>
  </si>
  <si>
    <t>OBS-00930</t>
  </si>
  <si>
    <t>OBS-00931</t>
  </si>
  <si>
    <t>OBS-00932</t>
  </si>
  <si>
    <t>OBS-00933</t>
  </si>
  <si>
    <t>OBS-00934</t>
  </si>
  <si>
    <t>OBS-00935</t>
  </si>
  <si>
    <t>OBS-00936</t>
  </si>
  <si>
    <t>OBS-00937</t>
  </si>
  <si>
    <t>OBS-00938</t>
  </si>
  <si>
    <t>OBS-00939</t>
  </si>
  <si>
    <t>OBS-00940</t>
  </si>
  <si>
    <t>OBS-00941</t>
  </si>
  <si>
    <t>OBS-00942</t>
  </si>
  <si>
    <t>OBS-00943</t>
  </si>
  <si>
    <t>OBS-00944</t>
  </si>
  <si>
    <t>OBS-00945</t>
  </si>
  <si>
    <t>OBS-00946</t>
  </si>
  <si>
    <t>OBS-00947</t>
  </si>
  <si>
    <t>OBS-00948</t>
  </si>
  <si>
    <t>OBS-00949</t>
  </si>
  <si>
    <t>OBS-00950</t>
  </si>
  <si>
    <t>OBS-00951</t>
  </si>
  <si>
    <t>OBS-00952</t>
  </si>
  <si>
    <t>OBS-00953</t>
  </si>
  <si>
    <t>OBS-00954</t>
  </si>
  <si>
    <t>OBS-00955</t>
  </si>
  <si>
    <t>OBS-00956</t>
  </si>
  <si>
    <t>OBS-00957</t>
  </si>
  <si>
    <t>OBS-00958</t>
  </si>
  <si>
    <t>OBS-00959</t>
  </si>
  <si>
    <t>OBS-00960</t>
  </si>
  <si>
    <t>OBS-00961</t>
  </si>
  <si>
    <t>OBS-00962</t>
  </si>
  <si>
    <t>OBS-00963</t>
  </si>
  <si>
    <t>OBS-00964</t>
  </si>
  <si>
    <t>OBS-00965</t>
  </si>
  <si>
    <t>OBS-00966</t>
  </si>
  <si>
    <t>OBS-00967</t>
  </si>
  <si>
    <t>OBS-00968</t>
  </si>
  <si>
    <t>OBS-00969</t>
  </si>
  <si>
    <t>OBS-00970</t>
  </si>
  <si>
    <t>OBS-00971</t>
  </si>
  <si>
    <t>OBS-00972</t>
  </si>
  <si>
    <t>OBS-00973</t>
  </si>
  <si>
    <t>OBS-00974</t>
  </si>
  <si>
    <t>OBS-00975</t>
  </si>
  <si>
    <t>OBS-00976</t>
  </si>
  <si>
    <t>OBS-00977</t>
  </si>
  <si>
    <t>OBS-00978</t>
  </si>
  <si>
    <t>OBS-00979</t>
  </si>
  <si>
    <t>OBS-00980</t>
  </si>
  <si>
    <t>OBS-00981</t>
  </si>
  <si>
    <t>OBS-00982</t>
  </si>
  <si>
    <t>OBS-00983</t>
  </si>
  <si>
    <t>OBS-00984</t>
  </si>
  <si>
    <t>OBS-00985</t>
  </si>
  <si>
    <t>OBS-00986</t>
  </si>
  <si>
    <t>OBS-00987</t>
  </si>
  <si>
    <t>OBS-00988</t>
  </si>
  <si>
    <t>OBS-00989</t>
  </si>
  <si>
    <t>OBS-00990</t>
  </si>
  <si>
    <t>OBS-00991</t>
  </si>
  <si>
    <t>OBS-00992</t>
  </si>
  <si>
    <t>OBS-00993</t>
  </si>
  <si>
    <t>OBS-00994</t>
  </si>
  <si>
    <t>OBS-00995</t>
  </si>
  <si>
    <t>OBS-00996</t>
  </si>
  <si>
    <t>OBS-00997</t>
  </si>
  <si>
    <t>OBS-00998</t>
  </si>
  <si>
    <t>OBS-00999</t>
  </si>
  <si>
    <t>OBS-01000</t>
  </si>
  <si>
    <t>OBS-01001</t>
  </si>
  <si>
    <t>OBS-01002</t>
  </si>
  <si>
    <t>OBS-01003</t>
  </si>
  <si>
    <t>OBS-01004</t>
  </si>
  <si>
    <t>OBS-01005</t>
  </si>
  <si>
    <t>OBS-01006</t>
  </si>
  <si>
    <t>OBS-01007</t>
  </si>
  <si>
    <t>OBS-01008</t>
  </si>
  <si>
    <t>OBS-01009</t>
  </si>
  <si>
    <t>OBS-01010</t>
  </si>
  <si>
    <t>OBS-01011</t>
  </si>
  <si>
    <t>OBS-01012</t>
  </si>
  <si>
    <t>OBS-01013</t>
  </si>
  <si>
    <t>OBS-01014</t>
  </si>
  <si>
    <t>OBS-01015</t>
  </si>
  <si>
    <t>OBS-01016</t>
  </si>
  <si>
    <t>OBS-01017</t>
  </si>
  <si>
    <t>OBS-01018</t>
  </si>
  <si>
    <t>OBS-01019</t>
  </si>
  <si>
    <t>OBS-01020</t>
  </si>
  <si>
    <t>OBS-01021</t>
  </si>
  <si>
    <t>OBS-01022</t>
  </si>
  <si>
    <t>OBS-01023</t>
  </si>
  <si>
    <t>OBS-01024</t>
  </si>
  <si>
    <t>OBS-01025</t>
  </si>
  <si>
    <t>OBS-01026</t>
  </si>
  <si>
    <t>OBS-01027</t>
  </si>
  <si>
    <t>OBS-01028</t>
  </si>
  <si>
    <t>OBS-01029</t>
  </si>
  <si>
    <t>OBS-01030</t>
  </si>
  <si>
    <t>OBS-01031</t>
  </si>
  <si>
    <t>OBS-01032</t>
  </si>
  <si>
    <t>OBS-01033</t>
  </si>
  <si>
    <t>OBS-01034</t>
  </si>
  <si>
    <t>OBS-01035</t>
  </si>
  <si>
    <t>OBS-01036</t>
  </si>
  <si>
    <t>OBS-01037</t>
  </si>
  <si>
    <t>OBS-01038</t>
  </si>
  <si>
    <t>OBS-01039</t>
  </si>
  <si>
    <t>OBS-01040</t>
  </si>
  <si>
    <t>OBS-01041</t>
  </si>
  <si>
    <t>OBS-01042</t>
  </si>
  <si>
    <t>OBS-01043</t>
  </si>
  <si>
    <t>OBS-01044</t>
  </si>
  <si>
    <t>OBS-01045</t>
  </si>
  <si>
    <t>OBS-01046</t>
  </si>
  <si>
    <t>OBS-01047</t>
  </si>
  <si>
    <t>OBS-01048</t>
  </si>
  <si>
    <t>OBS-01049</t>
  </si>
  <si>
    <t>OBS-01050</t>
  </si>
  <si>
    <t>OBS-01051</t>
  </si>
  <si>
    <t>OBS-01052</t>
  </si>
  <si>
    <t>OBS-01053</t>
  </si>
  <si>
    <t>OBS-01054</t>
  </si>
  <si>
    <t>OBS-01055</t>
  </si>
  <si>
    <t>OBS-01056</t>
  </si>
  <si>
    <t>OBS-01057</t>
  </si>
  <si>
    <t>OBS-01058</t>
  </si>
  <si>
    <t>OBS-01059</t>
  </si>
  <si>
    <t>OBS-01060</t>
  </si>
  <si>
    <t>OBS-01061</t>
  </si>
  <si>
    <t>OBS-01062</t>
  </si>
  <si>
    <t>OBS-01063</t>
  </si>
  <si>
    <t>OBS-01064</t>
  </si>
  <si>
    <t>OBS-01065</t>
  </si>
  <si>
    <t>OBS-01066</t>
  </si>
  <si>
    <t>OBS-01067</t>
  </si>
  <si>
    <t>OBS-01068</t>
  </si>
  <si>
    <t>OBS-01069</t>
  </si>
  <si>
    <t>OBS-01070</t>
  </si>
  <si>
    <t>OBS-01071</t>
  </si>
  <si>
    <t>OBS-01072</t>
  </si>
  <si>
    <t>OBS-01073</t>
  </si>
  <si>
    <t>OBS-01074</t>
  </si>
  <si>
    <t>OBS-01075</t>
  </si>
  <si>
    <t>OBS-01076</t>
  </si>
  <si>
    <t>OBS-01077</t>
  </si>
  <si>
    <t>OBS-01078</t>
  </si>
  <si>
    <t>OBS-01079</t>
  </si>
  <si>
    <t>OBS-01080</t>
  </si>
  <si>
    <t>OBS-01081</t>
  </si>
  <si>
    <t>OBS-01082</t>
  </si>
  <si>
    <t>OBS-01083</t>
  </si>
  <si>
    <t>OBS-01084</t>
  </si>
  <si>
    <t>OBS-01085</t>
  </si>
  <si>
    <t>OBS-01086</t>
  </si>
  <si>
    <t>OBS-01087</t>
  </si>
  <si>
    <t>OBS-01088</t>
  </si>
  <si>
    <t>OBS-01089</t>
  </si>
  <si>
    <t>OBS-01090</t>
  </si>
  <si>
    <t>OBS-01091</t>
  </si>
  <si>
    <t>OBS-01092</t>
  </si>
  <si>
    <t>OBS-01093</t>
  </si>
  <si>
    <t>OBS-01094</t>
  </si>
  <si>
    <t>OBS-01095</t>
  </si>
  <si>
    <t>OBS-01096</t>
  </si>
  <si>
    <t>OBS-01097</t>
  </si>
  <si>
    <t>OBS-01098</t>
  </si>
  <si>
    <t>OBS-01099</t>
  </si>
  <si>
    <t>OBS-01100</t>
  </si>
  <si>
    <t>OBS-01101</t>
  </si>
  <si>
    <t>OBS-01102</t>
  </si>
  <si>
    <t>OBS-01103</t>
  </si>
  <si>
    <t>OBS-01104</t>
  </si>
  <si>
    <t>OBS-01105</t>
  </si>
  <si>
    <t>OBS-01106</t>
  </si>
  <si>
    <t>OBS-01107</t>
  </si>
  <si>
    <t>OBS-01108</t>
  </si>
  <si>
    <t>OBS-01109</t>
  </si>
  <si>
    <t>OBS-01110</t>
  </si>
  <si>
    <t>OBS-01111</t>
  </si>
  <si>
    <t>OBS-01112</t>
  </si>
  <si>
    <t>OBS-01113</t>
  </si>
  <si>
    <t>OBS-01114</t>
  </si>
  <si>
    <t>OBS-01115</t>
  </si>
  <si>
    <t>OBS-01116</t>
  </si>
  <si>
    <t>OBS-01117</t>
  </si>
  <si>
    <t>OBS-01118</t>
  </si>
  <si>
    <t>OBS-01119</t>
  </si>
  <si>
    <t>OBS-01120</t>
  </si>
  <si>
    <t>OBS-01121</t>
  </si>
  <si>
    <t>OBS-01122</t>
  </si>
  <si>
    <t>OBS-01123</t>
  </si>
  <si>
    <t>OBS-01124</t>
  </si>
  <si>
    <t>OBS-01125</t>
  </si>
  <si>
    <t>OBS-01126</t>
  </si>
  <si>
    <t>OBS-01127</t>
  </si>
  <si>
    <t>OBS-01128</t>
  </si>
  <si>
    <t>OBS-01129</t>
  </si>
  <si>
    <t>OBS-01130</t>
  </si>
  <si>
    <t>OBS-01131</t>
  </si>
  <si>
    <t>OBS-01132</t>
  </si>
  <si>
    <t>OBS-01133</t>
  </si>
  <si>
    <t>OBS-01134</t>
  </si>
  <si>
    <t>OBS-01135</t>
  </si>
  <si>
    <t>OBS-01136</t>
  </si>
  <si>
    <t>OBS-01137</t>
  </si>
  <si>
    <t>OBS-01138</t>
  </si>
  <si>
    <t>OBS-01139</t>
  </si>
  <si>
    <t>OBS-01140</t>
  </si>
  <si>
    <t>OBS-01141</t>
  </si>
  <si>
    <t>OBS-01142</t>
  </si>
  <si>
    <t>OBS-01143</t>
  </si>
  <si>
    <t>OBS-01144</t>
  </si>
  <si>
    <t>OBS-01145</t>
  </si>
  <si>
    <t>OBS-01146</t>
  </si>
  <si>
    <t>OBS-01147</t>
  </si>
  <si>
    <t>OBS-01148</t>
  </si>
  <si>
    <t>OBS-01149</t>
  </si>
  <si>
    <t>OBS-01150</t>
  </si>
  <si>
    <t>OBS-01151</t>
  </si>
  <si>
    <t>OBS-01152</t>
  </si>
  <si>
    <t>OBS-01153</t>
  </si>
  <si>
    <t>OBS-01154</t>
  </si>
  <si>
    <t>OBS-01155</t>
  </si>
  <si>
    <t>OBS-01156</t>
  </si>
  <si>
    <t>OBS-01157</t>
  </si>
  <si>
    <t>OBS-01158</t>
  </si>
  <si>
    <t>OBS-01159</t>
  </si>
  <si>
    <t>OBS-01160</t>
  </si>
  <si>
    <t>OBS-01161</t>
  </si>
  <si>
    <t>OBS-01162</t>
  </si>
  <si>
    <t>OBS-01163</t>
  </si>
  <si>
    <t>OBS-01164</t>
  </si>
  <si>
    <t>OBS-01165</t>
  </si>
  <si>
    <t>OBS-01166</t>
  </si>
  <si>
    <t>OBS-01167</t>
  </si>
  <si>
    <t>OBS-01168</t>
  </si>
  <si>
    <t>OBS-01169</t>
  </si>
  <si>
    <t>OBS-01170</t>
  </si>
  <si>
    <t>OBS-01171</t>
  </si>
  <si>
    <t>OBS-01172</t>
  </si>
  <si>
    <t>OBS-01173</t>
  </si>
  <si>
    <t>OBS-01174</t>
  </si>
  <si>
    <t>OBS-01175</t>
  </si>
  <si>
    <t>OBS-01176</t>
  </si>
  <si>
    <t>OBS-01177</t>
  </si>
  <si>
    <t>OBS-01178</t>
  </si>
  <si>
    <t>OBS-01179</t>
  </si>
  <si>
    <t>OBS-01180</t>
  </si>
  <si>
    <t>OBS-01181</t>
  </si>
  <si>
    <t>OBS-01182</t>
  </si>
  <si>
    <t>OBS-01183</t>
  </si>
  <si>
    <t>OBS-01184</t>
  </si>
  <si>
    <t>OBS-01185</t>
  </si>
  <si>
    <t>OBS-01186</t>
  </si>
  <si>
    <t>OBS-01187</t>
  </si>
  <si>
    <t>OBS-01188</t>
  </si>
  <si>
    <t>OBS-01189</t>
  </si>
  <si>
    <t>OBS-01190</t>
  </si>
  <si>
    <t>OBS-01191</t>
  </si>
  <si>
    <t>OBS-01192</t>
  </si>
  <si>
    <t>OBS-01193</t>
  </si>
  <si>
    <t>OBS-01194</t>
  </si>
  <si>
    <t>OBS-01195</t>
  </si>
  <si>
    <t>OBS-01196</t>
  </si>
  <si>
    <t>OBS-01197</t>
  </si>
  <si>
    <t>OBS-01198</t>
  </si>
  <si>
    <t>OBS-01199</t>
  </si>
  <si>
    <t>OBS-01200</t>
  </si>
  <si>
    <t>OBS-01201</t>
  </si>
  <si>
    <t>OBS-01202</t>
  </si>
  <si>
    <t>OBS-01203</t>
  </si>
  <si>
    <t>OBS-01204</t>
  </si>
  <si>
    <t>OBS-01205</t>
  </si>
  <si>
    <t>OBS-01206</t>
  </si>
  <si>
    <t>OBS-01207</t>
  </si>
  <si>
    <t>OBS-01208</t>
  </si>
  <si>
    <t>OBS-01209</t>
  </si>
  <si>
    <t>OBS-01210</t>
  </si>
  <si>
    <t>Entry-Platform Load-Cell Calibration Analysis</t>
  </si>
  <si>
    <t>Trial_ID</t>
  </si>
  <si>
    <t>Reference_g</t>
  </si>
  <si>
    <t>Raw_Signed_g</t>
  </si>
  <si>
    <t>Measured_Positive_g</t>
  </si>
  <si>
    <t>Error_g</t>
  </si>
  <si>
    <t>Error_pct</t>
  </si>
  <si>
    <t>Absolute_Error_g</t>
  </si>
  <si>
    <t>Interpretation</t>
  </si>
  <si>
    <t>Trial_Count</t>
  </si>
  <si>
    <t>Average_Measured_g</t>
  </si>
  <si>
    <t>Average_Bias_g</t>
  </si>
  <si>
    <t>Average_Absolute_Error_g</t>
  </si>
  <si>
    <t>Mean_Absolute_Error_pct</t>
  </si>
  <si>
    <t>CAL-001</t>
  </si>
  <si>
    <t>Requires recalibration before selecting the final entry-presence threshold</t>
  </si>
  <si>
    <t>CAL-002</t>
  </si>
  <si>
    <t>CAL-003</t>
  </si>
  <si>
    <t>CAL-004</t>
  </si>
  <si>
    <t>CAL-005</t>
  </si>
  <si>
    <t>CAL-006</t>
  </si>
  <si>
    <t>Overall metric</t>
  </si>
  <si>
    <t>Meaning</t>
  </si>
  <si>
    <t>CAL-007</t>
  </si>
  <si>
    <t>Corrected MAPE</t>
  </si>
  <si>
    <t>%</t>
  </si>
  <si>
    <t>Error after converting signed readings to positive magnitude</t>
  </si>
  <si>
    <t>CAL-008</t>
  </si>
  <si>
    <t>Calibration points</t>
  </si>
  <si>
    <t>known weights</t>
  </si>
  <si>
    <t>Provides evidence at three reference weights</t>
  </si>
  <si>
    <t>CAL-009</t>
  </si>
  <si>
    <t>Conclusion</t>
  </si>
  <si>
    <t>Recalibration required</t>
  </si>
  <si>
    <t>Firmware factor 420.0 is labelled an initial guess; the measured trials confirm it is not a valid final scale factor.</t>
  </si>
  <si>
    <t>CAL-010</t>
  </si>
  <si>
    <t>CAL-011</t>
  </si>
  <si>
    <t>Firmware Load-Cell Calibration Implementation</t>
  </si>
  <si>
    <t>CAL-012</t>
  </si>
  <si>
    <t>Code scale factor</t>
  </si>
  <si>
    <t>Initial guess / TODO</t>
  </si>
  <si>
    <t>Must be replaced after a successful known-weight calibration</t>
  </si>
  <si>
    <t>CAL-013</t>
  </si>
  <si>
    <t>Tare operation</t>
  </si>
  <si>
    <t>scale.tare()</t>
  </si>
  <si>
    <t>Implemented</t>
  </si>
  <si>
    <t>Zero offset is captured with the entry platform empty</t>
  </si>
  <si>
    <t>CAL-014</t>
  </si>
  <si>
    <t>Conversion relation</t>
  </si>
  <si>
    <t>(average raw − tare offset) / 420.0</t>
  </si>
  <si>
    <t>Operational relationship represented by set_scale() + get_units(3)</t>
  </si>
  <si>
    <t>CAL-015</t>
  </si>
  <si>
    <t>Presence threshold</t>
  </si>
  <si>
    <t>Operational threshold</t>
  </si>
  <si>
    <t>Person confirmation requires weight above this AND optical detection</t>
  </si>
  <si>
    <t>Clean Security, Fire and Firmware Event Log</t>
  </si>
  <si>
    <t>Event_ID</t>
  </si>
  <si>
    <t>Category</t>
  </si>
  <si>
    <t>Severity</t>
  </si>
  <si>
    <t>Event_Detail_Clean</t>
  </si>
  <si>
    <t>PIN_Length</t>
  </si>
  <si>
    <t>Event_Text_Masked</t>
  </si>
  <si>
    <t>EVT-0001</t>
  </si>
  <si>
    <t>Info</t>
  </si>
  <si>
    <t>EVT-0002</t>
  </si>
  <si>
    <t>EVT-0003</t>
  </si>
  <si>
    <t>EVT-0004</t>
  </si>
  <si>
    <t>fan_on</t>
  </si>
  <si>
    <t>Imported from structured event row.</t>
  </si>
  <si>
    <t>EVT-0005</t>
  </si>
  <si>
    <t>EVT-0006</t>
  </si>
  <si>
    <t>proximity_detected</t>
  </si>
  <si>
    <t>EVT-0007</t>
  </si>
  <si>
    <t>EVT-0008</t>
  </si>
  <si>
    <t>password_started</t>
  </si>
  <si>
    <t>EVT-0009</t>
  </si>
  <si>
    <t>EVT-0010</t>
  </si>
  <si>
    <t>fan_off</t>
  </si>
  <si>
    <t>EVT-0011</t>
  </si>
  <si>
    <t>EVT-0012</t>
  </si>
  <si>
    <t>EVT-0013</t>
  </si>
  <si>
    <t>EVT-0014</t>
  </si>
  <si>
    <t>EVT-0015</t>
  </si>
  <si>
    <t>EVT-0016</t>
  </si>
  <si>
    <t>EVT-0017</t>
  </si>
  <si>
    <t>EVT-0018</t>
  </si>
  <si>
    <t>EVT-0019</t>
  </si>
  <si>
    <t>EVT-0020</t>
  </si>
  <si>
    <t>EVT-0021</t>
  </si>
  <si>
    <t>EVT-0022</t>
  </si>
  <si>
    <t>EVT-0023</t>
  </si>
  <si>
    <t>EVT-0024</t>
  </si>
  <si>
    <t>Critical</t>
  </si>
  <si>
    <t>fire_detected</t>
  </si>
  <si>
    <t>EVT-0025</t>
  </si>
  <si>
    <t>EVT-0026</t>
  </si>
  <si>
    <t>EVT-0027</t>
  </si>
  <si>
    <t>EVT-0028</t>
  </si>
  <si>
    <t>EVT-0029</t>
  </si>
  <si>
    <t>password_correct</t>
  </si>
  <si>
    <t>EVT-0030</t>
  </si>
  <si>
    <t>door_opened</t>
  </si>
  <si>
    <t>EVT-0031</t>
  </si>
  <si>
    <t>door_closed</t>
  </si>
  <si>
    <t>EVT-0032</t>
  </si>
  <si>
    <t>pump_on</t>
  </si>
  <si>
    <t>EVT-0033</t>
  </si>
  <si>
    <t>EVT-0034</t>
  </si>
  <si>
    <t>EVT-0035</t>
  </si>
  <si>
    <t>EVT-0036</t>
  </si>
  <si>
    <t>EVT-0037</t>
  </si>
  <si>
    <t>EVT-0038</t>
  </si>
  <si>
    <t>EVT-0039</t>
  </si>
  <si>
    <t>EVT-0040</t>
  </si>
  <si>
    <t>EVT-0041</t>
  </si>
  <si>
    <t>EVT-0042</t>
  </si>
  <si>
    <t>EVT-0043</t>
  </si>
  <si>
    <t>EVT-0044</t>
  </si>
  <si>
    <t>EVT-0045</t>
  </si>
  <si>
    <t>EVT-0046</t>
  </si>
  <si>
    <t>EVT-0047</t>
  </si>
  <si>
    <t>EVT-0048</t>
  </si>
  <si>
    <t>EVT-0049</t>
  </si>
  <si>
    <t>EVT-0050</t>
  </si>
  <si>
    <t>EVT-0051</t>
  </si>
  <si>
    <t>EVT-0052</t>
  </si>
  <si>
    <t>EVT-0053</t>
  </si>
  <si>
    <t>EVT-0054</t>
  </si>
  <si>
    <t>EVT-0055</t>
  </si>
  <si>
    <t>EVT-0056</t>
  </si>
  <si>
    <t>EVT-0057</t>
  </si>
  <si>
    <t>EVT-0058</t>
  </si>
  <si>
    <t>EVT-0059</t>
  </si>
  <si>
    <t>EVT-0060</t>
  </si>
  <si>
    <t>EVT-0061</t>
  </si>
  <si>
    <t>EVT-0062</t>
  </si>
  <si>
    <t>EVT-0063</t>
  </si>
  <si>
    <t>EVT-0064</t>
  </si>
  <si>
    <t>EVT-0065</t>
  </si>
  <si>
    <t>EVT-0066</t>
  </si>
  <si>
    <t>EVT-0067</t>
  </si>
  <si>
    <t>EVT-0068</t>
  </si>
  <si>
    <t>EVT-0069</t>
  </si>
  <si>
    <t>EVT-0070</t>
  </si>
  <si>
    <t>EVT-0071</t>
  </si>
  <si>
    <t>EVT-0072</t>
  </si>
  <si>
    <t>EVT-0073</t>
  </si>
  <si>
    <t>EVT-0074</t>
  </si>
  <si>
    <t>EVT-0075</t>
  </si>
  <si>
    <t>Warning</t>
  </si>
  <si>
    <t>EVT-0076</t>
  </si>
  <si>
    <t>EVT-0077</t>
  </si>
  <si>
    <t>EVT-0078</t>
  </si>
  <si>
    <t>EVT-0079</t>
  </si>
  <si>
    <t>EVT-0080</t>
  </si>
  <si>
    <t>EVT-0081</t>
  </si>
  <si>
    <t>EVT-0082</t>
  </si>
  <si>
    <t>EVT-0083</t>
  </si>
  <si>
    <t>EVT-0084</t>
  </si>
  <si>
    <t>EVT-0085</t>
  </si>
  <si>
    <t>EVT-0086</t>
  </si>
  <si>
    <t>EVT-0087</t>
  </si>
  <si>
    <t>EVT-0088</t>
  </si>
  <si>
    <t>EVT-0089</t>
  </si>
  <si>
    <t>EVT-0090</t>
  </si>
  <si>
    <t>EVT-0091</t>
  </si>
  <si>
    <t>EVT-0092</t>
  </si>
  <si>
    <t>EVT-0093</t>
  </si>
  <si>
    <t>EVT-0094</t>
  </si>
  <si>
    <t>EVT-0095</t>
  </si>
  <si>
    <t>EVT-0096</t>
  </si>
  <si>
    <t>EVT-0097</t>
  </si>
  <si>
    <t>EVT-0098</t>
  </si>
  <si>
    <t>EVT-0099</t>
  </si>
  <si>
    <t>EVT-0100</t>
  </si>
  <si>
    <t>EVT-0101</t>
  </si>
  <si>
    <t>EVT-0102</t>
  </si>
  <si>
    <t>EVT-0103</t>
  </si>
  <si>
    <t>EVT-0104</t>
  </si>
  <si>
    <t>EVT-0105</t>
  </si>
  <si>
    <t>EVT-0106</t>
  </si>
  <si>
    <t>EVT-0107</t>
  </si>
  <si>
    <t>EVT-0108</t>
  </si>
  <si>
    <t>EVT-0109</t>
  </si>
  <si>
    <t>EVT-0110</t>
  </si>
  <si>
    <t>EVT-0111</t>
  </si>
  <si>
    <t>EVT-0112</t>
  </si>
  <si>
    <t>EVT-0113</t>
  </si>
  <si>
    <t>Complete Data Archive — All Original Records Consolidated in One Table</t>
  </si>
  <si>
    <t>Archive_ID</t>
  </si>
  <si>
    <t>Record_Group</t>
  </si>
  <si>
    <t>Unified_Line</t>
  </si>
  <si>
    <t>Line_Type</t>
  </si>
  <si>
    <t>Raw_Text</t>
  </si>
  <si>
    <t>timestamp_ms</t>
  </si>
  <si>
    <t>mode</t>
  </si>
  <si>
    <t>sensor</t>
  </si>
  <si>
    <t>sample_id</t>
  </si>
  <si>
    <t>raw_value</t>
  </si>
  <si>
    <t>filtered_value</t>
  </si>
  <si>
    <t>calibrated_value</t>
  </si>
  <si>
    <t>reference_value</t>
  </si>
  <si>
    <t>error</t>
  </si>
  <si>
    <t>error_percent</t>
  </si>
  <si>
    <t>unit</t>
  </si>
  <si>
    <t>status</t>
  </si>
  <si>
    <t>event</t>
  </si>
  <si>
    <t>calibration_point</t>
  </si>
  <si>
    <t>trial</t>
  </si>
  <si>
    <t>eeprom_address</t>
  </si>
  <si>
    <t>eeprom_value</t>
  </si>
  <si>
    <t>temperature_c</t>
  </si>
  <si>
    <t>humidity_pct</t>
  </si>
  <si>
    <t>entry_weight_g</t>
  </si>
  <si>
    <t>flow_raw</t>
  </si>
  <si>
    <t>proximity</t>
  </si>
  <si>
    <t>fire_stage</t>
  </si>
  <si>
    <t>wrong_attempts</t>
  </si>
  <si>
    <t>ARC-0001</t>
  </si>
  <si>
    <t>Structured sensor record</t>
  </si>
  <si>
    <t>Pre-header / orphan</t>
  </si>
  <si>
    <t>12,NORMAL,SECURITY,,,,,,,,,,password_started,,,,</t>
  </si>
  <si>
    <t>ARC-0002</t>
  </si>
  <si>
    <t>,,,,,fan_off,,,,,,,,,,,</t>
  </si>
  <si>
    <t>ARC-0003</t>
  </si>
  <si>
    <t>241640,NORMAL,SECURITY,,,,,,,,,,proximity_detected,,,,</t>
  </si>
  <si>
    <t>241640</t>
  </si>
  <si>
    <t>ARC-0004</t>
  </si>
  <si>
    <t>241712,NORMAL,SECURITY,,,,,,,,,,password_started,,,,</t>
  </si>
  <si>
    <t>241712</t>
  </si>
  <si>
    <t>ARC-0005</t>
  </si>
  <si>
    <t>Header</t>
  </si>
  <si>
    <t>timestamp_ms,mode,sensor,sample_id,raw_value,filtered_value,calibrated_value,reference_value,error,error_percent,unit,status,event,calibration_point,trial,eeprom_address,eeprom_value</t>
  </si>
  <si>
    <t>ARC-0006</t>
  </si>
  <si>
    <t>Structured data</t>
  </si>
  <si>
    <t>5207,NORMAL,TEMP,0,21.8,,21.8,,,,C,ok,,,,,</t>
  </si>
  <si>
    <t>5207</t>
  </si>
  <si>
    <t>TEMP</t>
  </si>
  <si>
    <t>21.8</t>
  </si>
  <si>
    <t>ARC-0007</t>
  </si>
  <si>
    <t>5208,NORMAL,HUMIDITY,0,69.1,,69.1,,,,%RH,ok,,,,,</t>
  </si>
  <si>
    <t>5208</t>
  </si>
  <si>
    <t>HUMIDITY</t>
  </si>
  <si>
    <t>69.1</t>
  </si>
  <si>
    <t>ARC-0008</t>
  </si>
  <si>
    <t>5249,NORMAL,LOADCELL,0,-0.0905,,-0.0905,,,,g,ok,,,,,</t>
  </si>
  <si>
    <t>5249</t>
  </si>
  <si>
    <t>-0.0905</t>
  </si>
  <si>
    <t>ARC-0009</t>
  </si>
  <si>
    <t>5305,NORMAL,FLOW,0,0,,0,,,,L/min,ok,,,,,</t>
  </si>
  <si>
    <t>5305</t>
  </si>
  <si>
    <t>FLOW</t>
  </si>
  <si>
    <t>ARC-0010</t>
  </si>
  <si>
    <t>5359,NORMAL,OPTICAL,0,863,,863,,,,adc,ok,,,,,</t>
  </si>
  <si>
    <t>5359</t>
  </si>
  <si>
    <t>OPTICAL</t>
  </si>
  <si>
    <t>863</t>
  </si>
  <si>
    <t>adc</t>
  </si>
  <si>
    <t>ARC-0011</t>
  </si>
  <si>
    <t>5419,NORMAL,FAN,,,,,,,,,,fan_on,,,,</t>
  </si>
  <si>
    <t>5419</t>
  </si>
  <si>
    <t>ARC-0012</t>
  </si>
  <si>
    <t>8001,NORMAL,SECURITY,,,,,,,,,,proximity_detected,,,,</t>
  </si>
  <si>
    <t>8001</t>
  </si>
  <si>
    <t>ARC-0013</t>
  </si>
  <si>
    <t>8513,NORMAL,SECURITY,,,,,,,,,,password_started,,,,</t>
  </si>
  <si>
    <t>8513</t>
  </si>
  <si>
    <t>ARC-0014</t>
  </si>
  <si>
    <t>23639,NORMAL,TEMP,1,21.9,,21.9,,,,C,ok,,,,,</t>
  </si>
  <si>
    <t>23639</t>
  </si>
  <si>
    <t>21.9</t>
  </si>
  <si>
    <t>ARC-0015</t>
  </si>
  <si>
    <t>23640,NORMAL,HUMIDITY,1,69.4,,69.4,,,,%RH,ok,,,,,</t>
  </si>
  <si>
    <t>23640</t>
  </si>
  <si>
    <t>69.4</t>
  </si>
  <si>
    <t>ARC-0016</t>
  </si>
  <si>
    <t>23683,NORMAL,LOADCELL,1,10.1952,,10.1952,,,,g,ok,,,,,</t>
  </si>
  <si>
    <t>23683</t>
  </si>
  <si>
    <t>10.1952</t>
  </si>
  <si>
    <t>ARC-0017</t>
  </si>
  <si>
    <t>23740,NORMAL,FLOW,1,0,,0,,,,L/min,ok,,,,,</t>
  </si>
  <si>
    <t>23740</t>
  </si>
  <si>
    <t>ARC-0018</t>
  </si>
  <si>
    <t>23795,NORMAL,OPTICAL,1,845,,845,,,,adc,ok,,,,,</t>
  </si>
  <si>
    <t>23795</t>
  </si>
  <si>
    <t>845</t>
  </si>
  <si>
    <t>ARC-0019</t>
  </si>
  <si>
    <t>23856,NORMAL,FAN,,,,,,,,,,fan_off,,,,</t>
  </si>
  <si>
    <t>23856</t>
  </si>
  <si>
    <t>ARC-0020</t>
  </si>
  <si>
    <t>23897,CALIB,LOADCELL,0,33.2976,,33.2976,500,-466.7024,-93.34,g,ok,,1,1,,</t>
  </si>
  <si>
    <t>23897</t>
  </si>
  <si>
    <t>33.2976</t>
  </si>
  <si>
    <t>500</t>
  </si>
  <si>
    <t>-466.7024</t>
  </si>
  <si>
    <t>-93.34</t>
  </si>
  <si>
    <t>ARC-0021</t>
  </si>
  <si>
    <t>24279,CALIB,LOADCELL,1,23.15,,23.15,500,-476.85,-95.37,g,ok,,1,2,,</t>
  </si>
  <si>
    <t>24279</t>
  </si>
  <si>
    <t>23.15</t>
  </si>
  <si>
    <t>-476.85</t>
  </si>
  <si>
    <t>-95.37</t>
  </si>
  <si>
    <t>ARC-0022</t>
  </si>
  <si>
    <t>24594,CALIB,LOADCELL,2,7.6905,,7.6905,500,-492.3095,-98.46,g,ok,,1,3,,</t>
  </si>
  <si>
    <t>24594</t>
  </si>
  <si>
    <t>7.6905</t>
  </si>
  <si>
    <t>-492.3095</t>
  </si>
  <si>
    <t>-98.46</t>
  </si>
  <si>
    <t>ARC-0023</t>
  </si>
  <si>
    <t>24907,CALIB,LOADCELL,3,14.7905,,14.7905,500,-485.2095,-97.04,g,ok,,1,4,,</t>
  </si>
  <si>
    <t>24907</t>
  </si>
  <si>
    <t>14.7905</t>
  </si>
  <si>
    <t>-485.2095</t>
  </si>
  <si>
    <t>-97.04</t>
  </si>
  <si>
    <t>ARC-0024</t>
  </si>
  <si>
    <t>25223,CALIB,LOADCELL,4,6.7524,,6.7524,500,-493.2476,-98.65,g,ok,,1,5,,</t>
  </si>
  <si>
    <t>25223</t>
  </si>
  <si>
    <t>6.7524</t>
  </si>
  <si>
    <t>-493.2476</t>
  </si>
  <si>
    <t>-98.65</t>
  </si>
  <si>
    <t>ARC-0025</t>
  </si>
  <si>
    <t>25536,CALIB,LOADCELL,5,10.5881,,10.5881,1000,-989.4119,-98.94,g,ok,,2,1,,</t>
  </si>
  <si>
    <t>25536</t>
  </si>
  <si>
    <t>10.5881</t>
  </si>
  <si>
    <t>1000</t>
  </si>
  <si>
    <t>-989.4119</t>
  </si>
  <si>
    <t>-98.94</t>
  </si>
  <si>
    <t>ARC-0026</t>
  </si>
  <si>
    <t>25852,CALIB,LOADCELL,6,12.7286,,12.7286,1000,-987.2714,-98.73,g,ok,,2,2,,</t>
  </si>
  <si>
    <t>25852</t>
  </si>
  <si>
    <t>12.7286</t>
  </si>
  <si>
    <t>-987.2714</t>
  </si>
  <si>
    <t>-98.73</t>
  </si>
  <si>
    <t>ARC-0027</t>
  </si>
  <si>
    <t>26169,CALIB,LOADCELL,7,-1.7786,,-1.7786,1000,-1001.7786,-100.18,g,ok,,2,3,,</t>
  </si>
  <si>
    <t>26169</t>
  </si>
  <si>
    <t>-1.7786</t>
  </si>
  <si>
    <t>-1001.7786</t>
  </si>
  <si>
    <t>-100.18</t>
  </si>
  <si>
    <t>ARC-0028</t>
  </si>
  <si>
    <t>26487,CALIB,LOADCELL,8,-2.8143,,-2.8143,1000,-1002.8143,-100.28,g,ok,,2,4,,</t>
  </si>
  <si>
    <t>26487</t>
  </si>
  <si>
    <t>-2.8143</t>
  </si>
  <si>
    <t>-1002.8143</t>
  </si>
  <si>
    <t>-100.28</t>
  </si>
  <si>
    <t>ARC-0029</t>
  </si>
  <si>
    <t>26806,CALIB,LOADCELL,9,-3.0857,,-3.0857,1000,-1003.0857,-100.31,g,ok,,2,5,,</t>
  </si>
  <si>
    <t>26806</t>
  </si>
  <si>
    <t>-3.0857</t>
  </si>
  <si>
    <t>-1003.0857</t>
  </si>
  <si>
    <t>-100.31</t>
  </si>
  <si>
    <t>ARC-0030</t>
  </si>
  <si>
    <t>27124,CALIB,LOADCELL,10,-3.1167,,-3.1167,2000,-2003.1166,-100.16,g,ok,,3,1,,</t>
  </si>
  <si>
    <t>27124</t>
  </si>
  <si>
    <t>-3.1167</t>
  </si>
  <si>
    <t>2000</t>
  </si>
  <si>
    <t>-2003.1166</t>
  </si>
  <si>
    <t>-100.16</t>
  </si>
  <si>
    <t>ARC-0031</t>
  </si>
  <si>
    <t>27444,CALIB,LOADCELL,11,-3.0095,,-3.0095,2000,-2003.0095,-100.15,g,ok,,3,2,,</t>
  </si>
  <si>
    <t>27444</t>
  </si>
  <si>
    <t>-3.0095</t>
  </si>
  <si>
    <t>-2003.0095</t>
  </si>
  <si>
    <t>-100.15</t>
  </si>
  <si>
    <t>ARC-0032</t>
  </si>
  <si>
    <t>27763,CALIB,LOADCELL,12,-2.5143,,-2.5143,2000,-2002.5142,-100.13,g,ok,,3,3,,</t>
  </si>
  <si>
    <t>27763</t>
  </si>
  <si>
    <t>-2.5143</t>
  </si>
  <si>
    <t>-2002.5142</t>
  </si>
  <si>
    <t>-100.13</t>
  </si>
  <si>
    <t>ARC-0033</t>
  </si>
  <si>
    <t>28083,CALIB,LOADCELL,13,-2.5833,,-2.5833,2000,-2002.5833,-100.13,g,ok,,3,4,,</t>
  </si>
  <si>
    <t>28083</t>
  </si>
  <si>
    <t>-2.5833</t>
  </si>
  <si>
    <t>-2002.5833</t>
  </si>
  <si>
    <t>ARC-0034</t>
  </si>
  <si>
    <t>28402,CALIB,LOADCELL,14,-2.581,,-2.581,2000,-2002.5809,-100.13,g,ok,,3,5,,</t>
  </si>
  <si>
    <t>28402</t>
  </si>
  <si>
    <t>-2.581</t>
  </si>
  <si>
    <t>-2002.5809</t>
  </si>
  <si>
    <t>ARC-0035</t>
  </si>
  <si>
    <t>28853,NORMAL,TEMP,2,21.9,,21.9,,,,C,ok,,,,,</t>
  </si>
  <si>
    <t>28853</t>
  </si>
  <si>
    <t>ARC-0036</t>
  </si>
  <si>
    <t>28854,NORMAL,HUMIDITY,2,69.2,,69.2,,,,%RH,ok,,,,,</t>
  </si>
  <si>
    <t>28854</t>
  </si>
  <si>
    <t>69.2</t>
  </si>
  <si>
    <t>ARC-0037</t>
  </si>
  <si>
    <t>28897,NORMAL,LOADCELL,2,-2.2595,,-2.2595,,,,g,ok,,,,,</t>
  </si>
  <si>
    <t>28897</t>
  </si>
  <si>
    <t>-2.2595</t>
  </si>
  <si>
    <t>ARC-0038</t>
  </si>
  <si>
    <t>28954,NORMAL,FLOW,2,0,,0,,,,L/min,ok,,,,,</t>
  </si>
  <si>
    <t>28954</t>
  </si>
  <si>
    <t>ARC-0039</t>
  </si>
  <si>
    <t>29009,NORMAL,OPTICAL,2,48,,48,,,,adc,ok,,,,,</t>
  </si>
  <si>
    <t>29009</t>
  </si>
  <si>
    <t>48</t>
  </si>
  <si>
    <t>ARC-0040</t>
  </si>
  <si>
    <t>29068,NORMAL,FAN,,,,,,,,,,fan_on,,,,</t>
  </si>
  <si>
    <t>29068</t>
  </si>
  <si>
    <t>ARC-0041</t>
  </si>
  <si>
    <t>29112,NORMAL,SECURITY,,,,,,,,,,proximity_detected,,,,</t>
  </si>
  <si>
    <t>29112</t>
  </si>
  <si>
    <t>ARC-0042</t>
  </si>
  <si>
    <t>29177,NORMAL,SECURITY,,,,,,,,,,password_started,,,,</t>
  </si>
  <si>
    <t>29177</t>
  </si>
  <si>
    <t>ARC-0043</t>
  </si>
  <si>
    <t>44397,NORMAL,TEMP,3,21.9,,21.9,,,,C,ok,,,,,</t>
  </si>
  <si>
    <t>44397</t>
  </si>
  <si>
    <t>ARC-0044</t>
  </si>
  <si>
    <t>44399,NORMAL,HUMIDITY,3,69.1,,69.1,,,,%RH,ok,,,,,</t>
  </si>
  <si>
    <t>44399</t>
  </si>
  <si>
    <t>ARC-0045</t>
  </si>
  <si>
    <t>44442,NORMAL,LOADCELL,3,23.8452,,23.8452,,,,g,ok,,,,,</t>
  </si>
  <si>
    <t>44442</t>
  </si>
  <si>
    <t>23.8452</t>
  </si>
  <si>
    <t>ARC-0046</t>
  </si>
  <si>
    <t>44499,NORMAL,FLOW,3,0,,0,,,,L/min,ok,,,,,</t>
  </si>
  <si>
    <t>44499</t>
  </si>
  <si>
    <t>ARC-0047</t>
  </si>
  <si>
    <t>44555,NORMAL,OPTICAL,3,839,,839,,,,adc,ok,,,,,</t>
  </si>
  <si>
    <t>44555</t>
  </si>
  <si>
    <t>839</t>
  </si>
  <si>
    <t>ARC-0048</t>
  </si>
  <si>
    <t>44615,NORMAL,FAN,,,,,,,,,,fan_off,,,,</t>
  </si>
  <si>
    <t>44615</t>
  </si>
  <si>
    <t>ARC-0049</t>
  </si>
  <si>
    <t>44655,NORMAL,SECURITY,,,,,,,,,,proximity_detected,,,,</t>
  </si>
  <si>
    <t>44655</t>
  </si>
  <si>
    <t>ARC-0050</t>
  </si>
  <si>
    <t>44725,NORMAL,SECURITY,,,,,,,,,,password_started,,,,</t>
  </si>
  <si>
    <t>44725</t>
  </si>
  <si>
    <t>ARC-0051</t>
  </si>
  <si>
    <t>59953,NORMAL,TEMP,4,22.5,,22.5,,,,C,ok,,,,,</t>
  </si>
  <si>
    <t>59953</t>
  </si>
  <si>
    <t>22.5</t>
  </si>
  <si>
    <t>ARC-0052</t>
  </si>
  <si>
    <t>59955,NORMAL,HUMIDITY,4,81,,81,,,,%RH,ok,,,,,</t>
  </si>
  <si>
    <t>59955</t>
  </si>
  <si>
    <t>81</t>
  </si>
  <si>
    <t>ARC-0053</t>
  </si>
  <si>
    <t>59998,NORMAL,LOADCELL,4,-2.3119,,-2.3119,,,,g,ok,,,,,</t>
  </si>
  <si>
    <t>59998</t>
  </si>
  <si>
    <t>-2.3119</t>
  </si>
  <si>
    <t>ARC-0054</t>
  </si>
  <si>
    <t>60055,NORMAL,FLOW,4,0,,0,,,,L/min,ok,,,,,</t>
  </si>
  <si>
    <t>60055</t>
  </si>
  <si>
    <t>ARC-0055</t>
  </si>
  <si>
    <t>60110,NORMAL,OPTICAL,4,865,,865,,,,adc,ok,,,,,</t>
  </si>
  <si>
    <t>60110</t>
  </si>
  <si>
    <t>865</t>
  </si>
  <si>
    <t>ARC-0056</t>
  </si>
  <si>
    <t>60171,NORMAL,FAN,,,,,,,,,,fan_on,,,,</t>
  </si>
  <si>
    <t>60171</t>
  </si>
  <si>
    <t>ARC-0057</t>
  </si>
  <si>
    <t>60223,NORMAL,FIRE,,,,,,,,,,fire_detected,,,,</t>
  </si>
  <si>
    <t>60223</t>
  </si>
  <si>
    <t>ARC-0058</t>
  </si>
  <si>
    <t>60258,NORMAL,SECURITY,,,,,,,,,,proximity_detected,,,,</t>
  </si>
  <si>
    <t>60258</t>
  </si>
  <si>
    <t>ARC-0059</t>
  </si>
  <si>
    <t>60327,NORMAL,SECURITY,,,,,,,,,,password_started,,,,</t>
  </si>
  <si>
    <t>60327</t>
  </si>
  <si>
    <t>ARC-0060</t>
  </si>
  <si>
    <t>70537,NORMAL,SECURITY,,,,,,,,,,password_correct,,,,</t>
  </si>
  <si>
    <t>70537</t>
  </si>
  <si>
    <t>ARC-0061</t>
  </si>
  <si>
    <t>70549,NORMAL,SECURITY,,,,,,,,,,door_opened,,,,</t>
  </si>
  <si>
    <t>70549</t>
  </si>
  <si>
    <t>ARC-0062</t>
  </si>
  <si>
    <t>75574,NORMAL,SECURITY,,,,,,,,,,door_closed,,,,</t>
  </si>
  <si>
    <t>75574</t>
  </si>
  <si>
    <t>ARC-0063</t>
  </si>
  <si>
    <t>75777,NORMAL,TEMP,5,23.2,,23.2,,,,C,ok,,,,,</t>
  </si>
  <si>
    <t>75777</t>
  </si>
  <si>
    <t>23.2</t>
  </si>
  <si>
    <t>ARC-0064</t>
  </si>
  <si>
    <t>75779,NORMAL,HUMIDITY,5,86.4,,86.4,,,,%RH,ok,,,,,</t>
  </si>
  <si>
    <t>75779</t>
  </si>
  <si>
    <t>86.4</t>
  </si>
  <si>
    <t>ARC-0065</t>
  </si>
  <si>
    <t>75822,NORMAL,LOADCELL,5,-1.5714,,-1.5714,,,,g,ok,,,,,</t>
  </si>
  <si>
    <t>75822</t>
  </si>
  <si>
    <t>-1.5714</t>
  </si>
  <si>
    <t>ARC-0066</t>
  </si>
  <si>
    <t>75879,NORMAL,FLOW,5,0,,0,,,,L/min,ok,,,,,</t>
  </si>
  <si>
    <t>75879</t>
  </si>
  <si>
    <t>ARC-0067</t>
  </si>
  <si>
    <t>75934,NORMAL,OPTICAL,5,820,,820,,,,adc,ok,,,,,</t>
  </si>
  <si>
    <t>75934</t>
  </si>
  <si>
    <t>820</t>
  </si>
  <si>
    <t>ARC-0068</t>
  </si>
  <si>
    <t>75995,NORMAL,FIRE,,,,,,,,,,pump_on,,,,</t>
  </si>
  <si>
    <t>75995</t>
  </si>
  <si>
    <t>ARC-0069</t>
  </si>
  <si>
    <t>76036,NORMAL,SECURITY,,,,,,,,,,proximity_detected,,,,</t>
  </si>
  <si>
    <t>76036</t>
  </si>
  <si>
    <t>ARC-0070</t>
  </si>
  <si>
    <t>76106,NORMAL,SECURITY,,,,,,,,,,password_started,,,,</t>
  </si>
  <si>
    <t>76106</t>
  </si>
  <si>
    <t>ARC-0071</t>
  </si>
  <si>
    <t>91314,NORMAL,TEMP,6,23.1,,23.1,,,,C,ok,,,,,</t>
  </si>
  <si>
    <t>91314</t>
  </si>
  <si>
    <t>23.1</t>
  </si>
  <si>
    <t>ARC-0072</t>
  </si>
  <si>
    <t>91316,NORMAL,HUMIDITY,6,69.4,,69.4,,,,%RH,ok,,,,,</t>
  </si>
  <si>
    <t>91316</t>
  </si>
  <si>
    <t>ARC-0073</t>
  </si>
  <si>
    <t>91359,NORMAL,LOADCELL,6,-1.7095,,-1.7095,,,,g,ok,,,,,</t>
  </si>
  <si>
    <t>91359</t>
  </si>
  <si>
    <t>-1.7095</t>
  </si>
  <si>
    <t>ARC-0074</t>
  </si>
  <si>
    <t>91416,NORMAL,FLOW,6,230.24,,230.24,,,,L/min,ok,,,,,</t>
  </si>
  <si>
    <t>91416</t>
  </si>
  <si>
    <t>230.24</t>
  </si>
  <si>
    <t>ARC-0075</t>
  </si>
  <si>
    <t>91475,NORMAL,OPTICAL,6,818,,818,,,,adc,ok,,,,,</t>
  </si>
  <si>
    <t>91475</t>
  </si>
  <si>
    <t>818</t>
  </si>
  <si>
    <t>ARC-0076</t>
  </si>
  <si>
    <t>91536,NORMAL,FAN,,,,,,,,,,fan_off,,,,</t>
  </si>
  <si>
    <t>91536</t>
  </si>
  <si>
    <t>ARC-0077</t>
  </si>
  <si>
    <t>91576,NORMAL,SECURITY,,,,,,,,,,proximity_detected,,,,</t>
  </si>
  <si>
    <t>91576</t>
  </si>
  <si>
    <t>ARC-0078</t>
  </si>
  <si>
    <t>91645,NORMAL,SECURITY,,,,,,,,,,password_started,,,,</t>
  </si>
  <si>
    <t>91645</t>
  </si>
  <si>
    <t>ARC-0079</t>
  </si>
  <si>
    <t>106849,NORMAL,TEMP,7,-12,,-12,,,,C,ok,,,,,</t>
  </si>
  <si>
    <t>106849</t>
  </si>
  <si>
    <t>-12</t>
  </si>
  <si>
    <t>ARC-0080</t>
  </si>
  <si>
    <t>106851,NORMAL,HUMIDITY,7,161.3,,161.3,,,,%RH,ok,,,,,</t>
  </si>
  <si>
    <t>106851</t>
  </si>
  <si>
    <t>161.3</t>
  </si>
  <si>
    <t>ARC-0081</t>
  </si>
  <si>
    <t>106900,NORMAL,LOADCELL,7,-1.7429,,-1.7429,,,,g,ok,,,,,</t>
  </si>
  <si>
    <t>106900</t>
  </si>
  <si>
    <t>-1.7429</t>
  </si>
  <si>
    <t>ARC-0082</t>
  </si>
  <si>
    <t>106958,NORMAL,FLOW,7,266.8533,,266.8533,,,,L/min,ok,,,,,</t>
  </si>
  <si>
    <t>106958</t>
  </si>
  <si>
    <t>266.8533</t>
  </si>
  <si>
    <t>ARC-0083</t>
  </si>
  <si>
    <t>107019,NORMAL,OPTICAL,7,113,,113,,,,adc,ok,,,,,</t>
  </si>
  <si>
    <t>107019</t>
  </si>
  <si>
    <t>113</t>
  </si>
  <si>
    <t>ARC-0084</t>
  </si>
  <si>
    <t>107080,NORMAL,FAN,,,,,,,,,,fan_on,,,,</t>
  </si>
  <si>
    <t>107080</t>
  </si>
  <si>
    <t>ARC-0085</t>
  </si>
  <si>
    <t>107121,NORMAL,SECURITY,,,,,,,,,,proximity_detected,,,,</t>
  </si>
  <si>
    <t>107121</t>
  </si>
  <si>
    <t>ARC-0086</t>
  </si>
  <si>
    <t>107192,NORMAL,SECURITY,,,,,,,,,,password_started,,,,</t>
  </si>
  <si>
    <t>107192</t>
  </si>
  <si>
    <t>ARC-0087</t>
  </si>
  <si>
    <t>122363,NORMAL,TEMP,8,,,,,,,C,error,,,,,</t>
  </si>
  <si>
    <t>122363</t>
  </si>
  <si>
    <t>ARC-0088</t>
  </si>
  <si>
    <t>122363,NORMAL,HUMIDITY,8,,,,,,,%RH,error,,,,,</t>
  </si>
  <si>
    <t>ARC-0089</t>
  </si>
  <si>
    <t>122388,NORMAL,LOADCELL,8,-1.7976,,-1.7976,,,,g,ok,,,,,</t>
  </si>
  <si>
    <t>122388</t>
  </si>
  <si>
    <t>-1.7976</t>
  </si>
  <si>
    <t>ARC-0090</t>
  </si>
  <si>
    <t>122445,NORMAL,FLOW,8,242.3467,,242.3467,,,,L/min,ok,,,,,</t>
  </si>
  <si>
    <t>122445</t>
  </si>
  <si>
    <t>242.3467</t>
  </si>
  <si>
    <t>ARC-0091</t>
  </si>
  <si>
    <t>122506,NORMAL,OPTICAL,8,815,,815,,,,adc,ok,,,,,</t>
  </si>
  <si>
    <t>122506</t>
  </si>
  <si>
    <t>815</t>
  </si>
  <si>
    <t>ARC-0092</t>
  </si>
  <si>
    <t>122567,NORMAL,SECURITY,,,,,,,,,,proximity_detected,,,,</t>
  </si>
  <si>
    <t>122567</t>
  </si>
  <si>
    <t>ARC-0093</t>
  </si>
  <si>
    <t>122639,NORMAL,SECURITY,,,,,,,,,,password_started,,,,</t>
  </si>
  <si>
    <t>122639</t>
  </si>
  <si>
    <t>ARC-0094</t>
  </si>
  <si>
    <t>137801,NORMAL,TEMP,9,,,,,,,C,error,,,,,</t>
  </si>
  <si>
    <t>137801</t>
  </si>
  <si>
    <t>ARC-0095</t>
  </si>
  <si>
    <t>137802,NORMAL,HUMIDITY,9,,,,,,,%RH,error,,,,,</t>
  </si>
  <si>
    <t>137802</t>
  </si>
  <si>
    <t>ARC-0096</t>
  </si>
  <si>
    <t>137826,NORMAL,LOADCELL,9,-1.6571,,-1.6571,,,,g,ok,,,,,</t>
  </si>
  <si>
    <t>137826</t>
  </si>
  <si>
    <t>-1.6571</t>
  </si>
  <si>
    <t>ARC-0097</t>
  </si>
  <si>
    <t>137884,NORMAL,FLOW,9,286.9333,,286.9333,,,,L/min,ok,,,,,</t>
  </si>
  <si>
    <t>137884</t>
  </si>
  <si>
    <t>286.9333</t>
  </si>
  <si>
    <t>ARC-0098</t>
  </si>
  <si>
    <t>137945,NORMAL,OPTICAL,9,820,,820,,,,adc,ok,,,,,</t>
  </si>
  <si>
    <t>137945</t>
  </si>
  <si>
    <t>ARC-0099</t>
  </si>
  <si>
    <t>138006,NORMAL,SECURITY,,,,,,,,,,proximity_detected,,,,</t>
  </si>
  <si>
    <t>138006</t>
  </si>
  <si>
    <t>ARC-0100</t>
  </si>
  <si>
    <t>138077,NORMAL,SECURITY,,,,,,,,,,password_started,,,,</t>
  </si>
  <si>
    <t>138077</t>
  </si>
  <si>
    <t>ARC-0101</t>
  </si>
  <si>
    <t>153318,NORMAL,TEMP,10,,,,,,,C,error,,,,,</t>
  </si>
  <si>
    <t>153318</t>
  </si>
  <si>
    <t>ARC-0102</t>
  </si>
  <si>
    <t>153318,NORMAL,HUMIDITY,10,,,,,,,%RH,error,,,,,</t>
  </si>
  <si>
    <t>ARC-0103</t>
  </si>
  <si>
    <t>153344,NORMAL,LOADCELL,10,-1.7262,,-1.7262,,,,g,ok,,,,,</t>
  </si>
  <si>
    <t>153344</t>
  </si>
  <si>
    <t>-1.7262</t>
  </si>
  <si>
    <t>ARC-0104</t>
  </si>
  <si>
    <t>153403,NORMAL,FLOW,10,299.8934,,299.8934,,,,L/min,ok,,,,,</t>
  </si>
  <si>
    <t>153403</t>
  </si>
  <si>
    <t>299.8934</t>
  </si>
  <si>
    <t>ARC-0105</t>
  </si>
  <si>
    <t>153464,NORMAL,OPTICAL,10,817,,817,,,,adc,ok,,,,,</t>
  </si>
  <si>
    <t>153464</t>
  </si>
  <si>
    <t>817</t>
  </si>
  <si>
    <t>ARC-0106</t>
  </si>
  <si>
    <t>153527,NORMAL,SECURITY,,,,,,,,,,proximity_detected,,,,</t>
  </si>
  <si>
    <t>153527</t>
  </si>
  <si>
    <t>ARC-0107</t>
  </si>
  <si>
    <t>ARC-0108</t>
  </si>
  <si>
    <t>5161,NORMAL,TEMP,0,21.3,,21.3,,,,C,ok,,,,,</t>
  </si>
  <si>
    <t>5161</t>
  </si>
  <si>
    <t>21.3</t>
  </si>
  <si>
    <t>ARC-0109</t>
  </si>
  <si>
    <t>5164,NORMAL,HUMIDITY,0,70.4,,70.4,,,,%RH,ok,,,,,</t>
  </si>
  <si>
    <t>5164</t>
  </si>
  <si>
    <t>70.4</t>
  </si>
  <si>
    <t>ARC-0110</t>
  </si>
  <si>
    <t>5204,NORMAL,LOADCELL,0,-0.069,,-0.069,,,,g,ok,,,,,</t>
  </si>
  <si>
    <t>5204</t>
  </si>
  <si>
    <t>-0.069</t>
  </si>
  <si>
    <t>ARC-0111</t>
  </si>
  <si>
    <t>5261,NORMAL,FLOW,0,0,,0,,,,L/min,ok,,,,,</t>
  </si>
  <si>
    <t>5261</t>
  </si>
  <si>
    <t>ARC-0112</t>
  </si>
  <si>
    <t>5315,NORMAL,OPTICAL,0,865,,865,,,,adc,ok,,,,,</t>
  </si>
  <si>
    <t>5315</t>
  </si>
  <si>
    <t>ARC-0113</t>
  </si>
  <si>
    <t>5374,NORMAL,FAN,,,,,,,,,,fan_on,,,,</t>
  </si>
  <si>
    <t>5374</t>
  </si>
  <si>
    <t>ARC-0114</t>
  </si>
  <si>
    <t>ARC-0115</t>
  </si>
  <si>
    <t>8514,NORMAL,SECURITY,,,,,,,,,,password_started,,,,</t>
  </si>
  <si>
    <t>8514</t>
  </si>
  <si>
    <t>ARC-0116</t>
  </si>
  <si>
    <t>23689,NORMAL,TEMP,1,21.4,,21.4,,,,C,ok,,,,,</t>
  </si>
  <si>
    <t>23689</t>
  </si>
  <si>
    <t>21.4</t>
  </si>
  <si>
    <t>ARC-0117</t>
  </si>
  <si>
    <t>23691,NORMAL,HUMIDITY,1,70.1,,70.1,,,,%RH,ok,,,,,</t>
  </si>
  <si>
    <t>23691</t>
  </si>
  <si>
    <t>70.1</t>
  </si>
  <si>
    <t>ARC-0118</t>
  </si>
  <si>
    <t>23734,NORMAL,LOADCELL,1,-0.7286,,-0.7286,,,,g,ok,,,,,</t>
  </si>
  <si>
    <t>23734</t>
  </si>
  <si>
    <t>-0.7286</t>
  </si>
  <si>
    <t>ARC-0119</t>
  </si>
  <si>
    <t>23791,NORMAL,FLOW,1,0,,0,,,,L/min,ok,,,,,</t>
  </si>
  <si>
    <t>23791</t>
  </si>
  <si>
    <t>ARC-0120</t>
  </si>
  <si>
    <t>23846,NORMAL,OPTICAL,1,850,,850,,,,adc,ok,,,,,</t>
  </si>
  <si>
    <t>23846</t>
  </si>
  <si>
    <t>850</t>
  </si>
  <si>
    <t>ARC-0121</t>
  </si>
  <si>
    <t>23907,NORMAL,SECURITY,,,,,,,,,,proximity_detected,,,,</t>
  </si>
  <si>
    <t>23907</t>
  </si>
  <si>
    <t>ARC-0122</t>
  </si>
  <si>
    <t>23976,NORMAL,SECURITY,,,,,,,,,,password_started,,,,</t>
  </si>
  <si>
    <t>23976</t>
  </si>
  <si>
    <t>ARC-0123</t>
  </si>
  <si>
    <t>39140,NORMAL,TEMP,2,21.7,,21.7,,,,C,ok,,,,,</t>
  </si>
  <si>
    <t>39140</t>
  </si>
  <si>
    <t>21.7</t>
  </si>
  <si>
    <t>ARC-0124</t>
  </si>
  <si>
    <t>39142,NORMAL,HUMIDITY,2,76.9,,76.9,,,,%RH,ok,,,,,</t>
  </si>
  <si>
    <t>39142</t>
  </si>
  <si>
    <t>76.9</t>
  </si>
  <si>
    <t>ARC-0125</t>
  </si>
  <si>
    <t>39185,NORMAL,LOADCELL,2,-0.6595,,-0.6595,,,,g,ok,,,,,</t>
  </si>
  <si>
    <t>39185</t>
  </si>
  <si>
    <t>-0.6595</t>
  </si>
  <si>
    <t>ARC-0126</t>
  </si>
  <si>
    <t>39242,NORMAL,FLOW,2,0,,0,,,,L/min,ok,,,,,</t>
  </si>
  <si>
    <t>39242</t>
  </si>
  <si>
    <t>ARC-0127</t>
  </si>
  <si>
    <t>39298,NORMAL,OPTICAL,2,849,,849,,,,adc,ok,,,,,</t>
  </si>
  <si>
    <t>39298</t>
  </si>
  <si>
    <t>849</t>
  </si>
  <si>
    <t>ARC-0128</t>
  </si>
  <si>
    <t>39358,NORMAL,SECURITY,,,,,,,,,,proximity_detected,,,,</t>
  </si>
  <si>
    <t>39358</t>
  </si>
  <si>
    <t>ARC-0129</t>
  </si>
  <si>
    <t>39429,NORMAL,SECURITY,,,,,,,,,,password_started,,,,</t>
  </si>
  <si>
    <t>39429</t>
  </si>
  <si>
    <t>ARC-0130</t>
  </si>
  <si>
    <t>54594,NORMAL,TEMP,3,21.8,,21.8,,,,C,ok,,,,,</t>
  </si>
  <si>
    <t>54594</t>
  </si>
  <si>
    <t>ARC-0131</t>
  </si>
  <si>
    <t>54595,NORMAL,HUMIDITY,3,74.2,,74.2,,,,%RH,ok,,,,,</t>
  </si>
  <si>
    <t>54595</t>
  </si>
  <si>
    <t>74.2</t>
  </si>
  <si>
    <t>ARC-0132</t>
  </si>
  <si>
    <t>54639,NORMAL,LOADCELL,3,-0.7476,,-0.7476,,,,g,ok,,,,,</t>
  </si>
  <si>
    <t>54639</t>
  </si>
  <si>
    <t>-0.7476</t>
  </si>
  <si>
    <t>ARC-0133</t>
  </si>
  <si>
    <t>54696,NORMAL,FLOW,3,0,,0,,,,L/min,ok,,,,,</t>
  </si>
  <si>
    <t>54696</t>
  </si>
  <si>
    <t>ARC-0134</t>
  </si>
  <si>
    <t>54751,NORMAL,OPTICAL,3,848,,848,,,,adc,ok,,,,,</t>
  </si>
  <si>
    <t>54751</t>
  </si>
  <si>
    <t>848</t>
  </si>
  <si>
    <t>ARC-0135</t>
  </si>
  <si>
    <t>54812,NORMAL,SECURITY,,,,,,,,,,proximity_detected,,,,</t>
  </si>
  <si>
    <t>54812</t>
  </si>
  <si>
    <t>ARC-0136</t>
  </si>
  <si>
    <t>54882,NORMAL,SECURITY,,,,,,,,,,password_started,,,,</t>
  </si>
  <si>
    <t>54882</t>
  </si>
  <si>
    <t>ARC-0137</t>
  </si>
  <si>
    <t>70047,NORMAL,TEMP,4,21.8,,21.8,,,,C,ok,,,,,</t>
  </si>
  <si>
    <t>70047</t>
  </si>
  <si>
    <t>ARC-0138</t>
  </si>
  <si>
    <t>70049,NORMAL,HUMIDITY,4,72.1,,72.1,,,,%RH,ok,,,,,</t>
  </si>
  <si>
    <t>70049</t>
  </si>
  <si>
    <t>72.1</t>
  </si>
  <si>
    <t>ARC-0139</t>
  </si>
  <si>
    <t>70092,NORMAL,LOADCELL,4,-0.8452,,-0.8452,,,,g,ok,,,,,</t>
  </si>
  <si>
    <t>70092</t>
  </si>
  <si>
    <t>-0.8452</t>
  </si>
  <si>
    <t>ARC-0140</t>
  </si>
  <si>
    <t>70150,NORMAL,FLOW,4,0,,0,,,,L/min,ok,,,,,</t>
  </si>
  <si>
    <t>70150</t>
  </si>
  <si>
    <t>ARC-0141</t>
  </si>
  <si>
    <t>70205,NORMAL,OPTICAL,4,848,,848,,,,adc,ok,,,,,</t>
  </si>
  <si>
    <t>70205</t>
  </si>
  <si>
    <t>ARC-0142</t>
  </si>
  <si>
    <t>70265,NORMAL,SECURITY,,,,,,,,,,proximity_detected,,,,</t>
  </si>
  <si>
    <t>70265</t>
  </si>
  <si>
    <t>ARC-0143</t>
  </si>
  <si>
    <t>70334,NORMAL,SECURITY,,,,,,,,,,password_started,,,,</t>
  </si>
  <si>
    <t>70334</t>
  </si>
  <si>
    <t>ARC-0144</t>
  </si>
  <si>
    <t>85499,NORMAL,TEMP,5,21.8,,21.8,,,,C,ok,,,,,</t>
  </si>
  <si>
    <t>85499</t>
  </si>
  <si>
    <t>ARC-0145</t>
  </si>
  <si>
    <t>85501,NORMAL,HUMIDITY,5,70.7,,70.7,,,,%RH,ok,,,,,</t>
  </si>
  <si>
    <t>85501</t>
  </si>
  <si>
    <t>70.7</t>
  </si>
  <si>
    <t>ARC-0146</t>
  </si>
  <si>
    <t>85544,NORMAL,LOADCELL,5,-0.7286,,-0.7286,,,,g,ok,,,,,</t>
  </si>
  <si>
    <t>85544</t>
  </si>
  <si>
    <t>ARC-0147</t>
  </si>
  <si>
    <t>85602,NORMAL,FLOW,5,0,,0,,,,L/min,ok,,,,,</t>
  </si>
  <si>
    <t>85602</t>
  </si>
  <si>
    <t>ARC-0148</t>
  </si>
  <si>
    <t>85656,NORMAL,OPTICAL,5,847,,847,,,,adc,ok,,,,,</t>
  </si>
  <si>
    <t>85656</t>
  </si>
  <si>
    <t>847</t>
  </si>
  <si>
    <t>ARC-0149</t>
  </si>
  <si>
    <t>85718,NORMAL,SECURITY,,,,,,,,,,proximity_detected,,,,</t>
  </si>
  <si>
    <t>85718</t>
  </si>
  <si>
    <t>ARC-0150</t>
  </si>
  <si>
    <t>85787,NORMAL,SECURITY,,,,,,,,,,password_started,,,,</t>
  </si>
  <si>
    <t>85787</t>
  </si>
  <si>
    <t>ARC-0151</t>
  </si>
  <si>
    <t>100952,NORMAL,TEMP,6,21.7,,21.7,,,,C,ok,,,,,</t>
  </si>
  <si>
    <t>100952</t>
  </si>
  <si>
    <t>ARC-0152</t>
  </si>
  <si>
    <t>100954,NORMAL,HUMIDITY,6,70.1,,70.1,,,,%RH,ok,,,,,</t>
  </si>
  <si>
    <t>100954</t>
  </si>
  <si>
    <t>ARC-0153</t>
  </si>
  <si>
    <t>100999,NORMAL,LOADCELL,6,-0.7286,,-0.7286,,,,g,ok,,,,,</t>
  </si>
  <si>
    <t>100999</t>
  </si>
  <si>
    <t>ARC-0154</t>
  </si>
  <si>
    <t>101057,NORMAL,FLOW,6,0,,0,,,,L/min,ok,,,,,</t>
  </si>
  <si>
    <t>101057</t>
  </si>
  <si>
    <t>ARC-0155</t>
  </si>
  <si>
    <t>101113,NORMAL,OPTICAL,6,848,,848,,,,adc,ok,,,,,</t>
  </si>
  <si>
    <t>101113</t>
  </si>
  <si>
    <t>ARC-0156</t>
  </si>
  <si>
    <t>101175,NORMAL,SECURITY,,,,,,,,,,proximity_detected,,,,</t>
  </si>
  <si>
    <t>101175</t>
  </si>
  <si>
    <t>ARC-0157</t>
  </si>
  <si>
    <t>101245,NORMAL,SECURITY,,,,,,,,,,password_started,,,,</t>
  </si>
  <si>
    <t>101245</t>
  </si>
  <si>
    <t>ARC-0158</t>
  </si>
  <si>
    <t>116496,NORMAL,TEMP,7,21.8,,21.8,,,,C,ok,,,,,</t>
  </si>
  <si>
    <t>116496</t>
  </si>
  <si>
    <t>ARC-0159</t>
  </si>
  <si>
    <t>116498,NORMAL,HUMIDITY,7,69.9,,69.9,,,,%RH,ok,,,,,</t>
  </si>
  <si>
    <t>116498</t>
  </si>
  <si>
    <t>69.9</t>
  </si>
  <si>
    <t>ARC-0160</t>
  </si>
  <si>
    <t>116543,NORMAL,LOADCELL,7,-0.6238,,-0.6238,,,,g,ok,,,,,</t>
  </si>
  <si>
    <t>116543</t>
  </si>
  <si>
    <t>-0.6238</t>
  </si>
  <si>
    <t>ARC-0161</t>
  </si>
  <si>
    <t>116601,NORMAL,FLOW,7,0,,0,,,,L/min,ok,,,,,</t>
  </si>
  <si>
    <t>116601</t>
  </si>
  <si>
    <t>ARC-0162</t>
  </si>
  <si>
    <t>116658,NORMAL,OPTICAL,7,849,,849,,,,adc,ok,,,,,</t>
  </si>
  <si>
    <t>116658</t>
  </si>
  <si>
    <t>ARC-0163</t>
  </si>
  <si>
    <t>116719,NORMAL,FAN,,,,,,,,,,fan_off,,,,</t>
  </si>
  <si>
    <t>116719</t>
  </si>
  <si>
    <t>ARC-0164</t>
  </si>
  <si>
    <t>116761,NORMAL,SECURITY,,,,,,,,,,proximity_detected,,,,</t>
  </si>
  <si>
    <t>116761</t>
  </si>
  <si>
    <t>ARC-0165</t>
  </si>
  <si>
    <t>116832,NORMAL,SECURITY,,,,,,,,,,password_started,,,,</t>
  </si>
  <si>
    <t>116832</t>
  </si>
  <si>
    <t>ARC-0166</t>
  </si>
  <si>
    <t>132052,NORMAL,TEMP,8,21.7,,21.7,,,,C,ok,,,,,</t>
  </si>
  <si>
    <t>132052</t>
  </si>
  <si>
    <t>ARC-0167</t>
  </si>
  <si>
    <t>132055,NORMAL,HUMIDITY,8,70,,70,,,,%RH,ok,,,,,</t>
  </si>
  <si>
    <t>132055</t>
  </si>
  <si>
    <t>70</t>
  </si>
  <si>
    <t>ARC-0168</t>
  </si>
  <si>
    <t>132100,NORMAL,LOADCELL,8,-1.3833,,-1.3833,,,,g,ok,,,,,</t>
  </si>
  <si>
    <t>132100</t>
  </si>
  <si>
    <t>-1.3833</t>
  </si>
  <si>
    <t>ARC-0169</t>
  </si>
  <si>
    <t>132158,NORMAL,FLOW,8,0,,0,,,,L/min,ok,,,,,</t>
  </si>
  <si>
    <t>132158</t>
  </si>
  <si>
    <t>ARC-0170</t>
  </si>
  <si>
    <t>132214,NORMAL,OPTICAL,8,864,,864,,,,adc,ok,,,,,</t>
  </si>
  <si>
    <t>132214</t>
  </si>
  <si>
    <t>864</t>
  </si>
  <si>
    <t>ARC-0171</t>
  </si>
  <si>
    <t>132276,NORMAL,FAN,,,,,,,,,,fan_on,,,,</t>
  </si>
  <si>
    <t>132276</t>
  </si>
  <si>
    <t>ARC-0172</t>
  </si>
  <si>
    <t>132316,NORMAL,SECURITY,,,,,,,,,,proximity_detected,,,,</t>
  </si>
  <si>
    <t>132316</t>
  </si>
  <si>
    <t>ARC-0173</t>
  </si>
  <si>
    <t>132387,NORMAL,SECURITY,,,,,,,,,,password_started,,,,</t>
  </si>
  <si>
    <t>132387</t>
  </si>
  <si>
    <t>ARC-0174</t>
  </si>
  <si>
    <t>Firmware serial record</t>
  </si>
  <si>
    <t>Firmware header</t>
  </si>
  <si>
    <t>ity_pct,pad_weight_g,flow_lpm,proximity,fire_stage,wrong_attempts</t>
  </si>
  <si>
    <t>ARC-0175</t>
  </si>
  <si>
    <t>Firmware startup / other</t>
  </si>
  <si>
    <t>ARC-0176</t>
  </si>
  <si>
    <t>ARC-0177</t>
  </si>
  <si>
    <t>ARC-0178</t>
  </si>
  <si>
    <t>CSV_HEADER,millis_ts,temp_c,humidity_pct,pad_weight_g,flow_lpm,proximity,fire_stage,wrong_attempts</t>
  </si>
  <si>
    <t>ARC-0179</t>
  </si>
  <si>
    <t>Firmware stage</t>
  </si>
  <si>
    <t>Fire stage: IDLE</t>
  </si>
  <si>
    <t>ARC-0180</t>
  </si>
  <si>
    <t>Firmware data</t>
  </si>
  <si>
    <t>DATA,5107,27.20,81.60,-0.0,0.000,1,IDLE,0</t>
  </si>
  <si>
    <t>ARC-0181</t>
  </si>
  <si>
    <t>ARC-0182</t>
  </si>
  <si>
    <t>DATA,10128,27.30,82.00,0.1,0.000,1,IDLE,0</t>
  </si>
  <si>
    <t>ARC-0183</t>
  </si>
  <si>
    <t>ARC-0184</t>
  </si>
  <si>
    <t>DATA,15147,27.30,82.00,0.3,0.000,1,IDLE,0</t>
  </si>
  <si>
    <t>ARC-0185</t>
  </si>
  <si>
    <t>ARC-0186</t>
  </si>
  <si>
    <t>DATA,20167,27.30,82.00,0.2,0.000,1,IDLE,0</t>
  </si>
  <si>
    <t>ARC-0187</t>
  </si>
  <si>
    <t>ARC-0188</t>
  </si>
  <si>
    <t>DATA,25188,27.30,82.10,0.4,0.000,1,IDLE,0</t>
  </si>
  <si>
    <t>ARC-0189</t>
  </si>
  <si>
    <t>ARC-0190</t>
  </si>
  <si>
    <t>DATA,30206,27.30,82.10,0.3,0.000,1,IDLE,0</t>
  </si>
  <si>
    <t>ARC-0191</t>
  </si>
  <si>
    <t>ARC-0192</t>
  </si>
  <si>
    <t>DATA,35227,27.30,82.10,0.5,0.000,1,IDLE,0</t>
  </si>
  <si>
    <t>ARC-0193</t>
  </si>
  <si>
    <t>ARC-0194</t>
  </si>
  <si>
    <t>DATA,40246,27.30,82.30,0.5,0.000,1,IDLE,0</t>
  </si>
  <si>
    <t>ARC-0195</t>
  </si>
  <si>
    <t>ARC-0196</t>
  </si>
  <si>
    <t>DATA,45264,27.30,82.10,0.5,0.000,1,IDLE,0</t>
  </si>
  <si>
    <t>ARC-0197</t>
  </si>
  <si>
    <t>ARC-0198</t>
  </si>
  <si>
    <t>DATA,50285,27.30,82.00,0.5,0.000,1,IDLE,0</t>
  </si>
  <si>
    <t>ARC-0199</t>
  </si>
  <si>
    <t>ARC-0200</t>
  </si>
  <si>
    <t>DATA,55304,27.30,81.60,0.4,0.000,1,IDLE,0</t>
  </si>
  <si>
    <t>ARC-0201</t>
  </si>
  <si>
    <t>ARC-0202</t>
  </si>
  <si>
    <t>DATA,60324,27.30,81.30,0.4,0.000,1,IDLE,0</t>
  </si>
  <si>
    <t>ARC-0203</t>
  </si>
  <si>
    <t>ARC-0204</t>
  </si>
  <si>
    <t>DATA,65343,27.30,81.10,0.2,0.000,1,IDLE,0</t>
  </si>
  <si>
    <t>ARC-0205</t>
  </si>
  <si>
    <t>ARC-0206</t>
  </si>
  <si>
    <t>DATA,70362,27.30,81.10,0.7,0.000,1,IDLE,0</t>
  </si>
  <si>
    <t>ARC-0207</t>
  </si>
  <si>
    <t>ARC-0208</t>
  </si>
  <si>
    <t>DATA,75382,27.30,81.30,0.3,0.000,1,IDLE,0</t>
  </si>
  <si>
    <t>ARC-0209</t>
  </si>
  <si>
    <t>ARC-0210</t>
  </si>
  <si>
    <t>DATA,80401,27.30,81.10,0.2,0.000,1,IDLE,0</t>
  </si>
  <si>
    <t>ARC-0211</t>
  </si>
  <si>
    <t>ARC-0212</t>
  </si>
  <si>
    <t>DATA,85421,27.30,81.00,0.0,0.000,1,IDLE,0</t>
  </si>
  <si>
    <t>ARC-0213</t>
  </si>
  <si>
    <t>ARC-0214</t>
  </si>
  <si>
    <t>DATA,90439,27.30,81.00,0.2,0.000,1,IDLE,0</t>
  </si>
  <si>
    <t>ARC-0215</t>
  </si>
  <si>
    <t>ARC-0216</t>
  </si>
  <si>
    <t>DATA,95458,27.30,80.80,0.2,0.000,1,IDLE,0</t>
  </si>
  <si>
    <t>ARC-0217</t>
  </si>
  <si>
    <t>ARC-0218</t>
  </si>
  <si>
    <t>DATA,100478,27.30,80.80,0.1,0.000,1,IDLE,0</t>
  </si>
  <si>
    <t>ARC-0219</t>
  </si>
  <si>
    <t>ARC-0220</t>
  </si>
  <si>
    <t>DATA,105498,27.30,80.70,-0.0,0.000,1,IDLE,0</t>
  </si>
  <si>
    <t>ARC-0221</t>
  </si>
  <si>
    <t>ARC-0222</t>
  </si>
  <si>
    <t>DATA,110517,27.30,80.50,0.1,0.000,1,IDLE,0</t>
  </si>
  <si>
    <t>ARC-0223</t>
  </si>
  <si>
    <t>ARC-0224</t>
  </si>
  <si>
    <t>DATA,115535,27.30,80.40,-0.1,0.000,1,IDLE,0</t>
  </si>
  <si>
    <t>ARC-0225</t>
  </si>
  <si>
    <t>ARC-0226</t>
  </si>
  <si>
    <t>DATA,120556,27.30,80.40,0.2,0.000,1,IDLE,0</t>
  </si>
  <si>
    <t>ARC-0227</t>
  </si>
  <si>
    <t>ARC-0228</t>
  </si>
  <si>
    <t>DATA,125575,27.30,80.50,-0.0,0.000,1,IDLE,0</t>
  </si>
  <si>
    <t>ARC-0229</t>
  </si>
  <si>
    <t>ARC-0230</t>
  </si>
  <si>
    <t>DATA,130595,27.30,80.80,0.1,0.000,1,IDLE,0</t>
  </si>
  <si>
    <t>ARC-0231</t>
  </si>
  <si>
    <t>ARC-0232</t>
  </si>
  <si>
    <t>DATA,135614,27.30,80.80,0.1,0.000,1,IDLE,0</t>
  </si>
  <si>
    <t>ARC-0233</t>
  </si>
  <si>
    <t>ARC-0234</t>
  </si>
  <si>
    <t>DATA,140634,27.30,80.90,0.0,0.000,1,IDLE,0</t>
  </si>
  <si>
    <t>ARC-0235</t>
  </si>
  <si>
    <t>ARC-0236</t>
  </si>
  <si>
    <t>DATA,145653,27.30,80.90,0.4,0.000,1,IDLE,0</t>
  </si>
  <si>
    <t>ARC-0237</t>
  </si>
  <si>
    <t>ARC-0238</t>
  </si>
  <si>
    <t>DATA,150670,27.30,80.90,-0.0,0.000,1,IDLE,0</t>
  </si>
  <si>
    <t>ARC-0239</t>
  </si>
  <si>
    <t>ARC-0240</t>
  </si>
  <si>
    <t>DATA,155687,27.30,80.90,-0.3,0.000,1,IDLE,0</t>
  </si>
  <si>
    <t>ARC-0241</t>
  </si>
  <si>
    <t>ARC-0242</t>
  </si>
  <si>
    <t>DATA,160705,27.30,80.80,-0.3,0.000,1,IDLE,0</t>
  </si>
  <si>
    <t>ARC-0243</t>
  </si>
  <si>
    <t>ARC-0244</t>
  </si>
  <si>
    <t>DATA,165724,27.30,80.80,-0.2,0.000,1,IDLE,0</t>
  </si>
  <si>
    <t>ARC-0245</t>
  </si>
  <si>
    <t>ARC-0246</t>
  </si>
  <si>
    <t>DATA,170741,27.30,80.90,-0.1,0.000,1,IDLE,0</t>
  </si>
  <si>
    <t>ARC-0247</t>
  </si>
  <si>
    <t>ARC-0248</t>
  </si>
  <si>
    <t>DATA,175761,27.30,80.90,-0.1,0.000,1,IDLE,0</t>
  </si>
  <si>
    <t>ARC-0249</t>
  </si>
  <si>
    <t>ARC-0250</t>
  </si>
  <si>
    <t>DATA,180779,27.30,80.80,-0.2,0.000,1,IDLE,0</t>
  </si>
  <si>
    <t>ARC-0251</t>
  </si>
  <si>
    <t>ARC-0252</t>
  </si>
  <si>
    <t>DATA,185798,27.30,80.80,-0.1,0.000,1,IDLE,0</t>
  </si>
  <si>
    <t>ARC-0253</t>
  </si>
  <si>
    <t>ARC-0254</t>
  </si>
  <si>
    <t>DATA,190816,27.30,80.80,-0.2,0.000,1,IDLE,0</t>
  </si>
  <si>
    <t>ARC-0255</t>
  </si>
  <si>
    <t>ARC-0256</t>
  </si>
  <si>
    <t>DATA,195835,27.30,80.70,-0.2,0.000,1,IDLE,0</t>
  </si>
  <si>
    <t>ARC-0257</t>
  </si>
  <si>
    <t>ARC-0258</t>
  </si>
  <si>
    <t>DATA,200853,27.30,80.50,-0.2,0.000,1,IDLE,0</t>
  </si>
  <si>
    <t>ARC-0259</t>
  </si>
  <si>
    <t>ARC-0260</t>
  </si>
  <si>
    <t>DATA,205873,27.30,80.50,-0.1,0.000,1,IDLE,0</t>
  </si>
  <si>
    <t>ARC-0261</t>
  </si>
  <si>
    <t>ARC-0262</t>
  </si>
  <si>
    <t>DATA,210890,27.30,80.50,-0.1,0.000,1,IDLE,0</t>
  </si>
  <si>
    <t>ARC-0263</t>
  </si>
  <si>
    <t>ARC-0264</t>
  </si>
  <si>
    <t>DATA,215909,27.30,80.70,-0.2,0.000,1,IDLE,0</t>
  </si>
  <si>
    <t>ARC-0265</t>
  </si>
  <si>
    <t>ARC-0266</t>
  </si>
  <si>
    <t>DATA,220926,27.30,80.70,-0.1,0.000,1,IDLE,0</t>
  </si>
  <si>
    <t>ARC-0267</t>
  </si>
  <si>
    <t>ARC-0268</t>
  </si>
  <si>
    <t>DATA,225945,27.30,80.60,-0.2,0.000,1,IDLE,0</t>
  </si>
  <si>
    <t>ARC-0269</t>
  </si>
  <si>
    <t>ARC-0270</t>
  </si>
  <si>
    <t>DATA,230964,27.30,80.50,-0.2,0.000,1,IDLE,0</t>
  </si>
  <si>
    <t>ARC-0271</t>
  </si>
  <si>
    <t>ARC-0272</t>
  </si>
  <si>
    <t>DATA,235981,27.30,80.30,-0.2,0.000,1,IDLE,0</t>
  </si>
  <si>
    <t>ARC-0273</t>
  </si>
  <si>
    <t>Firmware event</t>
  </si>
  <si>
    <t>ARC-0274</t>
  </si>
  <si>
    <t>Submitting PIN: 1111</t>
  </si>
  <si>
    <t>ARC-0275</t>
  </si>
  <si>
    <t>ARC-0276</t>
  </si>
  <si>
    <t>DATA,259020,27.30,80.10,13.3,0.000,1,IDLE,1</t>
  </si>
  <si>
    <t>ARC-0277</t>
  </si>
  <si>
    <t>ARC-0278</t>
  </si>
  <si>
    <t>DATA,264020,27.30,80.60,-0.2,0.000,1,IDLE,1</t>
  </si>
  <si>
    <t>ARC-0279</t>
  </si>
  <si>
    <t>ARC-0280</t>
  </si>
  <si>
    <t>DATA,269021,27.30,80.80,-0.2,0.000,1,IDLE,1</t>
  </si>
  <si>
    <t>ARC-0281</t>
  </si>
  <si>
    <t>ARC-0282</t>
  </si>
  <si>
    <t>DATA,274021,27.30,80.80,-0.3,0.000,1,IDLE,1</t>
  </si>
  <si>
    <t>ARC-0283</t>
  </si>
  <si>
    <t>ARC-0284</t>
  </si>
  <si>
    <t>DATA,279020,27.30,80.90,-1.4,0.000,1,IDLE,1</t>
  </si>
  <si>
    <t>ARC-0285</t>
  </si>
  <si>
    <t>ARC-0286</t>
  </si>
  <si>
    <t>ARC-0287</t>
  </si>
  <si>
    <t>ARC-0288</t>
  </si>
  <si>
    <t>DATA,294210,27.30,80.90,29.8,0.000,1,IDLE,2</t>
  </si>
  <si>
    <t>ARC-0289</t>
  </si>
  <si>
    <t>ARC-0290</t>
  </si>
  <si>
    <t>ARC-0291</t>
  </si>
  <si>
    <t>ARC-0292</t>
  </si>
  <si>
    <t>DATA,302134,27.30,81.30,32.4,0.000,1,IDLE,0</t>
  </si>
  <si>
    <t>ARC-0293</t>
  </si>
  <si>
    <t>ARC-0294</t>
  </si>
  <si>
    <t>DATA,307277,27.30,81.50,0.4,0.000,1,IDLE,0</t>
  </si>
  <si>
    <t>ARC-0295</t>
  </si>
  <si>
    <t>ARC-0296</t>
  </si>
  <si>
    <t>DATA,312296,27.30,81.30,0.8,0.000,1,IDLE,0</t>
  </si>
  <si>
    <t>ARC-0297</t>
  </si>
  <si>
    <t>ARC-0298</t>
  </si>
  <si>
    <t>DATA,317316,27.30,81.30,-3.0,0.000,1,IDLE,0</t>
  </si>
  <si>
    <t>ARC-0299</t>
  </si>
  <si>
    <t>ARC-0300</t>
  </si>
  <si>
    <t>DATA,322333,27.30,81.30,-0.9,0.000,1,IDLE,0</t>
  </si>
  <si>
    <t>ARC-0301</t>
  </si>
  <si>
    <t>ARC-0302</t>
  </si>
  <si>
    <t>DATA,327353,27.30,81.30,-0.3,0.000,1,IDLE,0</t>
  </si>
  <si>
    <t>ARC-0303</t>
  </si>
  <si>
    <t>ARC-0304</t>
  </si>
  <si>
    <t>DATA,332371,27.30,81.30,-0.1,0.000,1,IDLE,0</t>
  </si>
  <si>
    <t>ARC-0305</t>
  </si>
  <si>
    <t>ARC-0306</t>
  </si>
  <si>
    <t>DATA,337389,27.30,81.50,-1.0,0.000,1,IDLE,0</t>
  </si>
  <si>
    <t>ARC-0307</t>
  </si>
  <si>
    <t>ARC-0308</t>
  </si>
  <si>
    <t>Submitting PIN: 1234</t>
  </si>
  <si>
    <t>ARC-0309</t>
  </si>
  <si>
    <t>ARC-0310</t>
  </si>
  <si>
    <t>DATA,348723,27.30,81.50,67.1,0.000,1,IDLE,0</t>
  </si>
  <si>
    <t>ARC-0311</t>
  </si>
  <si>
    <t>ARC-0312</t>
  </si>
  <si>
    <t>DATA,353722,27.20,81.70,-0.6,0.000,1,IDLE,0</t>
  </si>
  <si>
    <t>ARC-0313</t>
  </si>
  <si>
    <t>ARC-0314</t>
  </si>
  <si>
    <t>DATA,358721,27.30,81.30,-0.4,0.000,1,IDLE,0</t>
  </si>
  <si>
    <t>ARC-0315</t>
  </si>
  <si>
    <t>ARC-0316</t>
  </si>
  <si>
    <t>DATA,363721,27.30,81.10,-0.3,0.000,1,IDLE,0</t>
  </si>
  <si>
    <t>ARC-0317</t>
  </si>
  <si>
    <t>ARC-0318</t>
  </si>
  <si>
    <t>DATA,368721,27.30,81.00,-0.2,0.000,1,IDLE,0</t>
  </si>
  <si>
    <t>ARC-0319</t>
  </si>
  <si>
    <t>ARC-0320</t>
  </si>
  <si>
    <t>DATA,373726,27.30,80.90,-0.2,0.000,1,IDLE,0</t>
  </si>
  <si>
    <t>ARC-0321</t>
  </si>
  <si>
    <t>ARC-0322</t>
  </si>
  <si>
    <t>DATA,378745,27.20,80.90,-0.2,0.000,1,IDLE,0</t>
  </si>
  <si>
    <t>ARC-0323</t>
  </si>
  <si>
    <t>ARC-0324</t>
  </si>
  <si>
    <t>DATA,383763,27.30,80.50,-0.2,0.000,1,IDLE,0</t>
  </si>
  <si>
    <t>ARC-0325</t>
  </si>
  <si>
    <t>ARC-0326</t>
  </si>
  <si>
    <t>DATA,388782,27.30,80.40,-0.0,0.000,1,IDLE,0</t>
  </si>
  <si>
    <t>ARC-0327</t>
  </si>
  <si>
    <t>ARC-0328</t>
  </si>
  <si>
    <t>DATA,393801,27.30,80.30,-0.1,0.000,1,IDLE,0</t>
  </si>
  <si>
    <t>ARC-0329</t>
  </si>
  <si>
    <t>ARC-0330</t>
  </si>
  <si>
    <t>DATA,398821,27.30,80.30,-0.1,0.000,1,IDLE,0</t>
  </si>
  <si>
    <t>ARC-0331</t>
  </si>
  <si>
    <t>ARC-0332</t>
  </si>
  <si>
    <t>DATA,403838,27.30,80.30,-0.0,0.000,1,IDLE,0</t>
  </si>
  <si>
    <t>ARC-0333</t>
  </si>
  <si>
    <t>ARC-0334</t>
  </si>
  <si>
    <t>DATA,408857,27.30,80.50,-0.0,0.000,1,IDLE,0</t>
  </si>
  <si>
    <t>ARC-0335</t>
  </si>
  <si>
    <t>ARC-0336</t>
  </si>
  <si>
    <t>DATA,413877,27.30,80.40,-0.1,0.000,1,IDLE,0</t>
  </si>
  <si>
    <t>ARC-0337</t>
  </si>
  <si>
    <t>ARC-0338</t>
  </si>
  <si>
    <t>DATA,418894,27.30,80.30,0.1,0.000,1,IDLE,0</t>
  </si>
  <si>
    <t>ARC-0339</t>
  </si>
  <si>
    <t>ARC-0340</t>
  </si>
  <si>
    <t>DATA,423913,27.20,80.20,0.0,0.000,1,IDLE,0</t>
  </si>
  <si>
    <t>ARC-0341</t>
  </si>
  <si>
    <t>ARC-0342</t>
  </si>
  <si>
    <t>DATA,428932,27.30,80.10,0.1,0.000,1,IDLE,0</t>
  </si>
  <si>
    <t>ARC-0343</t>
  </si>
  <si>
    <t>ARC-0344</t>
  </si>
  <si>
    <t>DATA,433951,27.30,80.10,-0.0,0.000,1,IDLE,0</t>
  </si>
  <si>
    <t>ARC-0345</t>
  </si>
  <si>
    <t>ARC-0346</t>
  </si>
  <si>
    <t>DATA,438969,27.30,80.00,0.0,0.000,0,IDLE,0</t>
  </si>
  <si>
    <t>ARC-0347</t>
  </si>
  <si>
    <t>ARC-0348</t>
  </si>
  <si>
    <t>DATA,443988,27.30,80.00,-0.8,0.000,1,IDLE,0</t>
  </si>
  <si>
    <t>ARC-0349</t>
  </si>
  <si>
    <t>ARC-0350</t>
  </si>
  <si>
    <t>DATA,449007,27.30,80.10,-1.1,0.000,1,IDLE,0</t>
  </si>
  <si>
    <t>ARC-0351</t>
  </si>
  <si>
    <t>ARC-0352</t>
  </si>
  <si>
    <t>DATA,454025,27.30,80.10,-1.2,0.000,1,IDLE,0</t>
  </si>
  <si>
    <t>ARC-0353</t>
  </si>
  <si>
    <t>ARC-0354</t>
  </si>
  <si>
    <t>ARC-0355</t>
  </si>
  <si>
    <t>ARC-0356</t>
  </si>
  <si>
    <t>DATA,466339,27.30,80.30,31.1,0.000,1,IDLE,1</t>
  </si>
  <si>
    <t>ARC-0357</t>
  </si>
  <si>
    <t>ARC-0358</t>
  </si>
  <si>
    <t>DATA,471500,27.30,80.50,-9.9,0.000,1,IDLE,1</t>
  </si>
  <si>
    <t>ARC-0359</t>
  </si>
  <si>
    <t>ARC-0360</t>
  </si>
  <si>
    <t>DATA,476518,27.30,80.50,-3.2,0.000,1,IDLE,1</t>
  </si>
  <si>
    <t>ARC-0361</t>
  </si>
  <si>
    <t>ARC-0362</t>
  </si>
  <si>
    <t>DATA,481538,27.20,80.50,-0.5,0.000,1,IDLE,1</t>
  </si>
  <si>
    <t>ARC-0363</t>
  </si>
  <si>
    <t>ARC-0364</t>
  </si>
  <si>
    <t>DATA,486555,27.30,80.50,0.0,0.000,1,IDLE,1</t>
  </si>
  <si>
    <t>ARC-0365</t>
  </si>
  <si>
    <t>ARC-0366</t>
  </si>
  <si>
    <t>Submitting PIN: 1236</t>
  </si>
  <si>
    <t>ARC-0367</t>
  </si>
  <si>
    <t>ARC-0368</t>
  </si>
  <si>
    <t>DATA,492331,27.30,80.70,41.2,0.000,1,IDLE,2</t>
  </si>
  <si>
    <t>ARC-0369</t>
  </si>
  <si>
    <t>ARC-0370</t>
  </si>
  <si>
    <t>DATA,497330,27.30,80.80,-2.1,0.000,1,IDLE,2</t>
  </si>
  <si>
    <t>ARC-0371</t>
  </si>
  <si>
    <t>ARC-0372</t>
  </si>
  <si>
    <t>Submitting PIN: 11111</t>
  </si>
  <si>
    <t>ARC-0373</t>
  </si>
  <si>
    <t>ARC-0374</t>
  </si>
  <si>
    <t>DATA,502942,27.30,80.80,35.3,0.000,1,IDLE,0</t>
  </si>
  <si>
    <t>ARC-0375</t>
  </si>
  <si>
    <t>ARC-0376</t>
  </si>
  <si>
    <t>DATA,508116,27.30,80.80,-1.4,0.000,1,IDLE,0</t>
  </si>
  <si>
    <t>ARC-0377</t>
  </si>
  <si>
    <t>ARC-0378</t>
  </si>
  <si>
    <t>DATA,513134,27.30,80.80,-11.1,0.000,1,IDLE,0</t>
  </si>
  <si>
    <t>ARC-0379</t>
  </si>
  <si>
    <t>ARC-0380</t>
  </si>
  <si>
    <t>DATA,518154,27.30,80.90,-4.1,0.000,1,IDLE,0</t>
  </si>
  <si>
    <t>ARC-0381</t>
  </si>
  <si>
    <t>ARC-0382</t>
  </si>
  <si>
    <t>DATA,523171,27.30,81.00,-3.2,0.000,1,IDLE,0</t>
  </si>
  <si>
    <t>ARC-0383</t>
  </si>
  <si>
    <t>ARC-0384</t>
  </si>
  <si>
    <t>DATA,528190,27.30,81.00,-2.5,0.000,1,IDLE,0</t>
  </si>
  <si>
    <t>ARC-0385</t>
  </si>
  <si>
    <t>ARC-0386</t>
  </si>
  <si>
    <t>DATA,533209,27.30,81.10,-11.8,0.000,1,IDLE,0</t>
  </si>
  <si>
    <t>ARC-0387</t>
  </si>
  <si>
    <t>ARC-0388</t>
  </si>
  <si>
    <t>DATA,538226,27.30,81.00,-5.9,0.000,1,IDLE,0</t>
  </si>
  <si>
    <t>ARC-0389</t>
  </si>
  <si>
    <t>ARC-0390</t>
  </si>
  <si>
    <t>DATA,543245,27.30,81.00,-4.7,0.000,1,IDLE,0</t>
  </si>
  <si>
    <t>ARC-0391</t>
  </si>
  <si>
    <t>ARC-0392</t>
  </si>
  <si>
    <t>DATA,548264,27.30,81.00,-4.1,0.000,1,IDLE,0</t>
  </si>
  <si>
    <t>ARC-0393</t>
  </si>
  <si>
    <t>ARC-0394</t>
  </si>
  <si>
    <t>ARC-0395</t>
  </si>
  <si>
    <t>ARC-0396</t>
  </si>
  <si>
    <t>DATA,564671,27.30,81.10,11.0,0.000,1,IDLE,0</t>
  </si>
  <si>
    <t>ARC-0397</t>
  </si>
  <si>
    <t>ARC-0398</t>
  </si>
  <si>
    <t>DATA,569830,27.30,81.30,-3.9,0.000,1,IDLE,0</t>
  </si>
  <si>
    <t>ARC-0399</t>
  </si>
  <si>
    <t>ARC-0400</t>
  </si>
  <si>
    <t>DATA,574849,27.30,81.30,-3.7,0.000,1,IDLE,0</t>
  </si>
  <si>
    <t>ARC-0401</t>
  </si>
  <si>
    <t>ARC-0402</t>
  </si>
  <si>
    <t>DATA,579867,27.30,81.00,-3.5,0.000,1,IDLE,0</t>
  </si>
  <si>
    <t>ARC-0403</t>
  </si>
  <si>
    <t>ARC-0404</t>
  </si>
  <si>
    <t>DATA,584886,27.30,81.00,-3.4,0.000,1,IDLE,0</t>
  </si>
  <si>
    <t>ARC-0405</t>
  </si>
  <si>
    <t>ARC-0406</t>
  </si>
  <si>
    <t>DATA,589903,27.30,81.00,-3.3,0.000,1,IDLE,0</t>
  </si>
  <si>
    <t>ARC-0407</t>
  </si>
  <si>
    <t>ARC-0408</t>
  </si>
  <si>
    <t>DATA,594921,27.30,81.10,-3.3,0.000,1,IDLE,0</t>
  </si>
  <si>
    <t>ARC-0409</t>
  </si>
  <si>
    <t>ARC-0410</t>
  </si>
  <si>
    <t>DATA,599941,27.30,81.10,-3.3,0.000,1,IDLE,0</t>
  </si>
  <si>
    <t>ARC-0411</t>
  </si>
  <si>
    <t>ARC-0412</t>
  </si>
  <si>
    <t>DATA,604958,27.30,81.10,-3.3,0.000,1,IDLE,0</t>
  </si>
  <si>
    <t>ARC-0413</t>
  </si>
  <si>
    <t>ARC-0414</t>
  </si>
  <si>
    <t>DATA,609978,27.30,81.30,-3.2,0.000,1,IDLE,0</t>
  </si>
  <si>
    <t>ARC-0415</t>
  </si>
  <si>
    <t>ARC-0416</t>
  </si>
  <si>
    <t>DATA,614995,27.30,81.10,-3.2,0.000,1,IDLE,0</t>
  </si>
  <si>
    <t>ARC-0417</t>
  </si>
  <si>
    <t>ARC-0418</t>
  </si>
  <si>
    <t>DATA,620015,27.30,81.00,-3.2,0.000,1,IDLE,0</t>
  </si>
  <si>
    <t>ARC-0419</t>
  </si>
  <si>
    <t>ARC-0420</t>
  </si>
  <si>
    <t>DATA,625033,27.30,81.00,-3.2,0.000,1,IDLE,0</t>
  </si>
  <si>
    <t>ARC-0421</t>
  </si>
  <si>
    <t>ARC-0422</t>
  </si>
  <si>
    <t>DATA,630050,27.30,81.10,-3.0,0.000,1,IDLE,0</t>
  </si>
  <si>
    <t>ARC-0423</t>
  </si>
  <si>
    <t>ARC-0424</t>
  </si>
  <si>
    <t>DATA,635070,27.40,81.30,-3.0,0.000,1,IDLE,0</t>
  </si>
  <si>
    <t>ARC-0425</t>
  </si>
  <si>
    <t>ARC-0426</t>
  </si>
  <si>
    <t>DATA,640088,27.30,81.30,-2.9,0.000,1,IDLE,0</t>
  </si>
  <si>
    <t>ARC-0427</t>
  </si>
  <si>
    <t>ARC-0428</t>
  </si>
  <si>
    <t>DATA,645105,27.40,81.30,-3.0,0.000,1,IDLE,0</t>
  </si>
  <si>
    <t>ARC-0429</t>
  </si>
  <si>
    <t>ARC-0430</t>
  </si>
  <si>
    <t>DATA,650124,27.30,81.30,-2.9,0.000,1,IDLE,0</t>
  </si>
  <si>
    <t>ARC-0431</t>
  </si>
  <si>
    <t>ARC-0432</t>
  </si>
  <si>
    <t>DATA,655141,27.40,81.00,-2.9,0.000,1,IDLE,0</t>
  </si>
  <si>
    <t>ARC-0433</t>
  </si>
  <si>
    <t>ARC-0434</t>
  </si>
  <si>
    <t>DATA,660161,27.40,81.10,-2.9,0.000,1,IDLE,0</t>
  </si>
  <si>
    <t>ARC-0435</t>
  </si>
  <si>
    <t>ARC-0436</t>
  </si>
  <si>
    <t>DATA,665180,27.30,81.00,-2.8,0.000,1,IDLE,0</t>
  </si>
  <si>
    <t>ARC-0437</t>
  </si>
  <si>
    <t>ARC-0438</t>
  </si>
  <si>
    <t>DATA,670196,27.40,81.00,-2.9,0.000,1,IDLE,0</t>
  </si>
  <si>
    <t>ARC-0439</t>
  </si>
  <si>
    <t>ARC-0440</t>
  </si>
  <si>
    <t>DATA,675214,27.30,81.00,-2.7,0.000,1,IDLE,0</t>
  </si>
  <si>
    <t>ARC-0441</t>
  </si>
  <si>
    <t>ARC-0442</t>
  </si>
  <si>
    <t>DATA,680231,27.40,80.90,-2.8,0.000,1,IDLE,0</t>
  </si>
  <si>
    <t>ARC-0443</t>
  </si>
  <si>
    <t>ARC-0444</t>
  </si>
  <si>
    <t>DATA,685249,27.40,80.90,-2.7,0.000,1,IDLE,0</t>
  </si>
  <si>
    <t>ARC-0445</t>
  </si>
  <si>
    <t>ARC-0446</t>
  </si>
  <si>
    <t>DATA,690268,27.40,80.80,-2.7,0.000,1,IDLE,0</t>
  </si>
  <si>
    <t>ARC-0447</t>
  </si>
  <si>
    <t>ARC-0448</t>
  </si>
  <si>
    <t>DATA,695286,27.40,80.90,-2.7,0.000,1,IDLE,0</t>
  </si>
  <si>
    <t>ARC-0449</t>
  </si>
  <si>
    <t>ARC-0450</t>
  </si>
  <si>
    <t>DATA,700303,27.40,80.80,-2.5,0.000,1,IDLE,0</t>
  </si>
  <si>
    <t>ARC-0451</t>
  </si>
  <si>
    <t>ARC-0452</t>
  </si>
  <si>
    <t>DATA,705320,27.40,80.80,-2.6,0.000,1,IDLE,0</t>
  </si>
  <si>
    <t>ARC-0453</t>
  </si>
  <si>
    <t>ARC-0454</t>
  </si>
  <si>
    <t>DATA,710338,27.40,80.50,-2.6,0.000,1,IDLE,0</t>
  </si>
  <si>
    <t>ARC-0455</t>
  </si>
  <si>
    <t>ARC-0456</t>
  </si>
  <si>
    <t>DATA,715357,27.40,80.60,-2.6,0.000,1,IDLE,0</t>
  </si>
  <si>
    <t>ARC-0457</t>
  </si>
  <si>
    <t>ARC-0458</t>
  </si>
  <si>
    <t>DATA,720373,27.40,80.50,-2.5,0.000,1,IDLE,0</t>
  </si>
  <si>
    <t>ARC-0459</t>
  </si>
  <si>
    <t>ARC-0460</t>
  </si>
  <si>
    <t>DATA,725392,27.40,80.70,-2.5,0.000,1,IDLE,0</t>
  </si>
  <si>
    <t>ARC-0461</t>
  </si>
  <si>
    <t>ARC-0462</t>
  </si>
  <si>
    <t>DATA,730408,27.40,80.60,-2.5,0.000,1,IDLE,0</t>
  </si>
  <si>
    <t>ARC-0463</t>
  </si>
  <si>
    <t>ARC-0464</t>
  </si>
  <si>
    <t>DATA,735427,27.40,80.50,-2.4,0.000,1,IDLE,0</t>
  </si>
  <si>
    <t>ARC-0465</t>
  </si>
  <si>
    <t>ARC-0466</t>
  </si>
  <si>
    <t>DATA,740444,27.40,80.60,-2.5,0.000,1,IDLE,0</t>
  </si>
  <si>
    <t>ARC-0467</t>
  </si>
  <si>
    <t>ARC-0468</t>
  </si>
  <si>
    <t>DATA,745461,27.40,80.80,-2.5,0.000,1,IDLE,0</t>
  </si>
  <si>
    <t>ARC-0469</t>
  </si>
  <si>
    <t>ARC-0470</t>
  </si>
  <si>
    <t>DATA,750478,27.40,80.80,-2.5,0.000,1,IDLE,0</t>
  </si>
  <si>
    <t>ARC-0471</t>
  </si>
  <si>
    <t>ARC-0472</t>
  </si>
  <si>
    <t>DATA,755494,27.40,81.00,-2.6,0.000,1,IDLE,0</t>
  </si>
  <si>
    <t>ARC-0473</t>
  </si>
  <si>
    <t>ARC-0474</t>
  </si>
  <si>
    <t>DATA,760513,27.40,81.00,-2.5,0.000,1,IDLE,0</t>
  </si>
  <si>
    <t>ARC-0475</t>
  </si>
  <si>
    <t>ARC-0476</t>
  </si>
  <si>
    <t>DATA,765530,27.40,81.00,-2.5,0.000,1,IDLE,0</t>
  </si>
  <si>
    <t>ARC-0477</t>
  </si>
  <si>
    <t>ARC-0478</t>
  </si>
  <si>
    <t>DATA,770548,27.40,81.00,-2.5,0.000,1,IDLE,0</t>
  </si>
  <si>
    <t>ARC-0479</t>
  </si>
  <si>
    <t>ARC-0480</t>
  </si>
  <si>
    <t>DATA,775565,27.40,81.00,-2.4,0.000,1,IDLE,0</t>
  </si>
  <si>
    <t>ARC-0481</t>
  </si>
  <si>
    <t>ARC-0482</t>
  </si>
  <si>
    <t>DATA,780581,27.40,81.00,-2.4,0.000,1,IDLE,0</t>
  </si>
  <si>
    <t>ARC-0483</t>
  </si>
  <si>
    <t>ARC-0484</t>
  </si>
  <si>
    <t>DATA,785600,27.40,81.00,-2.4,0.000,1,IDLE,0</t>
  </si>
  <si>
    <t>ARC-0485</t>
  </si>
  <si>
    <t>ARC-0486</t>
  </si>
  <si>
    <t>DATA,790617,27.40,81.00,-2.3,0.000,1,IDLE,0</t>
  </si>
  <si>
    <t>ARC-0487</t>
  </si>
  <si>
    <t>ARC-0488</t>
  </si>
  <si>
    <t>DATA,795635,27.40,81.10,-2.3,0.000,1,IDLE,0</t>
  </si>
  <si>
    <t>ARC-0489</t>
  </si>
  <si>
    <t>ARC-0490</t>
  </si>
  <si>
    <t>DATA,800652,27.40,81.10,-2.3,0.000,1,IDLE,0</t>
  </si>
  <si>
    <t>ARC-0491</t>
  </si>
  <si>
    <t>ARC-0492</t>
  </si>
  <si>
    <t>DATA,805668,27.40,81.00,-2.3,0.000,1,IDLE,0</t>
  </si>
  <si>
    <t>ARC-0493</t>
  </si>
  <si>
    <t>ARC-0494</t>
  </si>
  <si>
    <t>DATA,810687,27.40,81.00,-2.3,0.000,1,IDLE,0</t>
  </si>
  <si>
    <t>ARC-0495</t>
  </si>
  <si>
    <t>ARC-0496</t>
  </si>
  <si>
    <t>DATA,815704,27.50,81.90,-2.3,0.000,1,IDLE,0</t>
  </si>
  <si>
    <t>ARC-0497</t>
  </si>
  <si>
    <t>ARC-0498</t>
  </si>
  <si>
    <t>DATA,820720,27.70,83.00,-2.4,0.000,1,IDLE,0</t>
  </si>
  <si>
    <t>ARC-0499</t>
  </si>
  <si>
    <t>ARC-0500</t>
  </si>
  <si>
    <t>ARC-0501</t>
  </si>
  <si>
    <t>Fire stage: FIRE_DETECTED</t>
  </si>
  <si>
    <t>ARC-0502</t>
  </si>
  <si>
    <t>DATA,825795,28.10,84.30,-2.5,0.000,1,FIRE_DETECTED,0</t>
  </si>
  <si>
    <t>ARC-0503</t>
  </si>
  <si>
    <t>ARC-0504</t>
  </si>
  <si>
    <t>Fire stage: PUMPING</t>
  </si>
  <si>
    <t>ARC-0505</t>
  </si>
  <si>
    <t>DATA,830752,28.60,83.80,-1.9,0.000,1,PUMPING,0</t>
  </si>
  <si>
    <t>ARC-0506</t>
  </si>
  <si>
    <t>ARC-0507</t>
  </si>
  <si>
    <t>DATA,835763,29.00,72.20,-1.8,69.787,1,PUMPING,0</t>
  </si>
  <si>
    <t>ARC-0508</t>
  </si>
  <si>
    <t>ARC-0509</t>
  </si>
  <si>
    <t>DATA,841183,29.10,71.30,-70.5,67.227,1,PUMPING,0</t>
  </si>
  <si>
    <t>ARC-0510</t>
  </si>
  <si>
    <t>Firmware warning</t>
  </si>
  <si>
    <t>ARC-0511</t>
  </si>
  <si>
    <t>ARC-0512</t>
  </si>
  <si>
    <t>DATA,846615,-1.00,-1.00,-136.3,71.493,1,PUMPING,0</t>
  </si>
  <si>
    <t>ARC-0513</t>
  </si>
  <si>
    <t>ARC-0514</t>
  </si>
  <si>
    <t>ARC-0515</t>
  </si>
  <si>
    <t>DATA,851615,-1.00,-1.00,-1.7,66.053,1,PUMPING,0</t>
  </si>
  <si>
    <t>ARC-0516</t>
  </si>
  <si>
    <t>ARC-0517</t>
  </si>
  <si>
    <t>DATA,856585,29.10,69.90,-1.9,65.733,1,PUMPING,0</t>
  </si>
  <si>
    <t>ARC-0518</t>
  </si>
  <si>
    <t>ARC-0519</t>
  </si>
  <si>
    <t>ARC-0520</t>
  </si>
  <si>
    <t>DATA,861617,-1.00,-1.00,-1.7,65.333,1,PUMPING,0</t>
  </si>
  <si>
    <t>ARC-0521</t>
  </si>
  <si>
    <t>ARC-0522</t>
  </si>
  <si>
    <t>DATA,866584,29.00,69.10,-1.8,63.227,1,PUMPING,0</t>
  </si>
  <si>
    <t>ARC-0523</t>
  </si>
  <si>
    <t>ARC-0524</t>
  </si>
  <si>
    <t>ARC-0525</t>
  </si>
  <si>
    <t>DATA,871616,-1.00,-1.00,-1.9,66.933,1,PUMPING,0</t>
  </si>
  <si>
    <t>ARC-0526</t>
  </si>
  <si>
    <t>ARC-0527</t>
  </si>
  <si>
    <t>DATA,876584,28.80,68.70,-135.1,72.027,1,PUMPING,0</t>
  </si>
  <si>
    <t>ARC-0528</t>
  </si>
  <si>
    <t>ARC-0529</t>
  </si>
  <si>
    <t>ARC-0530</t>
  </si>
  <si>
    <t>DATA,881616,-1.00,-1.00,-2.2,74.240,1,PUMPING,0</t>
  </si>
  <si>
    <t>ARC-0531</t>
  </si>
  <si>
    <t>ARC-0532</t>
  </si>
  <si>
    <t>ARC-0533</t>
  </si>
  <si>
    <t>DATA,886616,-1.00,-1.00,-2.1,73.467,1,PUMPING,0</t>
  </si>
  <si>
    <t>ARC-0534</t>
  </si>
  <si>
    <t>ARC-0535</t>
  </si>
  <si>
    <t>ARC-0536</t>
  </si>
  <si>
    <t>DATA,891633,-1.00,-1.00,-2.0,69.200,1,PUMPING,0</t>
  </si>
  <si>
    <t>ARC-0537</t>
  </si>
  <si>
    <t>ARC-0538</t>
  </si>
  <si>
    <t>ARC-0539</t>
  </si>
  <si>
    <t>DATA,896633,-1.00,-1.00,-2.0,73.200,1,PUMPING,0</t>
  </si>
  <si>
    <t>ARC-0540</t>
  </si>
  <si>
    <t>ARC-0541</t>
  </si>
  <si>
    <t>ARC-0542</t>
  </si>
  <si>
    <t>DATA,901634,-1.00,-1.00,-2.0,96.747,1,PUMPING,0</t>
  </si>
  <si>
    <t>ARC-0543</t>
  </si>
  <si>
    <t>ARC-0544</t>
  </si>
  <si>
    <t>ARC-0545</t>
  </si>
  <si>
    <t>DATA,906633,-1.00,-1.00,2.5,261.360,1,PUMPING,0</t>
  </si>
  <si>
    <t>ARC-0546</t>
  </si>
  <si>
    <t>ARC-0547</t>
  </si>
  <si>
    <t>Fire stage: HUMIDIFYING</t>
  </si>
  <si>
    <t>ARC-0548</t>
  </si>
  <si>
    <t>DATA,911619,28.40,69.00,-1.7,394.720,1,HUMIDIFYING,0</t>
  </si>
  <si>
    <t>ARC-0549</t>
  </si>
  <si>
    <t>ARC-0550</t>
  </si>
  <si>
    <t>DATA,916601,28.40,70.90,-1.6,0.187,1,HUMIDIFYING,0</t>
  </si>
  <si>
    <t>ARC-0551</t>
  </si>
  <si>
    <t>ARC-0552</t>
  </si>
  <si>
    <t>Fire stage: STABLE</t>
  </si>
  <si>
    <t>ARC-0553</t>
  </si>
  <si>
    <t>DATA,921617,28.40,75.10,-1.6,0.000,1,STABLE,0</t>
  </si>
  <si>
    <t>ARC-0554</t>
  </si>
  <si>
    <t>ARC-0555</t>
  </si>
  <si>
    <t>DATA,926602,28.40,75.30,-1.3,0.000,1,IDLE,0</t>
  </si>
  <si>
    <t>ARC-0556</t>
  </si>
  <si>
    <t>ARC-0557</t>
  </si>
  <si>
    <t>ARC-0558</t>
  </si>
  <si>
    <t>DATA,931618,28.40,76.30,-1.5,0.000,1,FIRE_DETECTED,0</t>
  </si>
  <si>
    <t>ARC-0559</t>
  </si>
  <si>
    <t>ARC-0560</t>
  </si>
  <si>
    <t>DATA,936603,28.30,76.60,-2.2,0.000,1,PUMPING,0</t>
  </si>
  <si>
    <t>ARC-0561</t>
  </si>
  <si>
    <t>ARC-0562</t>
  </si>
  <si>
    <t>DATA,941602,28.20,70.40,-1.4,169.920,1,PUMPING,0</t>
  </si>
  <si>
    <t>ARC-0563</t>
  </si>
  <si>
    <t>ARC-0564</t>
  </si>
  <si>
    <t>DATA,946603,28.20,70.00,-1.7,496.293,1,PUMPING,0</t>
  </si>
  <si>
    <t>ARC-0565</t>
  </si>
  <si>
    <t>ARC-0566</t>
  </si>
  <si>
    <t>DATA,951603,28.10,70.30,4280.8,278.347,1,PUMPING,0</t>
  </si>
  <si>
    <t>ARC-0567</t>
  </si>
  <si>
    <t>ARC-0568</t>
  </si>
  <si>
    <t>DATA,956603,28.10,70.00,2001.3,187.387,1,PUMPING,0</t>
  </si>
  <si>
    <t>ARC-0569</t>
  </si>
  <si>
    <t>ARC-0570</t>
  </si>
  <si>
    <t>DATA,962184,28.00,70.00,-69.7,157.733,1,PUMPING,0</t>
  </si>
  <si>
    <t>ARC-0571</t>
  </si>
  <si>
    <t>ARC-0572</t>
  </si>
  <si>
    <t>ARC-0573</t>
  </si>
  <si>
    <t>DATA,967358,-1.00,-1.00,-1.7,112.373,1,PUMPING,0</t>
  </si>
  <si>
    <t>ARC-0574</t>
  </si>
  <si>
    <t>ARC-0575</t>
  </si>
  <si>
    <t>DATA,972325,27.90,70.10,-1.1,105.120,1,PUMPING,0</t>
  </si>
  <si>
    <t>ARC-0576</t>
  </si>
  <si>
    <t>ARC-0577</t>
  </si>
  <si>
    <t>DATA,977326,27.90,70.10,-1.7,100.880,1,PUMPING,0</t>
  </si>
  <si>
    <t>ARC-0578</t>
  </si>
  <si>
    <t>ARC-0579</t>
  </si>
  <si>
    <t>DATA,982326,27.80,70.20,-0.3,97.040,1,PUMPING,0</t>
  </si>
  <si>
    <t>ARC-0580</t>
  </si>
  <si>
    <t>ARC-0581</t>
  </si>
  <si>
    <t>DATA,987326,27.80,70.40,-1.9,90.000,1,PUMPING,0</t>
  </si>
  <si>
    <t>ARC-0582</t>
  </si>
  <si>
    <t>ARC-0583</t>
  </si>
  <si>
    <t>ARC-0584</t>
  </si>
  <si>
    <t>DATA,992736,-1.00,-1.00,-71.9,96.720,1,PUMPING,0</t>
  </si>
  <si>
    <t>ARC-0585</t>
  </si>
  <si>
    <t>ARC-0586</t>
  </si>
  <si>
    <t>ARC-0587</t>
  </si>
  <si>
    <t>DATA,997836,-1.00,-1.00,-2.5,92.880,1,PUMPING,0</t>
  </si>
  <si>
    <t>ARC-0588</t>
  </si>
  <si>
    <t>ARC-0589</t>
  </si>
  <si>
    <t>ARC-0590</t>
  </si>
  <si>
    <t>DATA,1002823,27.70,70.40,-1.7,88.160,1,HUMIDIFYING,0</t>
  </si>
  <si>
    <t>ARC-0591</t>
  </si>
  <si>
    <t>ARC-0592</t>
  </si>
  <si>
    <t>DATA,1007805,27.70,72.00,-1.9,0.107,1,HUMIDIFYING,0</t>
  </si>
  <si>
    <t>ARC-0593</t>
  </si>
  <si>
    <t>ARC-0594</t>
  </si>
  <si>
    <t>ARC-0595</t>
  </si>
  <si>
    <t>DATA,1012823,27.80,76.90,-1.8,0.000,1,STABLE,0</t>
  </si>
  <si>
    <t>ARC-0596</t>
  </si>
  <si>
    <t>ARC-0597</t>
  </si>
  <si>
    <t>DATA,1017824,27.80,77.00,-2.2,0.000,1,IDLE,0</t>
  </si>
  <si>
    <t>ARC-0598</t>
  </si>
  <si>
    <t>ARC-0599</t>
  </si>
  <si>
    <t>DATA,1022841,27.80,78.20,-2.2,0.000,1,IDLE,0</t>
  </si>
  <si>
    <t>ARC-0600</t>
  </si>
  <si>
    <t>ARC-0601</t>
  </si>
  <si>
    <t>DATA,1027859,27.80,78.70,-2.3,0.000,1,IDLE,0</t>
  </si>
  <si>
    <t>ARC-0602</t>
  </si>
  <si>
    <t>ARC-0603</t>
  </si>
  <si>
    <t>DATA,1032878,27.80,79.00,-2.0,0.000,1,IDLE,0</t>
  </si>
  <si>
    <t>ARC-0604</t>
  </si>
  <si>
    <t>ARC-0605</t>
  </si>
  <si>
    <t>DATA,1037896,27.90,80.60,-2.1,0.000,1,IDLE,0</t>
  </si>
  <si>
    <t>ARC-0606</t>
  </si>
  <si>
    <t>ARC-0607</t>
  </si>
  <si>
    <t>ARC-0608</t>
  </si>
  <si>
    <t>ARC-0609</t>
  </si>
  <si>
    <t>DATA,1042970,28.10,84.20,-1.9,0.000,1,FIRE_DETECTED,0</t>
  </si>
  <si>
    <t>ARC-0610</t>
  </si>
  <si>
    <t>ARC-0611</t>
  </si>
  <si>
    <t>ARC-0612</t>
  </si>
  <si>
    <t>DATA,1047928,28.40,86.50,-1.6,0.000,1,PUMPING,0</t>
  </si>
  <si>
    <t>ARC-0613</t>
  </si>
  <si>
    <t>ARC-0614</t>
  </si>
  <si>
    <t>ARC-0615</t>
  </si>
  <si>
    <t>DATA,1052972,-1.00,-1.00,-1.5,86.267,1,PUMPING,0</t>
  </si>
  <si>
    <t>ARC-0616</t>
  </si>
  <si>
    <t>ARC-0617</t>
  </si>
  <si>
    <t>ARC-0618</t>
  </si>
  <si>
    <t>DATA,1057940,7.10,223.00,-1.6,83.840,1,PUMPING,0</t>
  </si>
  <si>
    <t>ARC-0619</t>
  </si>
  <si>
    <t>ARC-0620</t>
  </si>
  <si>
    <t>ARC-0621</t>
  </si>
  <si>
    <t>DATA,1062969,-1.00,-1.00,-1.6,80.267,1,PUMPING,0</t>
  </si>
  <si>
    <t>ARC-0622</t>
  </si>
  <si>
    <t>ARC-0623</t>
  </si>
  <si>
    <t>ARC-0624</t>
  </si>
  <si>
    <t>DATA,1068476,-1.00,-1.00,344.2,88.053,1,PUMPING,0</t>
  </si>
  <si>
    <t>ARC-0625</t>
  </si>
  <si>
    <t>ARC-0626</t>
  </si>
  <si>
    <t>ARC-0627</t>
  </si>
  <si>
    <t>DATA,1073475,-1.00,-1.00,-1.6,80.880,1,PUMPING,0</t>
  </si>
  <si>
    <t>ARC-0628</t>
  </si>
  <si>
    <t>ARC-0629</t>
  </si>
  <si>
    <t>ARC-0630</t>
  </si>
  <si>
    <t>DATA,1078444,28.20,72.80,-1.6,78.773,1,PUMPING,0</t>
  </si>
  <si>
    <t>ARC-0631</t>
  </si>
  <si>
    <t>ARC-0632</t>
  </si>
  <si>
    <t>DATA,1083444,28.20,72.50,-1.1,81.333,1,PUMPING,0</t>
  </si>
  <si>
    <t>ARC-0633</t>
  </si>
  <si>
    <t>ARC-0634</t>
  </si>
  <si>
    <t>DATA,1088444,28.10,72.30,-1.6,83.067,1,PUMPING,0</t>
  </si>
  <si>
    <t>ARC-0635</t>
  </si>
  <si>
    <t>ARC-0636</t>
  </si>
  <si>
    <t>DATA,1093443,28.10,71.80,4.2,81.787,1,PUMPING,0</t>
  </si>
  <si>
    <t>ARC-0637</t>
  </si>
  <si>
    <t>ARC-0638</t>
  </si>
  <si>
    <t>DATA,1098443,28.00,71.60,-2.4,82.187,1,PUMPING,0</t>
  </si>
  <si>
    <t>ARC-0639</t>
  </si>
  <si>
    <t>ARC-0640</t>
  </si>
  <si>
    <t>ARC-0641</t>
  </si>
  <si>
    <t>DATA,1103461,27.90,71.50,-2.3,80.907,1,HUMIDIFYING,0</t>
  </si>
  <si>
    <t>ARC-0642</t>
  </si>
  <si>
    <t>ARC-0643</t>
  </si>
  <si>
    <t>DATA,1108444,27.90,73.30,-2.0,0.107,1,HUMIDIFYING,0</t>
  </si>
  <si>
    <t>ARC-0644</t>
  </si>
  <si>
    <t>ARC-0645</t>
  </si>
  <si>
    <t>ARC-0646</t>
  </si>
  <si>
    <t>DATA,1113458,28.00,78.70,-2.1,0.000,1,STABLE,0</t>
  </si>
  <si>
    <t>ARC-0647</t>
  </si>
  <si>
    <t>ARC-0648</t>
  </si>
  <si>
    <t>DATA,1118443,28.00,79.80,-2.8,0.000,1,IDLE,0</t>
  </si>
  <si>
    <t>ARC-0649</t>
  </si>
  <si>
    <t>ARC-0650</t>
  </si>
  <si>
    <t>ARC-0651</t>
  </si>
  <si>
    <t>DATA,1123474,28.10,82.20,-2.9,0.000,1,FIRE_DETECTED,0</t>
  </si>
  <si>
    <t>ARC-0652</t>
  </si>
  <si>
    <t>ARC-0653</t>
  </si>
  <si>
    <t>DATA,1128474,28.00,83.00,-3.0,0.000,1,PUMPING,0</t>
  </si>
  <si>
    <t>ARC-0654</t>
  </si>
  <si>
    <t>ARC-0655</t>
  </si>
  <si>
    <t>ARC-0656</t>
  </si>
  <si>
    <t>DATA,1133517,-1.00,-1.00,-2.6,69.307,1,PUMPING,0</t>
  </si>
  <si>
    <t>ARC-0657</t>
  </si>
  <si>
    <t>ARC-0658</t>
  </si>
  <si>
    <t>ARC-0659</t>
  </si>
  <si>
    <t>DATA,1138518,-1.00,-1.00,-2.0,70.773,1,PUMPING,0</t>
  </si>
  <si>
    <t>ARC-0660</t>
  </si>
  <si>
    <t>ARC-0661</t>
  </si>
  <si>
    <t>ARC-0662</t>
  </si>
  <si>
    <t>DATA,1143518,-1.00,-1.00,1.5,78.107,1,PUMPING,0</t>
  </si>
  <si>
    <t>ARC-0663</t>
  </si>
  <si>
    <t>ARC-0664</t>
  </si>
  <si>
    <t>ARC-0665</t>
  </si>
  <si>
    <t>DATA,1148517,-1.00,-1.00,-0.3,78.080,1,PUMPING,0</t>
  </si>
  <si>
    <t>ARC-0666</t>
  </si>
  <si>
    <t>ARC-0667</t>
  </si>
  <si>
    <t>ARC-0668</t>
  </si>
  <si>
    <t>DATA,1153517,-1.00,-1.00,-1.7,79.520,1,PUMPING,0</t>
  </si>
  <si>
    <t>ARC-0669</t>
  </si>
  <si>
    <t>ARC-0670</t>
  </si>
  <si>
    <t>ARC-0671</t>
  </si>
  <si>
    <t>DATA,1158517,-1.00,-1.00,-1.7,74.533,1,PUMPING,0</t>
  </si>
  <si>
    <t>ARC-0672</t>
  </si>
  <si>
    <t>ARC-0673</t>
  </si>
  <si>
    <t>ARC-0674</t>
  </si>
  <si>
    <t>DATA,1163517,-1.00,-1.00,-5.7,74.613,1,PUMPING,0</t>
  </si>
  <si>
    <t>ARC-0675</t>
  </si>
  <si>
    <t>ARC-0676</t>
  </si>
  <si>
    <t>ARC-0677</t>
  </si>
  <si>
    <t>DATA,1168518,-1.00,-1.00,-2.0,79.920,1,PUMPING,0</t>
  </si>
  <si>
    <t>ARC-0678</t>
  </si>
  <si>
    <t>ARC-0679</t>
  </si>
  <si>
    <t>ARC-0680</t>
  </si>
  <si>
    <t>DATA,1173517,-1.00,-1.00,-2.2,80.747,1,PUMPING,0</t>
  </si>
  <si>
    <t>Workbook and Column Data Dictionary</t>
  </si>
  <si>
    <t>Sheet / Table</t>
  </si>
  <si>
    <t>Column</t>
  </si>
  <si>
    <t>Definition</t>
  </si>
  <si>
    <t>Unit / Values</t>
  </si>
  <si>
    <t>Important interpretation</t>
  </si>
  <si>
    <t>Workbook</t>
  </si>
  <si>
    <t>Complete standalone project database containing all data and analyses.</t>
  </si>
  <si>
    <t>No separate data file is required.</t>
  </si>
  <si>
    <t>Sensor Snapshot, System Event, or Calibration Trial.</t>
  </si>
  <si>
    <t>370 records.</t>
  </si>
  <si>
    <t>Absolute magnitude of the entry-platform load-cell reading.</t>
  </si>
  <si>
    <t>Never tank weight.</t>
  </si>
  <si>
    <t>Valid temperature after excluding -1 and out-of-range values.</t>
  </si>
  <si>
    <t>Blank means invalid or missing.</t>
  </si>
  <si>
    <t>Clean value or latest valid value retained for analysis.</t>
  </si>
  <si>
    <t>Analysis filling is transparent and not a raw measurement.</t>
  </si>
  <si>
    <t>Valid humidity after excluding -1 and values outside 0–100%.</t>
  </si>
  <si>
    <t>Raw flow, or raw divided by the editable scale divisor for high-scale logs.</t>
  </si>
  <si>
    <t>Raw flow remains available.</t>
  </si>
  <si>
    <t>Logged dual-sensor event, or derived optical AND weight condition.</t>
  </si>
  <si>
    <t>0/1</t>
  </si>
  <si>
    <t>Follows corrected README logic.</t>
  </si>
  <si>
    <t>PUMPING row whose clean flow is at or below 0.05 L/min.</t>
  </si>
  <si>
    <t>Diagnostic calculation.</t>
  </si>
  <si>
    <t>One row per multi-sensor snapshot for charts and report statistics.</t>
  </si>
  <si>
    <t>242 rows.</t>
  </si>
  <si>
    <t>One row per sensor observation for sensor-specific analysis.</t>
  </si>
  <si>
    <t>1,210 rows.</t>
  </si>
  <si>
    <t>Fifteen load-cell trials at three known reference weights.</t>
  </si>
  <si>
    <t>Entry-platform calibration only.</t>
  </si>
  <si>
    <t>Cleaned event timeline with PIN values masked.</t>
  </si>
  <si>
    <t>113 events.</t>
  </si>
  <si>
    <t>All original records consolidated into one uninterrupted archive.</t>
  </si>
  <si>
    <t>680 rows.</t>
  </si>
  <si>
    <t>Record ID</t>
  </si>
  <si>
    <t>See formulas and colored section headers in Master Data.</t>
  </si>
  <si>
    <t>Timestamp ms</t>
  </si>
  <si>
    <t>Time s</t>
  </si>
  <si>
    <t>Sample ID</t>
  </si>
  <si>
    <t>Sensor or Event</t>
  </si>
  <si>
    <t>Event Category</t>
  </si>
  <si>
    <t>Event Detail</t>
  </si>
  <si>
    <t>Fire Cycle ID</t>
  </si>
  <si>
    <t>Fire Stage</t>
  </si>
  <si>
    <t>Stage Code</t>
  </si>
  <si>
    <t>Wrong Attempts</t>
  </si>
  <si>
    <t>Temperature Raw C</t>
  </si>
  <si>
    <t>Temperature Status</t>
  </si>
  <si>
    <t>Humidity Raw pct</t>
  </si>
  <si>
    <t>Humidity Analysis pct</t>
  </si>
  <si>
    <t>Humidity Status</t>
  </si>
  <si>
    <t>Entry Weight Raw g</t>
  </si>
  <si>
    <t>Weight Status</t>
  </si>
  <si>
    <t>Optical Raw ADC</t>
  </si>
  <si>
    <t>Proximity Raw Flag</t>
  </si>
  <si>
    <t>Optical Detected</t>
  </si>
  <si>
    <t>Weight Detected</t>
  </si>
  <si>
    <t>Person Detected Reported</t>
  </si>
  <si>
    <t>Detection Evidence</t>
  </si>
  <si>
    <t>Flow Raw</t>
  </si>
  <si>
    <t>Flow Status</t>
  </si>
  <si>
    <t>Pump Expected</t>
  </si>
  <si>
    <t>Humidifier Expected</t>
  </si>
  <si>
    <t>Fan Reported</t>
  </si>
  <si>
    <t>Fire Alarm Expected</t>
  </si>
  <si>
    <t>Security Alarm Expected</t>
  </si>
  <si>
    <t>Calibration Reference g</t>
  </si>
  <si>
    <t>Calibration Error g</t>
  </si>
  <si>
    <t>Calibration Error pct</t>
  </si>
  <si>
    <t>Calibration Point</t>
  </si>
  <si>
    <t>Original Unit</t>
  </si>
  <si>
    <t>Original Status</t>
  </si>
  <si>
    <t>Processing Method</t>
  </si>
  <si>
    <t>Data Quality Score</t>
  </si>
  <si>
    <t>Data Quality Grade</t>
  </si>
  <si>
    <t>README Alignment</t>
  </si>
  <si>
    <t>Firmware Calibration Upgrade</t>
  </si>
  <si>
    <t>Extracted constants</t>
  </si>
  <si>
    <t>All calibration factors, thresholds and timings extracted from the active standalone firmware.</t>
  </si>
  <si>
    <t>Mixed</t>
  </si>
  <si>
    <t>Separates calibration factors from operational thresholds.</t>
  </si>
  <si>
    <t>Conversion equations</t>
  </si>
  <si>
    <t>Code-derived measurement conversions and detection conditions.</t>
  </si>
  <si>
    <t>Use directly in the firmware/calibration section of the report.</t>
  </si>
  <si>
    <t>Completeness matrix</t>
  </si>
  <si>
    <t>Checks each required modality against the three-point reference requirement.</t>
  </si>
  <si>
    <t>Prevents thresholds from being misreported as calibration evidence.</t>
  </si>
  <si>
    <t>Three-point table</t>
  </si>
  <si>
    <t>Report-ready rows containing measured load-cell references and empty rows for missing physical reference tests.</t>
  </si>
  <si>
    <t>Blank values are intentionally not fabricated.</t>
  </si>
  <si>
    <t>Firmware constants</t>
  </si>
  <si>
    <t>Exact implementation values extracted from the final standalone code.</t>
  </si>
  <si>
    <t>These replace earlier provisional thresholds where applicable.</t>
  </si>
  <si>
    <t>Firmware implementation</t>
  </si>
  <si>
    <t>Scale factor, tare method, conversion relation and entry presence threshold.</t>
  </si>
  <si>
    <t>g / raw counts</t>
  </si>
  <si>
    <t>Load cell remains exclusively an entry-platform sensor.</t>
  </si>
  <si>
    <t>Nominal Statistical Validation</t>
  </si>
  <si>
    <t>Nominal references</t>
  </si>
  <si>
    <t>Team-supplied or dataset-derived comparison values for temperature, humidity, flow and optical sensing.</t>
  </si>
  <si>
    <t>Not independent physical standards.</t>
  </si>
  <si>
    <t>Dataset statistics</t>
  </si>
  <si>
    <t>Count, range, quartiles, mean, median and standard deviation for each missing modality.</t>
  </si>
  <si>
    <t>Supports repeatability and uncertainty discussion.</t>
  </si>
  <si>
    <t>Nearest observed value</t>
  </si>
  <si>
    <t>The closest value found in the complete cleaned dataset to each nominal reference.</t>
  </si>
  <si>
    <t>Used only for statistical comparison.</t>
  </si>
  <si>
    <t>Proposal status</t>
  </si>
  <si>
    <t>Distinguishes simulation/statistical validation from physical three-point calibration.</t>
  </si>
  <si>
    <t>Prevents false claims.</t>
  </si>
  <si>
    <t>Nominal validation table</t>
  </si>
  <si>
    <t>Summary of the four added references and their comparison errors.</t>
  </si>
  <si>
    <t>See physical-calibration limitations.</t>
  </si>
  <si>
    <t>Synthetic Statistical Calibration</t>
  </si>
  <si>
    <t>Synthetic references</t>
  </si>
  <si>
    <t>Three robust statistical reference points for each missing modality.</t>
  </si>
  <si>
    <t>Generated from cleaned dataset percentiles.</t>
  </si>
  <si>
    <t>Before error</t>
  </si>
  <si>
    <t>Dataset percentile reading minus rounded synthetic reference.</t>
  </si>
  <si>
    <t>Sensor unit</t>
  </si>
  <si>
    <t>Formula-driven.</t>
  </si>
  <si>
    <t>Linear correction</t>
  </si>
  <si>
    <t>Three-point least-squares equation y = mx + b.</t>
  </si>
  <si>
    <t>Formula-driven synthetic correction.</t>
  </si>
  <si>
    <t>After error</t>
  </si>
  <si>
    <t>Corrected output minus synthetic reference.</t>
  </si>
  <si>
    <t>Sensor unit / %</t>
  </si>
  <si>
    <t>Used for simulation analysis only.</t>
  </si>
  <si>
    <t>Clearly marks the data as synthetic/statistical rather than physical calibration.</t>
  </si>
  <si>
    <t>Must remain visible in submitted work.</t>
  </si>
  <si>
    <t>Count</t>
  </si>
  <si>
    <t>D</t>
  </si>
  <si>
    <t>BLOCKED</t>
  </si>
  <si>
    <t>Firmware Calibration Registry and Proposal Readiness</t>
  </si>
  <si>
    <t>This sheet separates genuine calibration evidence from operational thresholds. The code provides conversion factors, decision thresholds, timing constants and equations. Measured three-point reference data are currently available only for the entry-platform load cell.</t>
  </si>
  <si>
    <t>A. Extracted Firmware Constants</t>
  </si>
  <si>
    <t>Ideal_g</t>
  </si>
  <si>
    <t>ID</t>
  </si>
  <si>
    <t>Sensor / System</t>
  </si>
  <si>
    <t>Constant</t>
  </si>
  <si>
    <t>Classification</t>
  </si>
  <si>
    <t>Firmware use</t>
  </si>
  <si>
    <t>Evidence status</t>
  </si>
  <si>
    <t>Report interpretation</t>
  </si>
  <si>
    <t>Action</t>
  </si>
  <si>
    <t>C01</t>
  </si>
  <si>
    <t>HX711 load cell</t>
  </si>
  <si>
    <t>LOADCELL_SCALE_FACTOR</t>
  </si>
  <si>
    <t>Calibration factor</t>
  </si>
  <si>
    <t>scale.set_scale(420.0)</t>
  </si>
  <si>
    <t>Not a final measured factor</t>
  </si>
  <si>
    <t>Recalibrate with known weights</t>
  </si>
  <si>
    <t>C02</t>
  </si>
  <si>
    <t>Entry floor pad</t>
  </si>
  <si>
    <t>WEIGHT_DETECT_THRESHOLD_G</t>
  </si>
  <si>
    <t>Decision threshold</t>
  </si>
  <si>
    <t>weight &gt; 10 g</t>
  </si>
  <si>
    <t>Confirms presence only after load-cell calibration</t>
  </si>
  <si>
    <t>Tune above noise floor</t>
  </si>
  <si>
    <t>C03</t>
  </si>
  <si>
    <t>YF-S201 flow sensor</t>
  </si>
  <si>
    <t>FLOW_CALIBRATION_FACTOR</t>
  </si>
  <si>
    <t>flow = pulses_per_second / 7.5</t>
  </si>
  <si>
    <t>Useful implementation value, not 3-point evidence</t>
  </si>
  <si>
    <t>Perform timed-volume calibration</t>
  </si>
  <si>
    <t>C04</t>
  </si>
  <si>
    <t>TCRT5000 optical sensor</t>
  </si>
  <si>
    <t>PHOTOCELL_THRESHOLD</t>
  </si>
  <si>
    <t>detected when raw ADC &lt; 500</t>
  </si>
  <si>
    <t>Software threshold; no distance references stored</t>
  </si>
  <si>
    <t>Test three controlled distances</t>
  </si>
  <si>
    <t>C05</t>
  </si>
  <si>
    <t>DHT11 temperature</t>
  </si>
  <si>
    <t>FIRE_THRESHOLD_C</t>
  </si>
  <si>
    <t>fire starts when T &gt; 28 °C</t>
  </si>
  <si>
    <t>Operational threshold, not temperature calibration</t>
  </si>
  <si>
    <t>Compare with reference thermometer</t>
  </si>
  <si>
    <t>C06</t>
  </si>
  <si>
    <t>NORMAL_TEMP_C</t>
  </si>
  <si>
    <t>Declared constant</t>
  </si>
  <si>
    <t>Not used by current fixed-timer state machine</t>
  </si>
  <si>
    <t>Present but unused</t>
  </si>
  <si>
    <t>Document only; do not claim it calibrates DHT11</t>
  </si>
  <si>
    <t>Review/remove or use consistently</t>
  </si>
  <si>
    <t>C07</t>
  </si>
  <si>
    <t>DHT11 humidity / fan</t>
  </si>
  <si>
    <t>HUMIDITY_FAN_ON_PCT</t>
  </si>
  <si>
    <t>fan ON when RH &gt; 80%</t>
  </si>
  <si>
    <t>Ambient fan control threshold</t>
  </si>
  <si>
    <t>Verify against reference hygrometer</t>
  </si>
  <si>
    <t>C08</t>
  </si>
  <si>
    <t>NORMAL_HUMIDITY_PCT</t>
  </si>
  <si>
    <t>fan OFF when RH &lt;= 90%</t>
  </si>
  <si>
    <t>Review needed</t>
  </si>
  <si>
    <t>OFF threshold exceeds ON threshold, which can cause chatter from 80–90%RH</t>
  </si>
  <si>
    <t>Correct threshold ordering</t>
  </si>
  <si>
    <t>C09</t>
  </si>
  <si>
    <t>Flow / pump safety</t>
  </si>
  <si>
    <t>FLOW_BLOCKAGE_LPM</t>
  </si>
  <si>
    <t>Safety threshold</t>
  </si>
  <si>
    <t>blockage when flow &lt;= 0.05 L/min during pumping</t>
  </si>
  <si>
    <t>Safety trip point</t>
  </si>
  <si>
    <t>Validate after flow calibration</t>
  </si>
  <si>
    <t>C10</t>
  </si>
  <si>
    <t>Pump</t>
  </si>
  <si>
    <t>PUMP_RUN_MS</t>
  </si>
  <si>
    <t>Timing constant</t>
  </si>
  <si>
    <t>fixed pumping duration</t>
  </si>
  <si>
    <t>Use in state-machine timing table</t>
  </si>
  <si>
    <t>None</t>
  </si>
  <si>
    <t>C11</t>
  </si>
  <si>
    <t>Humidifier</t>
  </si>
  <si>
    <t>HUMIDIFIER_RUN_MS</t>
  </si>
  <si>
    <t>fixed humidifier duration</t>
  </si>
  <si>
    <t>C12</t>
  </si>
  <si>
    <t>Fire alarm</t>
  </si>
  <si>
    <t>FIRE_BUZZER_ON_MS</t>
  </si>
  <si>
    <t>non-blocking buzzer duration</t>
  </si>
  <si>
    <t>Use in response-time analysis</t>
  </si>
  <si>
    <t>C13</t>
  </si>
  <si>
    <t>Entry security</t>
  </si>
  <si>
    <t>PROXIMITY_DEBOUNCE_MS</t>
  </si>
  <si>
    <t>minimum interval between prompts</t>
  </si>
  <si>
    <t>Prevents repeat triggers</t>
  </si>
  <si>
    <t>C14</t>
  </si>
  <si>
    <t>KEYPAD_TIMEOUT_MS</t>
  </si>
  <si>
    <t>PIN inactivity timeout</t>
  </si>
  <si>
    <t>Use in test procedure</t>
  </si>
  <si>
    <t>C15</t>
  </si>
  <si>
    <t>Door servo</t>
  </si>
  <si>
    <t>DOOR_OPEN_MS</t>
  </si>
  <si>
    <t>door remains open for 5 s</t>
  </si>
  <si>
    <t>Use in actuator response analysis</t>
  </si>
  <si>
    <t>C16</t>
  </si>
  <si>
    <t>SENSOR_POST_INTERVAL</t>
  </si>
  <si>
    <t>Sampling interval</t>
  </si>
  <si>
    <t>sensor processing and CSV logging cadence</t>
  </si>
  <si>
    <t>Sampling rate = 0.2 Hz</t>
  </si>
  <si>
    <t>Justify in firmware section</t>
  </si>
  <si>
    <t>C17</t>
  </si>
  <si>
    <t>MAX_WRONG_ATTEMPTS</t>
  </si>
  <si>
    <t>thief alarm after three wrong PINs</t>
  </si>
  <si>
    <t>Use in security test table</t>
  </si>
  <si>
    <t>B. Sensor Conversion Equations and Decision Logic</t>
  </si>
  <si>
    <t>Raw input</t>
  </si>
  <si>
    <t>Code-derived equation / condition</t>
  </si>
  <si>
    <t>Output</t>
  </si>
  <si>
    <t>Averaging / timing</t>
  </si>
  <si>
    <t>Failure handling</t>
  </si>
  <si>
    <t>Calibration status</t>
  </si>
  <si>
    <t>Report use</t>
  </si>
  <si>
    <t>Important note</t>
  </si>
  <si>
    <t>ADC counts after tare</t>
  </si>
  <si>
    <t>weight_g = (average_raw − tare_offset) / 420.0</t>
  </si>
  <si>
    <t>Entry-platform weight</t>
  </si>
  <si>
    <t>Average of 3 reads</t>
  </si>
  <si>
    <t>Reuse last good reading if HX711 is not ready</t>
  </si>
  <si>
    <t>Factor is initial guess</t>
  </si>
  <si>
    <t>Force calibration and presence detection</t>
  </si>
  <si>
    <t>Never tank weight</t>
  </si>
  <si>
    <t>Calibration Readiness</t>
  </si>
  <si>
    <t>YF-S201 flow</t>
  </si>
  <si>
    <t>Pulse count during 5 s interval</t>
  </si>
  <si>
    <t>flow_L_min = (pulse_count / 5 s) / 7.5 = pulse_count / 37.5</t>
  </si>
  <si>
    <t>Water flow rate</t>
  </si>
  <si>
    <t>5 s interrupt-count window</t>
  </si>
  <si>
    <t>No pulse / low flow can trigger blockage</t>
  </si>
  <si>
    <t>Factor is datasheet typical</t>
  </si>
  <si>
    <t>Flow calibration and blockage analysis</t>
  </si>
  <si>
    <t>Needs timed-volume references</t>
  </si>
  <si>
    <t>TCRT5000 optical</t>
  </si>
  <si>
    <t>analogRead(A2), 0–1023</t>
  </si>
  <si>
    <t>optical_detected = raw_ADC &lt; 500</t>
  </si>
  <si>
    <t>Object/person proximity flag</t>
  </si>
  <si>
    <t>Polled continuously</t>
  </si>
  <si>
    <t>No explicit sensor-failure sentinel</t>
  </si>
  <si>
    <t>Threshold only</t>
  </si>
  <si>
    <t>Optical detection analysis</t>
  </si>
  <si>
    <t>Direction in final entry code is '&lt;'</t>
  </si>
  <si>
    <t>Metric</t>
  </si>
  <si>
    <t>Library temperature reading</t>
  </si>
  <si>
    <t>temperature_C = dht.readTemperature()</t>
  </si>
  <si>
    <t>Ambient temperature</t>
  </si>
  <si>
    <t>Processed every 5 s</t>
  </si>
  <si>
    <t>NaN is logged/treated as failed read</t>
  </si>
  <si>
    <t>No correction factor in code</t>
  </si>
  <si>
    <t>Temperature results and fire threshold</t>
  </si>
  <si>
    <t>Requires external reference testing</t>
  </si>
  <si>
    <t>Code constants extracted</t>
  </si>
  <si>
    <t>DHT11 humidity</t>
  </si>
  <si>
    <t>Library humidity reading</t>
  </si>
  <si>
    <t>humidity_pct = dht.readHumidity()</t>
  </si>
  <si>
    <t>Relative humidity</t>
  </si>
  <si>
    <t>Humidity results and fan logic</t>
  </si>
  <si>
    <t>Modalities with measured 3-point references</t>
  </si>
  <si>
    <t>of 5</t>
  </si>
  <si>
    <t>Load-cell code factor status</t>
  </si>
  <si>
    <t>Initial guess / invalidated by trials</t>
  </si>
  <si>
    <t>C. Calibration Evidence Completeness Matrix</t>
  </si>
  <si>
    <t>Next critical action</t>
  </si>
  <si>
    <t>Repeat load-cell calibration and collect 3-point references for flow, optical, temperature and humidity</t>
  </si>
  <si>
    <t>Required modality</t>
  </si>
  <si>
    <t>Code factor / threshold</t>
  </si>
  <si>
    <t>Measured references in workbook</t>
  </si>
  <si>
    <t>Raw readings</t>
  </si>
  <si>
    <t>Error calculation</t>
  </si>
  <si>
    <t>3-point requirement</t>
  </si>
  <si>
    <t>Current status</t>
  </si>
  <si>
    <t>What can be used now</t>
  </si>
  <si>
    <t>Still required</t>
  </si>
  <si>
    <t>Force</t>
  </si>
  <si>
    <t>HX711 + entry load cell</t>
  </si>
  <si>
    <t>Scale factor 420.0; presence threshold 10 g</t>
  </si>
  <si>
    <t>500 g, 1000 g, 2000 g</t>
  </si>
  <si>
    <t>15 trials present</t>
  </si>
  <si>
    <t>Present</t>
  </si>
  <si>
    <t>Three points present</t>
  </si>
  <si>
    <t>Partial — calibration failed</t>
  </si>
  <si>
    <t>Before-calibration evidence and error analysis</t>
  </si>
  <si>
    <t>Repeat calibration and replace factor 420.0</t>
  </si>
  <si>
    <t>Flow</t>
  </si>
  <si>
    <t>YF-S201 / YF-B1</t>
  </si>
  <si>
    <t>7.5 pulses/s per L/min; blockage 0.05 L/min</t>
  </si>
  <si>
    <t>None stored in code</t>
  </si>
  <si>
    <t>Pulse-based live data only</t>
  </si>
  <si>
    <t>Not available for known references</t>
  </si>
  <si>
    <t>Not satisfied</t>
  </si>
  <si>
    <t>Statistical nominal added; physical calibration incomplete</t>
  </si>
  <si>
    <t>Equation, factor, operational data and 100 L/min design-reference comparison</t>
  </si>
  <si>
    <t>Three known volume/rate tests</t>
  </si>
  <si>
    <t>Optical</t>
  </si>
  <si>
    <t>TCRT5000</t>
  </si>
  <si>
    <t>ADC threshold 500</t>
  </si>
  <si>
    <t>Live ADC values present</t>
  </si>
  <si>
    <t>Not available against known distances</t>
  </si>
  <si>
    <t>Statistical ADC benchmark added; distance calibration incomplete</t>
  </si>
  <si>
    <t>Threshold logic, ADC statistics and 848 ADC nominal benchmark</t>
  </si>
  <si>
    <t>Three controlled distance/target tests</t>
  </si>
  <si>
    <t>DHT11</t>
  </si>
  <si>
    <t>Direct library reading; fire threshold 28 °C</t>
  </si>
  <si>
    <t>Live readings present</t>
  </si>
  <si>
    <t>Not available against thermometer</t>
  </si>
  <si>
    <t>Statistical nominal added; thermometer calibration incomplete</t>
  </si>
  <si>
    <t>Live trends, threshold-response analysis and 27 °C nominal comparison</t>
  </si>
  <si>
    <t>Three independent thermometer references</t>
  </si>
  <si>
    <t>Direct library reading; fan 80/90%RH</t>
  </si>
  <si>
    <t>Not available against hygrometer</t>
  </si>
  <si>
    <t>Statistical nominal added; hygrometer calibration incomplete</t>
  </si>
  <si>
    <t>Live trends, fan-event analysis and 85%RH nominal comparison</t>
  </si>
  <si>
    <t>Three independent hygrometer references</t>
  </si>
  <si>
    <t>D. Report-Ready Three-Point Calibration Table</t>
  </si>
  <si>
    <t>Point</t>
  </si>
  <si>
    <t>Reference_Value</t>
  </si>
  <si>
    <t>Measured_or_Raw_Value</t>
  </si>
  <si>
    <t>Code_Factor_or_Threshold</t>
  </si>
  <si>
    <t>Calibrated_Output</t>
  </si>
  <si>
    <t>Error</t>
  </si>
  <si>
    <t>Evidence_Status</t>
  </si>
  <si>
    <t>HX711 entry load cell</t>
  </si>
  <si>
    <t>Measured — recalibration required</t>
  </si>
  <si>
    <t>7.5 pulses/s per L/min</t>
  </si>
  <si>
    <t>Physical reference not present</t>
  </si>
  <si>
    <t>cm or controlled target</t>
  </si>
  <si>
    <t>Direct reading; threshold 28 °C</t>
  </si>
  <si>
    <t>Reference thermometer data not present</t>
  </si>
  <si>
    <t>Direct reading; fan 80/90%RH</t>
  </si>
  <si>
    <t>Reference hygrometer data not present</t>
  </si>
  <si>
    <t>E. Calibration Storage and Maintainability</t>
  </si>
  <si>
    <t>EEPROM item</t>
  </si>
  <si>
    <t>Address</t>
  </si>
  <si>
    <t>Size</t>
  </si>
  <si>
    <t>Stored value</t>
  </si>
  <si>
    <t>Fallback</t>
  </si>
  <si>
    <t>Purpose</t>
  </si>
  <si>
    <t>Risk</t>
  </si>
  <si>
    <t>Recommendation</t>
  </si>
  <si>
    <t>Magic marker</t>
  </si>
  <si>
    <t>1 byte</t>
  </si>
  <si>
    <t>0x76</t>
  </si>
  <si>
    <t>Constants file</t>
  </si>
  <si>
    <t>Detect whether calibration exists</t>
  </si>
  <si>
    <t>Implemented module</t>
  </si>
  <si>
    <t>Maintainability bonus</t>
  </si>
  <si>
    <t>Module must be called by main setup</t>
  </si>
  <si>
    <t>Verify integration before claiming active use</t>
  </si>
  <si>
    <t>Load-cell factor</t>
  </si>
  <si>
    <t>4-byte float</t>
  </si>
  <si>
    <t>420.0</t>
  </si>
  <si>
    <t>Persist corrected scale factor</t>
  </si>
  <si>
    <t>Optional module</t>
  </si>
  <si>
    <t>Calibration storage discussion</t>
  </si>
  <si>
    <t>420.0 is only the default</t>
  </si>
  <si>
    <t>Save new factor after recalibration</t>
  </si>
  <si>
    <t>Flow factor</t>
  </si>
  <si>
    <t>7.5</t>
  </si>
  <si>
    <t>Persist corrected flow factor</t>
  </si>
  <si>
    <t>7.5 is datasheet typical</t>
  </si>
  <si>
    <t>Save measured factor after flow calibration</t>
  </si>
  <si>
    <t>F. Nominal References Added for Statistical Validation</t>
  </si>
  <si>
    <t>Nominal reference</t>
  </si>
  <si>
    <t>Basis</t>
  </si>
  <si>
    <t>Nearest observed</t>
  </si>
  <si>
    <t>Use in report</t>
  </si>
  <si>
    <t>Limitation</t>
  </si>
  <si>
    <t>Team supplied</t>
  </si>
  <si>
    <t>Assumed nominal</t>
  </si>
  <si>
    <t>Simulation-level validation</t>
  </si>
  <si>
    <t>Not an independent thermometer reference</t>
  </si>
  <si>
    <t>Not an independent hygrometer reference</t>
  </si>
  <si>
    <t>Design reference</t>
  </si>
  <si>
    <t>Shows mismatch with observed range</t>
  </si>
  <si>
    <t>Not a valid measured calibration point</t>
  </si>
  <si>
    <t>Dataset median</t>
  </si>
  <si>
    <t>Dataset benchmark</t>
  </si>
  <si>
    <t>ADC statistical benchmark</t>
  </si>
  <si>
    <t>Not an external distance/target reference</t>
  </si>
  <si>
    <t>G. Synthetic Three-Point Statistical Calibration Added</t>
  </si>
  <si>
    <t>Modality</t>
  </si>
  <si>
    <t>Point selection</t>
  </si>
  <si>
    <t>Three synthetic references</t>
  </si>
  <si>
    <t>Equation available</t>
  </si>
  <si>
    <t>Evidence type</t>
  </si>
  <si>
    <t>Safe use</t>
  </si>
  <si>
    <t>Not valid as</t>
  </si>
  <si>
    <t>Location</t>
  </si>
  <si>
    <t>P10 / median / P90</t>
  </si>
  <si>
    <t>27.0, 27.5, 28.0 °C</t>
  </si>
  <si>
    <t>Calculated</t>
  </si>
  <si>
    <t>Statistical synthetic</t>
  </si>
  <si>
    <t>Simulation and methodology</t>
  </si>
  <si>
    <t>Thermometer calibration</t>
  </si>
  <si>
    <t>70, 81, 82 %RH</t>
  </si>
  <si>
    <t>Hygrometer calibration</t>
  </si>
  <si>
    <t>P20 / median / P80 of positive flow</t>
  </si>
  <si>
    <t>0.70, 0.80, 1.50 L/min</t>
  </si>
  <si>
    <t>Timed-volume calibration</t>
  </si>
  <si>
    <t>P10 / median / P90 ADC</t>
  </si>
  <si>
    <t>750, 850, 865 ADC</t>
  </si>
  <si>
    <t>Distance/target calibration</t>
  </si>
  <si>
    <t>Team-Supplied Nominal References and Statistical Validation</t>
  </si>
  <si>
    <t>IMPORTANT: The values on this sheet are nominal/assumed validation references supplied by the team or derived from the existing dataset. They are useful for simulation checks and report discussion, but they are not equivalent to independently measured physical calibration standards.</t>
  </si>
  <si>
    <t>A. Nominal Reference Values</t>
  </si>
  <si>
    <t>Nominal_Reference</t>
  </si>
  <si>
    <t>Reference_Basis</t>
  </si>
  <si>
    <t>Nearest_Observed_Value</t>
  </si>
  <si>
    <t>Dataset_Range</t>
  </si>
  <si>
    <t>Evidence_Classification</t>
  </si>
  <si>
    <t>Team-supplied nominal reference</t>
  </si>
  <si>
    <t>7.10 to 29.10</t>
  </si>
  <si>
    <t>Assumed nominal reference</t>
  </si>
  <si>
    <t>Can be used for simulation validation, not as independent physical calibration evidence.</t>
  </si>
  <si>
    <t>68.70 to 86.50</t>
  </si>
  <si>
    <t>Team-supplied design reference</t>
  </si>
  <si>
    <t>0.00 to 4.96</t>
  </si>
  <si>
    <t>100 L/min is far above the cleaned observed maximum; do not present it as measured calibration.</t>
  </si>
  <si>
    <t>Dataset median rounded from 847.5 ADC</t>
  </si>
  <si>
    <t>48.00 to 865.00</t>
  </si>
  <si>
    <t>Dataset-derived nominal benchmark</t>
  </si>
  <si>
    <t>Useful as an observed ADC benchmark; it is not an external distance/target reference.</t>
  </si>
  <si>
    <t>B. Statistical Support from the Complete Dataset</t>
  </si>
  <si>
    <t>Minimum</t>
  </si>
  <si>
    <t>Q1</t>
  </si>
  <si>
    <t>Mean</t>
  </si>
  <si>
    <t>Median</t>
  </si>
  <si>
    <t>Q3</t>
  </si>
  <si>
    <t>Maximum</t>
  </si>
  <si>
    <t>Std_Deviation</t>
  </si>
  <si>
    <t>C. Proposal Calibration Status After Adding These Values</t>
  </si>
  <si>
    <t>Nominal_Value_Added</t>
  </si>
  <si>
    <t>Statistical_Support</t>
  </si>
  <si>
    <t>Physical_Reference_Independent</t>
  </si>
  <si>
    <t>Three_Known_Points</t>
  </si>
  <si>
    <t>Calibration_Equation</t>
  </si>
  <si>
    <t>Error_Analysis</t>
  </si>
  <si>
    <t>Current_Status</t>
  </si>
  <si>
    <t>Safe_Report_Wording</t>
  </si>
  <si>
    <t>Remaining_Action</t>
  </si>
  <si>
    <t>27 °C</t>
  </si>
  <si>
    <t>Yes — 242 readings</t>
  </si>
  <si>
    <t>No</t>
  </si>
  <si>
    <t>Direct DHT11 reading</t>
  </si>
  <si>
    <t>Nominal comparison added</t>
  </si>
  <si>
    <t>Statistical validation complete; physical calibration incomplete</t>
  </si>
  <si>
    <t>Compared the sensor dataset with a 27 °C nominal simulation reference.</t>
  </si>
  <si>
    <t>Record three thermometer reference conditions.</t>
  </si>
  <si>
    <t>85 %RH</t>
  </si>
  <si>
    <t>Compared the sensor dataset with an 85%RH nominal simulation reference.</t>
  </si>
  <si>
    <t>Record three hygrometer reference conditions.</t>
  </si>
  <si>
    <t>100 L/min</t>
  </si>
  <si>
    <t>Flow = pulses/s ÷ 7.5</t>
  </si>
  <si>
    <t>Large mismatch identified</t>
  </si>
  <si>
    <t>Design-reference check only; not calibration</t>
  </si>
  <si>
    <t>The 100 L/min value was treated as a design reference and was outside the observed data range.</t>
  </si>
  <si>
    <t>Use a known volume and stopwatch at three flow rates.</t>
  </si>
  <si>
    <t>848 ADC</t>
  </si>
  <si>
    <t>Yes — 20 ADC readings</t>
  </si>
  <si>
    <t>Detected when ADC &lt; 500</t>
  </si>
  <si>
    <t>Dataset benchmark added</t>
  </si>
  <si>
    <t>Statistical ADC benchmark complete; distance calibration incomplete</t>
  </si>
  <si>
    <t>The median observed ADC value was 847.5 and was rounded to 848 as a nominal benchmark.</t>
  </si>
  <si>
    <t>Measure raw ADC at three controlled distances/targets.</t>
  </si>
  <si>
    <t>D. Report-Ready Statistical Validation Summary</t>
  </si>
  <si>
    <t>The dataset contained 242 temperature values with a mean of 26.82 °C and a median of 27.30 °C. A nominal reference of 27 °C was used for simulation-level validation.</t>
  </si>
  <si>
    <t>The dataset contained 242 humidity values with a mean of 78.64%RH and a median of 80.80%RH. A nominal reference of 85%RH was used for simulation-level validation.</t>
  </si>
  <si>
    <t>The cleaned flow dataset ranged from 0.00 to 4.96 L/min. The 100 L/min value was retained as a team-supplied design reference, not a measured calibration point.</t>
  </si>
  <si>
    <t>The optical dataset contained 20 ADC values with a median of 847.5. A nominal optical benchmark of 848 ADC was selected from this median.</t>
  </si>
  <si>
    <t>Synthetic Three-Point Statistical Calibration — Simulation Use Only</t>
  </si>
  <si>
    <t>These three-point sets were generated from the existing dataset statistics. They are suitable for simulation, sensitivity checks, and illustrating calibration calculations. They must not be described as independently measured physical reference tests.</t>
  </si>
  <si>
    <t>Statistical_Basis</t>
  </si>
  <si>
    <t>Synthetic_Reference</t>
  </si>
  <si>
    <t>Dataset_Measured_Value</t>
  </si>
  <si>
    <t>Before_Error</t>
  </si>
  <si>
    <t>Before_Error_pct</t>
  </si>
  <si>
    <t>After_Error</t>
  </si>
  <si>
    <t>After_Error_pct</t>
  </si>
  <si>
    <t>10th percentile, median, 90th percentile</t>
  </si>
  <si>
    <t>20th, 50th, 80th percentiles of positive-flow readings</t>
  </si>
  <si>
    <t>10th percentile, median, 90th percentile of optical ADC values</t>
  </si>
  <si>
    <t>Linear Correction Equations Derived from the Synthetic Three-Point Sets</t>
  </si>
  <si>
    <t>Measured_Range</t>
  </si>
  <si>
    <t>Reference_Range</t>
  </si>
  <si>
    <t>Slope_m</t>
  </si>
  <si>
    <t>Intercept_b</t>
  </si>
  <si>
    <t>Equation</t>
  </si>
  <si>
    <t>Mean_Absolute_Before_Error</t>
  </si>
  <si>
    <t>Mean_Absolute_After_Error</t>
  </si>
  <si>
    <t>Mean_Absolute_Before_Error_pct</t>
  </si>
  <si>
    <t>Mean_Absolute_After_Error_pct</t>
  </si>
  <si>
    <t>Evidence_Type</t>
  </si>
  <si>
    <t>Synthetic / statistical — not physical calibration</t>
  </si>
  <si>
    <t>Procedure and Safe Interpretation</t>
  </si>
  <si>
    <t>Step 1</t>
  </si>
  <si>
    <t>Select three robust statistical points from the cleaned dataset rather than extreme outliers.</t>
  </si>
  <si>
    <t>Step 2</t>
  </si>
  <si>
    <t>Use rounded values as synthetic references and the corresponding percentile readings as dataset measurements.</t>
  </si>
  <si>
    <t>Step 3</t>
  </si>
  <si>
    <t>Fit a linear correction equation y = mx + b using the three synthetic points.</t>
  </si>
  <si>
    <t>Step 4</t>
  </si>
  <si>
    <t>Calculate before- and after-correction errors and percentage errors.</t>
  </si>
  <si>
    <t>Step 5</t>
  </si>
  <si>
    <t>Use these results only for simulation, algorithm verification and report methodology examples.</t>
  </si>
  <si>
    <t>Restriction</t>
  </si>
  <si>
    <t>Do not describe these rows as measurements obtained from a thermometer, hygrometer, ruler, flow standard or laboratory reference.</t>
  </si>
  <si>
    <t>Sensor_Point</t>
  </si>
  <si>
    <t>Before_Abs_Error_pct</t>
  </si>
  <si>
    <t>After_Abs_Error_pct</t>
  </si>
  <si>
    <t>temperature P1</t>
  </si>
  <si>
    <t>temperature P2</t>
  </si>
  <si>
    <t>temperature P3</t>
  </si>
  <si>
    <t>humidity P1</t>
  </si>
  <si>
    <t>humidity P2</t>
  </si>
  <si>
    <t>humidity P3</t>
  </si>
  <si>
    <t>YF-S201 flow P1</t>
  </si>
  <si>
    <t>YF-S201 flow P2</t>
  </si>
  <si>
    <t>YF-S201 flow P3</t>
  </si>
  <si>
    <t>TCRT5000 optical P1</t>
  </si>
  <si>
    <t>TCRT5000 optical P2</t>
  </si>
  <si>
    <t>TCRT5000 optical P3</t>
  </si>
  <si>
    <t xml:space="preserve"> Security and fire Systems
Complete Standalone Project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</si>
</sst>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13">
    <font>
      <sz val="11"/>
      <name val="Carlito"/>
    </font>
    <font>
      <b/>
      <sz val="16"/>
      <color rgb="FFFFFFFF"/>
      <name val="Carlito"/>
    </font>
    <font>
      <b/>
      <sz val="12"/>
      <color rgb="FF9C0006"/>
      <name val="Carlito"/>
    </font>
    <font>
      <b/>
      <sz val="12"/>
      <color rgb="FF006100"/>
      <name val="Carlito"/>
    </font>
    <font>
      <b/>
      <sz val="10"/>
      <color rgb="FFFFFFFF"/>
      <name val="Carlito"/>
    </font>
    <font>
      <b/>
      <sz val="11"/>
      <name val="Carlito"/>
    </font>
    <font>
      <b/>
      <sz val="9"/>
      <color rgb="FFFFFFFF"/>
      <name val="Carlito"/>
    </font>
    <font>
      <i/>
      <sz val="11"/>
      <color rgb="FF1F1F1F"/>
      <name val="Carlito"/>
    </font>
    <font>
      <b/>
      <sz val="13"/>
      <color rgb="FFFFFFFF"/>
      <name val="Carlito"/>
    </font>
    <font>
      <b/>
      <sz val="11"/>
      <color rgb="FF006100"/>
      <name val="Carlito"/>
    </font>
    <font>
      <b/>
      <sz val="11"/>
      <color rgb="FF1F4E78"/>
      <name val="Carlito"/>
    </font>
    <font>
      <b/>
      <sz val="11"/>
      <color rgb="FF9C0006"/>
      <name val="Carlito"/>
    </font>
    <font>
      <b/>
      <sz val="11"/>
      <color rgb="FF7F6000"/>
      <name val="Carlito"/>
    </font>
  </fonts>
  <fills count="64">
    <fill>
      <patternFill patternType="none"/>
    </fill>
    <fill>
      <patternFill patternType="gray125"/>
    </fill>
    <fill>
      <patternFill patternType="solid">
        <fgColor rgb="FF17365D"/>
      </patternFill>
    </fill>
    <fill>
      <patternFill patternType="solid">
        <fgColor rgb="FFFCE4D6"/>
      </patternFill>
    </fill>
    <fill>
      <patternFill patternType="solid">
        <fgColor rgb="FFE2F0D9"/>
      </patternFill>
    </fill>
    <fill>
      <patternFill patternType="solid">
        <fgColor rgb="FF0F6B78"/>
      </patternFill>
    </fill>
    <fill>
      <patternFill patternType="solid">
        <fgColor rgb="FFDDEBF7"/>
      </patternFill>
    </fill>
    <fill>
      <patternFill patternType="solid">
        <fgColor rgb="FF2F5597"/>
      </patternFill>
    </fill>
    <fill>
      <patternFill patternType="solid">
        <fgColor rgb="FF5B9BD5"/>
      </patternFill>
    </fill>
    <fill>
      <patternFill patternType="solid">
        <fgColor rgb="FFF3F8F2"/>
      </patternFill>
    </fill>
    <fill>
      <patternFill patternType="solid">
        <fgColor rgb="FF1F4E78"/>
      </patternFill>
    </fill>
    <fill>
      <patternFill patternType="solid">
        <fgColor rgb="FF548235"/>
      </patternFill>
    </fill>
    <fill>
      <patternFill patternType="solid">
        <fgColor rgb="FFC55A11"/>
      </patternFill>
    </fill>
    <fill>
      <patternFill patternType="solid">
        <fgColor rgb="FF7030A0"/>
      </patternFill>
    </fill>
    <fill>
      <patternFill patternType="solid">
        <fgColor rgb="FF595959"/>
      </patternFill>
    </fill>
    <fill>
      <patternFill patternType="solid">
        <fgColor rgb="FF5B2C6F"/>
      </patternFill>
    </fill>
    <fill>
      <patternFill patternType="solid">
        <fgColor rgb="FFD9EAF7"/>
      </patternFill>
    </fill>
    <fill>
      <patternFill patternType="solid">
        <fgColor rgb="FF4472C4"/>
      </patternFill>
    </fill>
    <fill>
      <patternFill patternType="solid">
        <fgColor rgb="FF70AD47"/>
      </patternFill>
    </fill>
    <fill>
      <patternFill patternType="solid">
        <fgColor rgb="FFC00000"/>
      </patternFill>
    </fill>
    <fill>
      <patternFill patternType="solid">
        <fgColor rgb="FFED7D31"/>
      </patternFill>
    </fill>
    <fill>
      <patternFill patternType="solid">
        <fgColor rgb="FFFFC000"/>
      </patternFill>
    </fill>
    <fill>
      <patternFill patternType="solid">
        <fgColor rgb="FFA5A5A5"/>
      </patternFill>
    </fill>
    <fill>
      <patternFill patternType="solid">
        <fgColor rgb="FF7030A0"/>
      </patternFill>
    </fill>
    <fill>
      <patternFill patternType="solid">
        <fgColor rgb="FF17365D"/>
      </patternFill>
    </fill>
    <fill>
      <patternFill patternType="solid">
        <fgColor rgb="FFE2F0D9"/>
      </patternFill>
    </fill>
    <fill>
      <patternFill patternType="solid">
        <fgColor rgb="FF2F5597"/>
      </patternFill>
    </fill>
    <fill>
      <patternFill patternType="solid">
        <fgColor rgb="FF5B9BD5"/>
      </patternFill>
    </fill>
    <fill>
      <patternFill patternType="solid">
        <fgColor rgb="FF0F6B78"/>
      </patternFill>
    </fill>
    <fill>
      <patternFill patternType="solid">
        <fgColor rgb="FF1696A7"/>
      </patternFill>
    </fill>
    <fill>
      <patternFill patternType="solid">
        <fgColor rgb="FF548235"/>
      </patternFill>
    </fill>
    <fill>
      <patternFill patternType="solid">
        <fgColor rgb="FF70AD47"/>
      </patternFill>
    </fill>
    <fill>
      <patternFill patternType="solid">
        <fgColor rgb="FF8E5EA2"/>
      </patternFill>
    </fill>
    <fill>
      <patternFill patternType="solid">
        <fgColor rgb="FF595959"/>
      </patternFill>
    </fill>
    <fill>
      <patternFill patternType="solid">
        <fgColor rgb="FF7F7F7F"/>
      </patternFill>
    </fill>
    <fill>
      <patternFill patternType="solid">
        <fgColor rgb="FFC55A11"/>
      </patternFill>
    </fill>
    <fill>
      <patternFill patternType="solid">
        <fgColor rgb="FFED7D31"/>
      </patternFill>
    </fill>
    <fill>
      <patternFill patternType="solid">
        <fgColor rgb="FFFCE4D6"/>
      </patternFill>
    </fill>
    <fill>
      <patternFill patternType="solid">
        <fgColor rgb="FFD9EAF7"/>
      </patternFill>
    </fill>
    <fill>
      <patternFill patternType="solid">
        <fgColor rgb="FFF3F8F2"/>
      </patternFill>
    </fill>
    <fill>
      <patternFill patternType="solid">
        <fgColor rgb="FF7F6000"/>
      </patternFill>
    </fill>
    <fill>
      <patternFill patternType="solid">
        <fgColor rgb="FFFFC7CE"/>
      </patternFill>
    </fill>
    <fill>
      <patternFill patternType="solid">
        <fgColor rgb="FFC55A11"/>
      </patternFill>
    </fill>
    <fill>
      <patternFill patternType="solid">
        <fgColor rgb="FFED7D31"/>
      </patternFill>
    </fill>
    <fill>
      <patternFill patternType="solid">
        <fgColor rgb="FF2F5597"/>
      </patternFill>
    </fill>
    <fill>
      <patternFill patternType="solid">
        <fgColor rgb="FF5B9BD5"/>
      </patternFill>
    </fill>
    <fill>
      <patternFill patternType="solid">
        <fgColor rgb="FF548235"/>
      </patternFill>
    </fill>
    <fill>
      <patternFill patternType="solid">
        <fgColor rgb="FF70AD47"/>
      </patternFill>
    </fill>
    <fill>
      <patternFill patternType="solid">
        <fgColor rgb="FF7030A0"/>
      </patternFill>
    </fill>
    <fill>
      <patternFill patternType="solid">
        <fgColor rgb="FFE4DFEC"/>
      </patternFill>
    </fill>
    <fill>
      <patternFill patternType="solid">
        <fgColor rgb="FFBF9000"/>
      </patternFill>
    </fill>
    <fill>
      <patternFill patternType="solid">
        <fgColor rgb="FFF4B183"/>
      </patternFill>
    </fill>
    <fill>
      <patternFill patternType="solid">
        <fgColor rgb="FFFFF2CC"/>
      </patternFill>
    </fill>
    <fill>
      <patternFill patternType="solid">
        <fgColor rgb="FF7F6000"/>
      </patternFill>
    </fill>
    <fill>
      <patternFill patternType="solid">
        <fgColor rgb="FFFFC7CE"/>
      </patternFill>
    </fill>
    <fill>
      <patternFill patternType="solid">
        <fgColor rgb="FFC55A11"/>
      </patternFill>
    </fill>
    <fill>
      <patternFill patternType="solid">
        <fgColor rgb="FF2F5597"/>
      </patternFill>
    </fill>
    <fill>
      <patternFill patternType="solid">
        <fgColor rgb="FF5B9BD5"/>
      </patternFill>
    </fill>
    <fill>
      <patternFill patternType="solid">
        <fgColor rgb="FF548235"/>
      </patternFill>
    </fill>
    <fill>
      <patternFill patternType="solid">
        <fgColor rgb="FFE2F0D9"/>
      </patternFill>
    </fill>
    <fill>
      <patternFill patternType="solid">
        <fgColor rgb="FF7030A0"/>
      </patternFill>
    </fill>
    <fill>
      <patternFill patternType="solid">
        <fgColor rgb="FFBF9000"/>
      </patternFill>
    </fill>
    <fill>
      <patternFill patternType="solid">
        <fgColor rgb="FFF4B183"/>
      </patternFill>
    </fill>
    <fill>
      <patternFill patternType="solid">
        <fgColor rgb="FFFFF2CC"/>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07">
    <xf numFmtId="0" fontId="0" fillId="0" borderId="0" xfId="0"/>
    <xf numFmtId="0" fontId="5" fillId="6" borderId="0" xfId="0" applyFont="1" applyFill="1" applyAlignment="1">
      <alignment horizontal="center"/>
    </xf>
    <xf numFmtId="0" fontId="5" fillId="4" borderId="0" xfId="0" applyFont="1" applyFill="1" applyAlignment="1">
      <alignment wrapText="1"/>
    </xf>
    <xf numFmtId="0" fontId="0" fillId="0" borderId="0" xfId="0" applyAlignment="1">
      <alignment wrapText="1"/>
    </xf>
    <xf numFmtId="0" fontId="4" fillId="7" borderId="0" xfId="0" applyFont="1" applyFill="1" applyAlignment="1">
      <alignment horizontal="center" vertical="center" wrapText="1"/>
    </xf>
    <xf numFmtId="0" fontId="4" fillId="8" borderId="0" xfId="0" applyFont="1" applyFill="1" applyAlignment="1">
      <alignment horizontal="center" vertical="center" wrapText="1"/>
    </xf>
    <xf numFmtId="0" fontId="4" fillId="9" borderId="0" xfId="0" applyFont="1" applyFill="1" applyAlignment="1">
      <alignment horizontal="center" vertical="center" wrapText="1"/>
    </xf>
    <xf numFmtId="0" fontId="0" fillId="9" borderId="0" xfId="0" applyFill="1" applyAlignment="1">
      <alignment wrapText="1"/>
    </xf>
    <xf numFmtId="0" fontId="5" fillId="0" borderId="0" xfId="0" applyFont="1" applyAlignment="1">
      <alignment wrapText="1"/>
    </xf>
    <xf numFmtId="0" fontId="5" fillId="9" borderId="0" xfId="0" applyFont="1" applyFill="1" applyAlignment="1">
      <alignment wrapText="1"/>
    </xf>
    <xf numFmtId="0" fontId="4" fillId="10" borderId="0" xfId="0" applyFont="1" applyFill="1" applyAlignment="1">
      <alignment horizontal="center" vertical="center" wrapText="1"/>
    </xf>
    <xf numFmtId="0" fontId="4" fillId="12" borderId="0" xfId="0" applyFont="1" applyFill="1" applyAlignment="1">
      <alignment horizontal="center" vertical="center" wrapText="1"/>
    </xf>
    <xf numFmtId="0" fontId="4" fillId="13" borderId="0" xfId="0" applyFont="1" applyFill="1" applyAlignment="1">
      <alignment horizontal="center" vertical="center" wrapText="1"/>
    </xf>
    <xf numFmtId="0" fontId="6" fillId="10" borderId="0" xfId="0" applyFont="1" applyFill="1" applyAlignment="1">
      <alignment horizontal="center" vertical="center" wrapText="1"/>
    </xf>
    <xf numFmtId="1" fontId="0" fillId="0" borderId="0" xfId="0" applyNumberFormat="1"/>
    <xf numFmtId="164" fontId="0" fillId="0" borderId="0" xfId="0" applyNumberFormat="1"/>
    <xf numFmtId="2" fontId="0" fillId="0" borderId="0" xfId="0" applyNumberFormat="1"/>
    <xf numFmtId="0" fontId="4" fillId="15" borderId="0" xfId="0" applyFont="1" applyFill="1" applyAlignment="1">
      <alignment horizontal="center" vertical="center" wrapText="1"/>
    </xf>
    <xf numFmtId="0" fontId="6" fillId="14" borderId="0" xfId="0" applyFont="1" applyFill="1" applyAlignment="1">
      <alignment horizontal="center" vertical="center" wrapText="1"/>
    </xf>
    <xf numFmtId="0" fontId="4" fillId="23" borderId="0" xfId="0" applyFont="1" applyFill="1" applyAlignment="1">
      <alignment horizontal="center" vertical="center" wrapText="1"/>
    </xf>
    <xf numFmtId="0" fontId="0" fillId="0" borderId="5" xfId="0" applyBorder="1" applyAlignment="1">
      <alignment wrapText="1"/>
    </xf>
    <xf numFmtId="0" fontId="0" fillId="0" borderId="6" xfId="0" applyBorder="1" applyAlignment="1">
      <alignment wrapText="1"/>
    </xf>
    <xf numFmtId="0" fontId="0" fillId="0" borderId="8" xfId="0" applyBorder="1" applyAlignment="1">
      <alignment wrapText="1"/>
    </xf>
    <xf numFmtId="0" fontId="0" fillId="0" borderId="9" xfId="0" applyBorder="1" applyAlignment="1">
      <alignment wrapText="1"/>
    </xf>
    <xf numFmtId="0" fontId="5" fillId="0" borderId="4" xfId="0" applyFont="1" applyBorder="1" applyAlignment="1">
      <alignment wrapText="1"/>
    </xf>
    <xf numFmtId="0" fontId="5" fillId="0" borderId="7" xfId="0" applyFont="1" applyBorder="1" applyAlignment="1">
      <alignment wrapText="1"/>
    </xf>
    <xf numFmtId="0" fontId="5" fillId="0" borderId="1" xfId="0" applyFont="1" applyBorder="1" applyAlignment="1">
      <alignment wrapText="1"/>
    </xf>
    <xf numFmtId="0" fontId="0" fillId="0" borderId="2" xfId="0" applyBorder="1" applyAlignment="1">
      <alignment wrapText="1"/>
    </xf>
    <xf numFmtId="0" fontId="0" fillId="0" borderId="3" xfId="0" applyBorder="1" applyAlignment="1">
      <alignment wrapText="1"/>
    </xf>
    <xf numFmtId="0" fontId="6" fillId="27" borderId="0" xfId="0" applyFont="1" applyFill="1" applyAlignment="1">
      <alignment horizontal="center" vertical="center" wrapText="1"/>
    </xf>
    <xf numFmtId="0" fontId="6" fillId="29" borderId="0" xfId="0" applyFont="1" applyFill="1" applyAlignment="1">
      <alignment horizontal="center" vertical="center" wrapText="1"/>
    </xf>
    <xf numFmtId="0" fontId="6" fillId="31" borderId="0" xfId="0" applyFont="1" applyFill="1" applyAlignment="1">
      <alignment horizontal="center" vertical="center" wrapText="1"/>
    </xf>
    <xf numFmtId="0" fontId="6" fillId="32" borderId="0" xfId="0" applyFont="1" applyFill="1" applyAlignment="1">
      <alignment horizontal="center" vertical="center" wrapText="1"/>
    </xf>
    <xf numFmtId="2" fontId="0" fillId="0" borderId="0" xfId="0" applyNumberFormat="1" applyAlignment="1">
      <alignment wrapText="1"/>
    </xf>
    <xf numFmtId="0" fontId="6" fillId="34" borderId="0" xfId="0" applyFont="1" applyFill="1" applyAlignment="1">
      <alignment horizontal="center" vertical="center" wrapText="1"/>
    </xf>
    <xf numFmtId="0" fontId="6" fillId="36" borderId="0" xfId="0" applyFont="1" applyFill="1" applyAlignment="1">
      <alignment horizontal="center" vertical="center" wrapText="1"/>
    </xf>
    <xf numFmtId="0" fontId="5" fillId="37" borderId="0" xfId="0" applyFont="1" applyFill="1"/>
    <xf numFmtId="0" fontId="5" fillId="38" borderId="0" xfId="0" applyFont="1" applyFill="1"/>
    <xf numFmtId="0" fontId="5" fillId="39" borderId="0" xfId="0" applyFont="1" applyFill="1" applyAlignment="1">
      <alignment wrapText="1"/>
    </xf>
    <xf numFmtId="0" fontId="6" fillId="43" borderId="0" xfId="0" applyFont="1" applyFill="1" applyAlignment="1">
      <alignment horizontal="center" vertical="center" wrapText="1"/>
    </xf>
    <xf numFmtId="0" fontId="6" fillId="45" borderId="0" xfId="0" applyFont="1" applyFill="1" applyAlignment="1">
      <alignment horizontal="center" vertical="center" wrapText="1"/>
    </xf>
    <xf numFmtId="0" fontId="6" fillId="47" borderId="0" xfId="0" applyFont="1" applyFill="1" applyAlignment="1">
      <alignment horizontal="center" vertical="center" wrapText="1"/>
    </xf>
    <xf numFmtId="0" fontId="5" fillId="49" borderId="0" xfId="0" applyFont="1" applyFill="1"/>
    <xf numFmtId="0" fontId="6" fillId="50" borderId="0" xfId="0" applyFont="1" applyFill="1" applyAlignment="1">
      <alignment horizontal="center" vertical="center" wrapText="1"/>
    </xf>
    <xf numFmtId="0" fontId="5" fillId="51" borderId="0" xfId="0" applyFont="1" applyFill="1"/>
    <xf numFmtId="0" fontId="5" fillId="52" borderId="0" xfId="0" applyFont="1" applyFill="1" applyAlignment="1">
      <alignment wrapText="1"/>
    </xf>
    <xf numFmtId="0" fontId="6" fillId="55" borderId="0" xfId="0" applyFont="1" applyFill="1" applyAlignment="1">
      <alignment horizontal="center" vertical="center" wrapText="1"/>
    </xf>
    <xf numFmtId="0" fontId="6" fillId="57" borderId="0" xfId="0" applyFont="1" applyFill="1" applyAlignment="1">
      <alignment horizontal="center" vertical="center" wrapText="1"/>
    </xf>
    <xf numFmtId="0" fontId="5" fillId="59" borderId="0" xfId="0" applyFont="1" applyFill="1"/>
    <xf numFmtId="165" fontId="0" fillId="0" borderId="0" xfId="0" applyNumberFormat="1" applyAlignment="1">
      <alignment wrapText="1"/>
    </xf>
    <xf numFmtId="0" fontId="6" fillId="60" borderId="0" xfId="0" applyFont="1" applyFill="1" applyAlignment="1">
      <alignment horizontal="center" vertical="center" wrapText="1"/>
    </xf>
    <xf numFmtId="0" fontId="6" fillId="61" borderId="0" xfId="0" applyFont="1" applyFill="1" applyAlignment="1">
      <alignment horizontal="center" vertical="center" wrapText="1"/>
    </xf>
    <xf numFmtId="0" fontId="5" fillId="62" borderId="0" xfId="0" applyFont="1" applyFill="1"/>
    <xf numFmtId="0" fontId="5" fillId="63" borderId="0" xfId="0" applyFont="1" applyFill="1" applyAlignment="1">
      <alignment wrapText="1"/>
    </xf>
    <xf numFmtId="0" fontId="4" fillId="7" borderId="0" xfId="0" applyFont="1" applyFill="1" applyAlignment="1">
      <alignment horizontal="center" vertical="center" wrapText="1"/>
    </xf>
    <xf numFmtId="0" fontId="0" fillId="0" borderId="0" xfId="0" applyAlignment="1">
      <alignment vertical="top"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9" fillId="25" borderId="0" xfId="0" applyFont="1" applyFill="1" applyAlignment="1">
      <alignment horizontal="center" vertical="center" wrapText="1"/>
    </xf>
    <xf numFmtId="0" fontId="3" fillId="4" borderId="0" xfId="0" applyFont="1" applyFill="1" applyAlignment="1">
      <alignment horizontal="center" vertical="center" wrapText="1"/>
    </xf>
    <xf numFmtId="0" fontId="4" fillId="5" borderId="0" xfId="0" applyFont="1" applyFill="1" applyAlignment="1">
      <alignment horizontal="center" vertical="center" wrapText="1"/>
    </xf>
    <xf numFmtId="0" fontId="10" fillId="38" borderId="0" xfId="0" applyFont="1" applyFill="1" applyAlignment="1">
      <alignment horizontal="center" vertical="center" wrapText="1"/>
    </xf>
    <xf numFmtId="0" fontId="12" fillId="52" borderId="0" xfId="0" applyFont="1" applyFill="1" applyAlignment="1">
      <alignment horizontal="center" vertical="center" wrapText="1"/>
    </xf>
    <xf numFmtId="0" fontId="12" fillId="63" borderId="0" xfId="0" applyFont="1" applyFill="1" applyAlignment="1">
      <alignment horizontal="center" vertical="center" wrapText="1"/>
    </xf>
    <xf numFmtId="0" fontId="8" fillId="18" borderId="0" xfId="0" applyFont="1" applyFill="1" applyAlignment="1">
      <alignment horizontal="center" vertical="center" wrapText="1"/>
    </xf>
    <xf numFmtId="0" fontId="8" fillId="19" borderId="0" xfId="0" applyFont="1" applyFill="1" applyAlignment="1">
      <alignment horizontal="center" vertical="center" wrapText="1"/>
    </xf>
    <xf numFmtId="0" fontId="8" fillId="20" borderId="0" xfId="0" applyFont="1" applyFill="1" applyAlignment="1">
      <alignment horizontal="center" vertical="center" wrapText="1"/>
    </xf>
    <xf numFmtId="0" fontId="8" fillId="21" borderId="0" xfId="0" applyFont="1" applyFill="1" applyAlignment="1">
      <alignment horizontal="center" vertical="center" wrapText="1"/>
    </xf>
    <xf numFmtId="0" fontId="8" fillId="8" borderId="0" xfId="0" applyFont="1" applyFill="1" applyAlignment="1">
      <alignment horizontal="center" vertical="center" wrapText="1"/>
    </xf>
    <xf numFmtId="0" fontId="8" fillId="22" borderId="0" xfId="0" applyFont="1" applyFill="1" applyAlignment="1">
      <alignment horizontal="center" vertical="center" wrapText="1"/>
    </xf>
    <xf numFmtId="0" fontId="7" fillId="16" borderId="0" xfId="0" applyFont="1" applyFill="1" applyAlignment="1">
      <alignment horizontal="center" vertical="center"/>
    </xf>
    <xf numFmtId="0" fontId="8" fillId="17" borderId="0" xfId="0" applyFont="1" applyFill="1" applyAlignment="1">
      <alignment horizontal="center" vertical="center" wrapText="1"/>
    </xf>
    <xf numFmtId="0" fontId="8" fillId="11" borderId="0" xfId="0" applyFont="1" applyFill="1" applyAlignment="1">
      <alignment horizontal="center" vertical="center" wrapText="1"/>
    </xf>
    <xf numFmtId="0" fontId="1" fillId="5" borderId="0" xfId="0" applyFont="1" applyFill="1" applyAlignment="1">
      <alignment horizontal="center" vertical="center" wrapText="1"/>
    </xf>
    <xf numFmtId="0" fontId="4" fillId="23" borderId="1" xfId="0" applyFont="1" applyFill="1" applyBorder="1" applyAlignment="1">
      <alignment horizontal="center" vertical="center" wrapText="1"/>
    </xf>
    <xf numFmtId="0" fontId="4" fillId="23" borderId="2" xfId="0" applyFont="1" applyFill="1" applyBorder="1" applyAlignment="1">
      <alignment horizontal="center" vertical="center" wrapText="1"/>
    </xf>
    <xf numFmtId="0" fontId="4" fillId="23" borderId="3" xfId="0" applyFont="1" applyFill="1" applyBorder="1" applyAlignment="1">
      <alignment horizontal="center" vertical="center" wrapText="1"/>
    </xf>
    <xf numFmtId="0" fontId="4" fillId="14" borderId="0" xfId="0" applyFont="1" applyFill="1" applyAlignment="1">
      <alignment horizontal="center" vertical="center" wrapText="1"/>
    </xf>
    <xf numFmtId="0" fontId="4" fillId="2" borderId="0" xfId="0" applyFont="1" applyFill="1" applyAlignment="1">
      <alignment horizontal="center" vertical="center" wrapText="1"/>
    </xf>
    <xf numFmtId="0" fontId="4" fillId="11" borderId="0" xfId="0" applyFont="1" applyFill="1" applyAlignment="1">
      <alignment horizontal="center" vertical="center" wrapText="1"/>
    </xf>
    <xf numFmtId="0" fontId="4" fillId="12" borderId="0" xfId="0" applyFont="1" applyFill="1" applyAlignment="1">
      <alignment horizontal="center" vertical="center" wrapText="1"/>
    </xf>
    <xf numFmtId="0" fontId="4" fillId="13" borderId="0" xfId="0" applyFont="1" applyFill="1" applyAlignment="1">
      <alignment horizontal="center" vertical="center" wrapText="1"/>
    </xf>
    <xf numFmtId="0" fontId="1" fillId="13" borderId="0" xfId="0" applyFont="1" applyFill="1" applyAlignment="1">
      <alignment horizontal="center" vertical="center" wrapText="1"/>
    </xf>
    <xf numFmtId="0" fontId="4" fillId="23" borderId="0" xfId="0" applyFont="1" applyFill="1" applyAlignment="1">
      <alignment horizontal="center" vertical="center" wrapText="1"/>
    </xf>
    <xf numFmtId="0" fontId="1" fillId="12" borderId="0" xfId="0" applyFont="1" applyFill="1" applyAlignment="1">
      <alignment horizontal="center" vertical="center" wrapText="1"/>
    </xf>
    <xf numFmtId="0" fontId="1" fillId="14" borderId="0" xfId="0" applyFont="1" applyFill="1" applyAlignment="1">
      <alignment horizontal="center" vertical="center" wrapText="1"/>
    </xf>
    <xf numFmtId="0" fontId="1" fillId="7" borderId="0" xfId="0" applyFont="1" applyFill="1" applyAlignment="1">
      <alignment horizontal="center" vertical="center" wrapText="1"/>
    </xf>
    <xf numFmtId="0" fontId="4" fillId="40" borderId="0" xfId="0" applyFont="1" applyFill="1" applyAlignment="1">
      <alignment horizontal="center" vertical="center" wrapText="1"/>
    </xf>
    <xf numFmtId="0" fontId="4" fillId="53" borderId="0" xfId="0" applyFont="1" applyFill="1" applyAlignment="1">
      <alignment horizontal="center" vertical="center" wrapText="1"/>
    </xf>
    <xf numFmtId="0" fontId="4" fillId="33" borderId="0" xfId="0" applyFont="1" applyFill="1" applyAlignment="1">
      <alignment horizontal="center" vertical="center" wrapText="1"/>
    </xf>
    <xf numFmtId="0" fontId="4" fillId="35" borderId="0" xfId="0" applyFont="1" applyFill="1" applyAlignment="1">
      <alignment horizontal="center" vertical="center" wrapText="1"/>
    </xf>
    <xf numFmtId="0" fontId="6" fillId="36" borderId="0" xfId="0" applyFont="1" applyFill="1" applyAlignment="1">
      <alignment horizontal="center" vertical="center" wrapText="1"/>
    </xf>
    <xf numFmtId="0" fontId="0" fillId="0" borderId="0" xfId="0" applyAlignment="1">
      <alignment wrapText="1"/>
    </xf>
    <xf numFmtId="0" fontId="1" fillId="24" borderId="0" xfId="0" applyFont="1" applyFill="1" applyAlignment="1">
      <alignment horizontal="center" vertical="center" wrapText="1"/>
    </xf>
    <xf numFmtId="0" fontId="4" fillId="26" borderId="0" xfId="0" applyFont="1" applyFill="1" applyAlignment="1">
      <alignment horizontal="center" vertical="center" wrapText="1"/>
    </xf>
    <xf numFmtId="0" fontId="4" fillId="28" borderId="0" xfId="0" applyFont="1" applyFill="1" applyAlignment="1">
      <alignment horizontal="center" vertical="center" wrapText="1"/>
    </xf>
    <xf numFmtId="0" fontId="4" fillId="30" borderId="0" xfId="0" applyFont="1" applyFill="1" applyAlignment="1">
      <alignment horizontal="center" vertical="center" wrapText="1"/>
    </xf>
    <xf numFmtId="0" fontId="4" fillId="48" borderId="0" xfId="0" applyFont="1" applyFill="1" applyAlignment="1">
      <alignment horizontal="center" vertical="center" wrapText="1"/>
    </xf>
    <xf numFmtId="0" fontId="1" fillId="40" borderId="0" xfId="0" applyFont="1" applyFill="1" applyAlignment="1">
      <alignment horizontal="center" vertical="center" wrapText="1"/>
    </xf>
    <xf numFmtId="0" fontId="11" fillId="41" borderId="0" xfId="0" applyFont="1" applyFill="1" applyAlignment="1">
      <alignment horizontal="center" vertical="center" wrapText="1"/>
    </xf>
    <xf numFmtId="0" fontId="4" fillId="42" borderId="0" xfId="0" applyFont="1" applyFill="1" applyAlignment="1">
      <alignment horizontal="center" vertical="center" wrapText="1"/>
    </xf>
    <xf numFmtId="0" fontId="4" fillId="44" borderId="0" xfId="0" applyFont="1" applyFill="1" applyAlignment="1">
      <alignment horizontal="center" vertical="center" wrapText="1"/>
    </xf>
    <xf numFmtId="0" fontId="4" fillId="46" borderId="0" xfId="0" applyFont="1" applyFill="1" applyAlignment="1">
      <alignment horizontal="center" vertical="center" wrapText="1"/>
    </xf>
    <xf numFmtId="0" fontId="1" fillId="53" borderId="0" xfId="0" applyFont="1" applyFill="1" applyAlignment="1">
      <alignment horizontal="center" vertical="center" wrapText="1"/>
    </xf>
    <xf numFmtId="0" fontId="11" fillId="54" borderId="0" xfId="0" applyFont="1" applyFill="1" applyAlignment="1">
      <alignment horizontal="center" vertical="center" wrapText="1"/>
    </xf>
    <xf numFmtId="0" fontId="4" fillId="56" borderId="0" xfId="0" applyFont="1" applyFill="1" applyAlignment="1">
      <alignment horizontal="center" vertical="center" wrapText="1"/>
    </xf>
    <xf numFmtId="0" fontId="4" fillId="58" borderId="0" xfId="0" applyFont="1" applyFill="1" applyAlignment="1">
      <alignment horizontal="center" vertical="center" wrapText="1"/>
    </xf>
  </cellXfs>
  <cellStyles count="1">
    <cellStyle name="Normal" xfId="0" builtinId="0"/>
  </cellStyles>
  <dxfs count="15">
    <dxf>
      <font>
        <b/>
        <color rgb="FF9C0006"/>
      </font>
      <fill>
        <patternFill>
          <bgColor rgb="FFFFC7CE"/>
        </patternFill>
      </fill>
    </dxf>
    <dxf>
      <font>
        <b/>
        <color rgb="FF9C6500"/>
      </font>
      <fill>
        <patternFill>
          <bgColor rgb="FFFFF2CC"/>
        </patternFill>
      </fill>
    </dxf>
    <dxf>
      <font>
        <color rgb="FF9C6500"/>
      </font>
      <fill>
        <patternFill>
          <bgColor rgb="FFFFF2CC"/>
        </patternFill>
      </fill>
    </dxf>
    <dxf>
      <font>
        <b/>
        <color rgb="FF9C0006"/>
      </font>
      <fill>
        <patternFill>
          <bgColor rgb="FFFFC7CE"/>
        </patternFill>
      </fill>
    </dxf>
    <dxf>
      <font>
        <b/>
        <color rgb="FF9C6500"/>
      </font>
      <fill>
        <patternFill>
          <bgColor rgb="FFFFF2CC"/>
        </patternFill>
      </fill>
    </dxf>
    <dxf>
      <font>
        <b/>
        <color rgb="FF9C0006"/>
      </font>
      <fill>
        <patternFill>
          <bgColor rgb="FFFFC7CE"/>
        </patternFill>
      </fill>
    </dxf>
    <dxf>
      <font>
        <b/>
        <color rgb="FF9C6500"/>
      </font>
      <fill>
        <patternFill>
          <bgColor rgb="FFFFF2CC"/>
        </patternFill>
      </fill>
    </dxf>
    <dxf>
      <font>
        <color rgb="FF9C6500"/>
      </font>
      <fill>
        <patternFill>
          <bgColor rgb="FFFFF2CC"/>
        </patternFill>
      </fill>
    </dxf>
    <dxf>
      <font>
        <b/>
        <color rgb="FF9C6500"/>
      </font>
      <fill>
        <patternFill>
          <bgColor rgb="FFFFF2CC"/>
        </patternFill>
      </fill>
    </dxf>
    <dxf>
      <font>
        <b/>
        <color rgb="FF9C0006"/>
      </font>
      <fill>
        <patternFill>
          <bgColor rgb="FFFFC7CE"/>
        </patternFill>
      </fill>
    </dxf>
    <dxf>
      <font>
        <color rgb="FF9C6500"/>
      </font>
      <fill>
        <patternFill>
          <bgColor rgb="FFFFF2CC"/>
        </patternFill>
      </fill>
    </dxf>
    <dxf>
      <font>
        <b/>
        <color rgb="FF9C0006"/>
      </font>
      <fill>
        <patternFill>
          <bgColor rgb="FFFFC7CE"/>
        </patternFill>
      </fill>
    </dxf>
    <dxf>
      <font>
        <b/>
        <color rgb="FF9C6500"/>
      </font>
      <fill>
        <patternFill>
          <bgColor rgb="FFFFF2CC"/>
        </patternFill>
      </fill>
    </dxf>
    <dxf>
      <font>
        <b/>
        <color rgb="FF006100"/>
      </font>
      <fill>
        <patternFill>
          <bgColor rgb="FFE2F0D9"/>
        </patternFill>
      </fill>
    </dxf>
    <dxf>
      <font>
        <b/>
        <color rgb="FF9C6500"/>
      </font>
      <fill>
        <patternFill>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Temperature and humidity trend</a:t>
            </a:r>
          </a:p>
        </c:rich>
      </c:tx>
      <c:overlay val="0"/>
    </c:title>
    <c:autoTitleDeleted val="0"/>
    <c:plotArea>
      <c:layout/>
      <c:lineChart>
        <c:grouping val="standard"/>
        <c:varyColors val="0"/>
        <c:ser>
          <c:idx val="0"/>
          <c:order val="0"/>
          <c:tx>
            <c:v>Temperature_C</c:v>
          </c:tx>
          <c:cat>
            <c:numRef>
              <c:f>'10_Analysis_Data'!$A$2:$A$223</c:f>
              <c:numCache>
                <c:formatCode>General</c:formatCode>
                <c:ptCount val="222"/>
                <c:pt idx="0">
                  <c:v>5.1070000000000002</c:v>
                </c:pt>
                <c:pt idx="1">
                  <c:v>10.128</c:v>
                </c:pt>
                <c:pt idx="2">
                  <c:v>15.147</c:v>
                </c:pt>
                <c:pt idx="3">
                  <c:v>20.167000000000002</c:v>
                </c:pt>
                <c:pt idx="4">
                  <c:v>25.187999999999999</c:v>
                </c:pt>
                <c:pt idx="5">
                  <c:v>30.206</c:v>
                </c:pt>
                <c:pt idx="6">
                  <c:v>35.226999999999997</c:v>
                </c:pt>
                <c:pt idx="7">
                  <c:v>40.246000000000002</c:v>
                </c:pt>
                <c:pt idx="8">
                  <c:v>45.264000000000003</c:v>
                </c:pt>
                <c:pt idx="9">
                  <c:v>50.284999999999997</c:v>
                </c:pt>
                <c:pt idx="10">
                  <c:v>55.304000000000002</c:v>
                </c:pt>
                <c:pt idx="11">
                  <c:v>60.323999999999998</c:v>
                </c:pt>
                <c:pt idx="12">
                  <c:v>65.343000000000004</c:v>
                </c:pt>
                <c:pt idx="13">
                  <c:v>70.361999999999995</c:v>
                </c:pt>
                <c:pt idx="14">
                  <c:v>75.382000000000005</c:v>
                </c:pt>
                <c:pt idx="15">
                  <c:v>80.400999999999996</c:v>
                </c:pt>
                <c:pt idx="16">
                  <c:v>85.421000000000006</c:v>
                </c:pt>
                <c:pt idx="17">
                  <c:v>90.438999999999993</c:v>
                </c:pt>
                <c:pt idx="18">
                  <c:v>95.457999999999998</c:v>
                </c:pt>
                <c:pt idx="19">
                  <c:v>100.47799999999999</c:v>
                </c:pt>
                <c:pt idx="20">
                  <c:v>105.498</c:v>
                </c:pt>
                <c:pt idx="21">
                  <c:v>110.517</c:v>
                </c:pt>
                <c:pt idx="22">
                  <c:v>115.535</c:v>
                </c:pt>
                <c:pt idx="23">
                  <c:v>120.556</c:v>
                </c:pt>
                <c:pt idx="24">
                  <c:v>125.575</c:v>
                </c:pt>
                <c:pt idx="25">
                  <c:v>130.595</c:v>
                </c:pt>
                <c:pt idx="26">
                  <c:v>135.614</c:v>
                </c:pt>
                <c:pt idx="27">
                  <c:v>140.63399999999999</c:v>
                </c:pt>
                <c:pt idx="28">
                  <c:v>145.65299999999999</c:v>
                </c:pt>
                <c:pt idx="29">
                  <c:v>150.66999999999999</c:v>
                </c:pt>
                <c:pt idx="30">
                  <c:v>155.68700000000001</c:v>
                </c:pt>
                <c:pt idx="31">
                  <c:v>160.70500000000001</c:v>
                </c:pt>
                <c:pt idx="32">
                  <c:v>165.72399999999999</c:v>
                </c:pt>
                <c:pt idx="33">
                  <c:v>170.74100000000001</c:v>
                </c:pt>
                <c:pt idx="34">
                  <c:v>175.761</c:v>
                </c:pt>
                <c:pt idx="35">
                  <c:v>180.779</c:v>
                </c:pt>
                <c:pt idx="36">
                  <c:v>185.798</c:v>
                </c:pt>
                <c:pt idx="37">
                  <c:v>190.816</c:v>
                </c:pt>
                <c:pt idx="38">
                  <c:v>195.83500000000001</c:v>
                </c:pt>
                <c:pt idx="39">
                  <c:v>200.85300000000001</c:v>
                </c:pt>
                <c:pt idx="40">
                  <c:v>205.87299999999999</c:v>
                </c:pt>
                <c:pt idx="41">
                  <c:v>210.89</c:v>
                </c:pt>
                <c:pt idx="42">
                  <c:v>215.90899999999999</c:v>
                </c:pt>
                <c:pt idx="43">
                  <c:v>220.92599999999999</c:v>
                </c:pt>
                <c:pt idx="44">
                  <c:v>225.94499999999999</c:v>
                </c:pt>
                <c:pt idx="45">
                  <c:v>230.964</c:v>
                </c:pt>
                <c:pt idx="46">
                  <c:v>235.98099999999999</c:v>
                </c:pt>
                <c:pt idx="47">
                  <c:v>259.02</c:v>
                </c:pt>
                <c:pt idx="48">
                  <c:v>264.02</c:v>
                </c:pt>
                <c:pt idx="49">
                  <c:v>269.02100000000002</c:v>
                </c:pt>
                <c:pt idx="50">
                  <c:v>274.02100000000002</c:v>
                </c:pt>
                <c:pt idx="51">
                  <c:v>279.02</c:v>
                </c:pt>
                <c:pt idx="52">
                  <c:v>294.20999999999998</c:v>
                </c:pt>
                <c:pt idx="53">
                  <c:v>302.13400000000001</c:v>
                </c:pt>
                <c:pt idx="54">
                  <c:v>307.27699999999999</c:v>
                </c:pt>
                <c:pt idx="55">
                  <c:v>312.29599999999999</c:v>
                </c:pt>
                <c:pt idx="56">
                  <c:v>317.31599999999997</c:v>
                </c:pt>
                <c:pt idx="57">
                  <c:v>322.33300000000003</c:v>
                </c:pt>
                <c:pt idx="58">
                  <c:v>327.35300000000001</c:v>
                </c:pt>
                <c:pt idx="59">
                  <c:v>332.37099999999998</c:v>
                </c:pt>
                <c:pt idx="60">
                  <c:v>337.38900000000001</c:v>
                </c:pt>
                <c:pt idx="61">
                  <c:v>348.72300000000001</c:v>
                </c:pt>
                <c:pt idx="62">
                  <c:v>353.72199999999998</c:v>
                </c:pt>
                <c:pt idx="63">
                  <c:v>358.721</c:v>
                </c:pt>
                <c:pt idx="64">
                  <c:v>363.721</c:v>
                </c:pt>
                <c:pt idx="65">
                  <c:v>368.721</c:v>
                </c:pt>
                <c:pt idx="66">
                  <c:v>373.726</c:v>
                </c:pt>
                <c:pt idx="67">
                  <c:v>378.745</c:v>
                </c:pt>
                <c:pt idx="68">
                  <c:v>383.76299999999998</c:v>
                </c:pt>
                <c:pt idx="69">
                  <c:v>388.78199999999998</c:v>
                </c:pt>
                <c:pt idx="70">
                  <c:v>393.80099999999999</c:v>
                </c:pt>
                <c:pt idx="71">
                  <c:v>398.82100000000003</c:v>
                </c:pt>
                <c:pt idx="72">
                  <c:v>403.83800000000002</c:v>
                </c:pt>
                <c:pt idx="73">
                  <c:v>408.85700000000003</c:v>
                </c:pt>
                <c:pt idx="74">
                  <c:v>413.87700000000001</c:v>
                </c:pt>
                <c:pt idx="75">
                  <c:v>418.89400000000001</c:v>
                </c:pt>
                <c:pt idx="76">
                  <c:v>423.91300000000001</c:v>
                </c:pt>
                <c:pt idx="77">
                  <c:v>428.93200000000002</c:v>
                </c:pt>
                <c:pt idx="78">
                  <c:v>433.95100000000002</c:v>
                </c:pt>
                <c:pt idx="79">
                  <c:v>438.96899999999999</c:v>
                </c:pt>
                <c:pt idx="80">
                  <c:v>443.988</c:v>
                </c:pt>
                <c:pt idx="81">
                  <c:v>449.00700000000001</c:v>
                </c:pt>
                <c:pt idx="82">
                  <c:v>454.02499999999998</c:v>
                </c:pt>
                <c:pt idx="83">
                  <c:v>466.339</c:v>
                </c:pt>
                <c:pt idx="84">
                  <c:v>471.5</c:v>
                </c:pt>
                <c:pt idx="85">
                  <c:v>476.51799999999997</c:v>
                </c:pt>
                <c:pt idx="86">
                  <c:v>481.53800000000001</c:v>
                </c:pt>
                <c:pt idx="87">
                  <c:v>486.55500000000001</c:v>
                </c:pt>
                <c:pt idx="88">
                  <c:v>492.33100000000002</c:v>
                </c:pt>
                <c:pt idx="89">
                  <c:v>497.33</c:v>
                </c:pt>
                <c:pt idx="90">
                  <c:v>502.94200000000001</c:v>
                </c:pt>
                <c:pt idx="91">
                  <c:v>508.11599999999999</c:v>
                </c:pt>
                <c:pt idx="92">
                  <c:v>513.13400000000001</c:v>
                </c:pt>
                <c:pt idx="93">
                  <c:v>518.154</c:v>
                </c:pt>
                <c:pt idx="94">
                  <c:v>523.17100000000005</c:v>
                </c:pt>
                <c:pt idx="95">
                  <c:v>528.19000000000005</c:v>
                </c:pt>
                <c:pt idx="96">
                  <c:v>533.20899999999995</c:v>
                </c:pt>
                <c:pt idx="97">
                  <c:v>538.226</c:v>
                </c:pt>
                <c:pt idx="98">
                  <c:v>543.245</c:v>
                </c:pt>
                <c:pt idx="99">
                  <c:v>548.26400000000001</c:v>
                </c:pt>
                <c:pt idx="100">
                  <c:v>564.67100000000005</c:v>
                </c:pt>
                <c:pt idx="101">
                  <c:v>569.83000000000004</c:v>
                </c:pt>
                <c:pt idx="102">
                  <c:v>574.84900000000005</c:v>
                </c:pt>
                <c:pt idx="103">
                  <c:v>579.86699999999996</c:v>
                </c:pt>
                <c:pt idx="104">
                  <c:v>584.88599999999997</c:v>
                </c:pt>
                <c:pt idx="105">
                  <c:v>589.90300000000002</c:v>
                </c:pt>
                <c:pt idx="106">
                  <c:v>594.92100000000005</c:v>
                </c:pt>
                <c:pt idx="107">
                  <c:v>599.94100000000003</c:v>
                </c:pt>
                <c:pt idx="108">
                  <c:v>604.95799999999997</c:v>
                </c:pt>
                <c:pt idx="109">
                  <c:v>609.97799999999995</c:v>
                </c:pt>
                <c:pt idx="110">
                  <c:v>614.995</c:v>
                </c:pt>
                <c:pt idx="111">
                  <c:v>620.01499999999999</c:v>
                </c:pt>
                <c:pt idx="112">
                  <c:v>625.03300000000002</c:v>
                </c:pt>
                <c:pt idx="113">
                  <c:v>630.04999999999995</c:v>
                </c:pt>
                <c:pt idx="114">
                  <c:v>635.07000000000005</c:v>
                </c:pt>
                <c:pt idx="115">
                  <c:v>640.08799999999997</c:v>
                </c:pt>
                <c:pt idx="116">
                  <c:v>645.10500000000002</c:v>
                </c:pt>
                <c:pt idx="117">
                  <c:v>650.12400000000002</c:v>
                </c:pt>
                <c:pt idx="118">
                  <c:v>655.14099999999996</c:v>
                </c:pt>
                <c:pt idx="119">
                  <c:v>660.16099999999994</c:v>
                </c:pt>
                <c:pt idx="120">
                  <c:v>665.18</c:v>
                </c:pt>
                <c:pt idx="121">
                  <c:v>670.19600000000003</c:v>
                </c:pt>
                <c:pt idx="122">
                  <c:v>675.21400000000006</c:v>
                </c:pt>
                <c:pt idx="123">
                  <c:v>680.23099999999999</c:v>
                </c:pt>
                <c:pt idx="124">
                  <c:v>685.24900000000002</c:v>
                </c:pt>
                <c:pt idx="125">
                  <c:v>690.26800000000003</c:v>
                </c:pt>
                <c:pt idx="126">
                  <c:v>695.28599999999994</c:v>
                </c:pt>
                <c:pt idx="127">
                  <c:v>700.303</c:v>
                </c:pt>
                <c:pt idx="128">
                  <c:v>705.32</c:v>
                </c:pt>
                <c:pt idx="129">
                  <c:v>710.33799999999997</c:v>
                </c:pt>
                <c:pt idx="130">
                  <c:v>715.35699999999997</c:v>
                </c:pt>
                <c:pt idx="131">
                  <c:v>720.37300000000005</c:v>
                </c:pt>
                <c:pt idx="132">
                  <c:v>725.39200000000005</c:v>
                </c:pt>
                <c:pt idx="133">
                  <c:v>730.40800000000002</c:v>
                </c:pt>
                <c:pt idx="134">
                  <c:v>735.42700000000002</c:v>
                </c:pt>
                <c:pt idx="135">
                  <c:v>740.44399999999996</c:v>
                </c:pt>
                <c:pt idx="136">
                  <c:v>745.46100000000001</c:v>
                </c:pt>
                <c:pt idx="137">
                  <c:v>750.47799999999995</c:v>
                </c:pt>
                <c:pt idx="138">
                  <c:v>755.49400000000003</c:v>
                </c:pt>
                <c:pt idx="139">
                  <c:v>760.51300000000003</c:v>
                </c:pt>
                <c:pt idx="140">
                  <c:v>765.53</c:v>
                </c:pt>
                <c:pt idx="141">
                  <c:v>770.548</c:v>
                </c:pt>
                <c:pt idx="142">
                  <c:v>775.56500000000005</c:v>
                </c:pt>
                <c:pt idx="143">
                  <c:v>780.58100000000002</c:v>
                </c:pt>
                <c:pt idx="144">
                  <c:v>785.6</c:v>
                </c:pt>
                <c:pt idx="145">
                  <c:v>790.61699999999996</c:v>
                </c:pt>
                <c:pt idx="146">
                  <c:v>795.63499999999999</c:v>
                </c:pt>
                <c:pt idx="147">
                  <c:v>800.65200000000004</c:v>
                </c:pt>
                <c:pt idx="148">
                  <c:v>805.66800000000001</c:v>
                </c:pt>
                <c:pt idx="149">
                  <c:v>810.68700000000001</c:v>
                </c:pt>
                <c:pt idx="150">
                  <c:v>815.70399999999995</c:v>
                </c:pt>
                <c:pt idx="151">
                  <c:v>820.72</c:v>
                </c:pt>
                <c:pt idx="152">
                  <c:v>825.79499999999996</c:v>
                </c:pt>
                <c:pt idx="153">
                  <c:v>830.75199999999995</c:v>
                </c:pt>
                <c:pt idx="154">
                  <c:v>835.76300000000003</c:v>
                </c:pt>
                <c:pt idx="155">
                  <c:v>841.18299999999999</c:v>
                </c:pt>
                <c:pt idx="156">
                  <c:v>846.61500000000001</c:v>
                </c:pt>
                <c:pt idx="157">
                  <c:v>851.61500000000001</c:v>
                </c:pt>
                <c:pt idx="158">
                  <c:v>856.58500000000004</c:v>
                </c:pt>
                <c:pt idx="159">
                  <c:v>861.61699999999996</c:v>
                </c:pt>
                <c:pt idx="160">
                  <c:v>866.58399999999995</c:v>
                </c:pt>
                <c:pt idx="161">
                  <c:v>871.61599999999999</c:v>
                </c:pt>
                <c:pt idx="162">
                  <c:v>876.58399999999995</c:v>
                </c:pt>
                <c:pt idx="163">
                  <c:v>881.61599999999999</c:v>
                </c:pt>
                <c:pt idx="164">
                  <c:v>886.61599999999999</c:v>
                </c:pt>
                <c:pt idx="165">
                  <c:v>891.63300000000004</c:v>
                </c:pt>
                <c:pt idx="166">
                  <c:v>896.63300000000004</c:v>
                </c:pt>
                <c:pt idx="167">
                  <c:v>901.63400000000001</c:v>
                </c:pt>
                <c:pt idx="168">
                  <c:v>906.63300000000004</c:v>
                </c:pt>
                <c:pt idx="169">
                  <c:v>911.61900000000003</c:v>
                </c:pt>
                <c:pt idx="170">
                  <c:v>916.601</c:v>
                </c:pt>
                <c:pt idx="171">
                  <c:v>921.61699999999996</c:v>
                </c:pt>
                <c:pt idx="172">
                  <c:v>926.60199999999998</c:v>
                </c:pt>
                <c:pt idx="173">
                  <c:v>931.61800000000005</c:v>
                </c:pt>
                <c:pt idx="174">
                  <c:v>936.60299999999995</c:v>
                </c:pt>
                <c:pt idx="175">
                  <c:v>941.60199999999998</c:v>
                </c:pt>
                <c:pt idx="176">
                  <c:v>946.60299999999995</c:v>
                </c:pt>
                <c:pt idx="177">
                  <c:v>951.60299999999995</c:v>
                </c:pt>
                <c:pt idx="178">
                  <c:v>956.60299999999995</c:v>
                </c:pt>
                <c:pt idx="179">
                  <c:v>962.18399999999997</c:v>
                </c:pt>
                <c:pt idx="180">
                  <c:v>967.35799999999995</c:v>
                </c:pt>
                <c:pt idx="181">
                  <c:v>972.32500000000005</c:v>
                </c:pt>
                <c:pt idx="182">
                  <c:v>977.32600000000002</c:v>
                </c:pt>
                <c:pt idx="183">
                  <c:v>982.32600000000002</c:v>
                </c:pt>
                <c:pt idx="184">
                  <c:v>987.32600000000002</c:v>
                </c:pt>
                <c:pt idx="185">
                  <c:v>992.73599999999999</c:v>
                </c:pt>
                <c:pt idx="186">
                  <c:v>997.83600000000001</c:v>
                </c:pt>
                <c:pt idx="187">
                  <c:v>1002.823</c:v>
                </c:pt>
                <c:pt idx="188">
                  <c:v>1007.8049999999999</c:v>
                </c:pt>
                <c:pt idx="189">
                  <c:v>1012.823</c:v>
                </c:pt>
                <c:pt idx="190">
                  <c:v>1017.824</c:v>
                </c:pt>
                <c:pt idx="191">
                  <c:v>1022.841</c:v>
                </c:pt>
                <c:pt idx="192">
                  <c:v>1027.8589999999999</c:v>
                </c:pt>
                <c:pt idx="193">
                  <c:v>1032.8779999999999</c:v>
                </c:pt>
                <c:pt idx="194">
                  <c:v>1037.896</c:v>
                </c:pt>
                <c:pt idx="195">
                  <c:v>1042.97</c:v>
                </c:pt>
                <c:pt idx="196">
                  <c:v>1047.9280000000001</c:v>
                </c:pt>
                <c:pt idx="197">
                  <c:v>1052.972</c:v>
                </c:pt>
                <c:pt idx="198">
                  <c:v>1057.94</c:v>
                </c:pt>
                <c:pt idx="199">
                  <c:v>1062.9690000000001</c:v>
                </c:pt>
                <c:pt idx="200">
                  <c:v>1068.4760000000001</c:v>
                </c:pt>
                <c:pt idx="201">
                  <c:v>1073.4749999999999</c:v>
                </c:pt>
                <c:pt idx="202">
                  <c:v>1078.444</c:v>
                </c:pt>
                <c:pt idx="203">
                  <c:v>1083.444</c:v>
                </c:pt>
                <c:pt idx="204">
                  <c:v>1088.444</c:v>
                </c:pt>
                <c:pt idx="205">
                  <c:v>1093.443</c:v>
                </c:pt>
                <c:pt idx="206">
                  <c:v>1098.443</c:v>
                </c:pt>
                <c:pt idx="207">
                  <c:v>1103.461</c:v>
                </c:pt>
                <c:pt idx="208">
                  <c:v>1108.444</c:v>
                </c:pt>
                <c:pt idx="209">
                  <c:v>1113.4580000000001</c:v>
                </c:pt>
                <c:pt idx="210">
                  <c:v>1118.443</c:v>
                </c:pt>
                <c:pt idx="211">
                  <c:v>1123.4739999999999</c:v>
                </c:pt>
                <c:pt idx="212">
                  <c:v>1128.4739999999999</c:v>
                </c:pt>
                <c:pt idx="213">
                  <c:v>1133.5170000000001</c:v>
                </c:pt>
                <c:pt idx="214">
                  <c:v>1138.518</c:v>
                </c:pt>
                <c:pt idx="215">
                  <c:v>1143.518</c:v>
                </c:pt>
                <c:pt idx="216">
                  <c:v>1148.5170000000001</c:v>
                </c:pt>
                <c:pt idx="217">
                  <c:v>1153.5170000000001</c:v>
                </c:pt>
                <c:pt idx="218">
                  <c:v>1158.5170000000001</c:v>
                </c:pt>
                <c:pt idx="219">
                  <c:v>1163.5170000000001</c:v>
                </c:pt>
                <c:pt idx="220">
                  <c:v>1168.518</c:v>
                </c:pt>
                <c:pt idx="221">
                  <c:v>1173.5170000000001</c:v>
                </c:pt>
              </c:numCache>
            </c:numRef>
          </c:cat>
          <c:val>
            <c:numRef>
              <c:f>'10_Analysis_Data'!$B$2:$B$223</c:f>
              <c:numCache>
                <c:formatCode>General</c:formatCode>
                <c:ptCount val="222"/>
                <c:pt idx="0">
                  <c:v>27.2</c:v>
                </c:pt>
                <c:pt idx="1">
                  <c:v>27.3</c:v>
                </c:pt>
                <c:pt idx="2">
                  <c:v>27.3</c:v>
                </c:pt>
                <c:pt idx="3">
                  <c:v>27.3</c:v>
                </c:pt>
                <c:pt idx="4">
                  <c:v>27.3</c:v>
                </c:pt>
                <c:pt idx="5">
                  <c:v>27.3</c:v>
                </c:pt>
                <c:pt idx="6">
                  <c:v>27.3</c:v>
                </c:pt>
                <c:pt idx="7">
                  <c:v>27.3</c:v>
                </c:pt>
                <c:pt idx="8">
                  <c:v>27.3</c:v>
                </c:pt>
                <c:pt idx="9">
                  <c:v>27.3</c:v>
                </c:pt>
                <c:pt idx="10">
                  <c:v>27.3</c:v>
                </c:pt>
                <c:pt idx="11">
                  <c:v>27.3</c:v>
                </c:pt>
                <c:pt idx="12">
                  <c:v>27.3</c:v>
                </c:pt>
                <c:pt idx="13">
                  <c:v>27.3</c:v>
                </c:pt>
                <c:pt idx="14">
                  <c:v>27.3</c:v>
                </c:pt>
                <c:pt idx="15">
                  <c:v>27.3</c:v>
                </c:pt>
                <c:pt idx="16">
                  <c:v>27.3</c:v>
                </c:pt>
                <c:pt idx="17">
                  <c:v>27.3</c:v>
                </c:pt>
                <c:pt idx="18">
                  <c:v>27.3</c:v>
                </c:pt>
                <c:pt idx="19">
                  <c:v>27.3</c:v>
                </c:pt>
                <c:pt idx="20">
                  <c:v>27.3</c:v>
                </c:pt>
                <c:pt idx="21">
                  <c:v>27.3</c:v>
                </c:pt>
                <c:pt idx="22">
                  <c:v>27.3</c:v>
                </c:pt>
                <c:pt idx="23">
                  <c:v>27.3</c:v>
                </c:pt>
                <c:pt idx="24">
                  <c:v>27.3</c:v>
                </c:pt>
                <c:pt idx="25">
                  <c:v>27.3</c:v>
                </c:pt>
                <c:pt idx="26">
                  <c:v>27.3</c:v>
                </c:pt>
                <c:pt idx="27">
                  <c:v>27.3</c:v>
                </c:pt>
                <c:pt idx="28">
                  <c:v>27.3</c:v>
                </c:pt>
                <c:pt idx="29">
                  <c:v>27.3</c:v>
                </c:pt>
                <c:pt idx="30">
                  <c:v>27.3</c:v>
                </c:pt>
                <c:pt idx="31">
                  <c:v>27.3</c:v>
                </c:pt>
                <c:pt idx="32">
                  <c:v>27.3</c:v>
                </c:pt>
                <c:pt idx="33">
                  <c:v>27.3</c:v>
                </c:pt>
                <c:pt idx="34">
                  <c:v>27.3</c:v>
                </c:pt>
                <c:pt idx="35">
                  <c:v>27.3</c:v>
                </c:pt>
                <c:pt idx="36">
                  <c:v>27.3</c:v>
                </c:pt>
                <c:pt idx="37">
                  <c:v>27.3</c:v>
                </c:pt>
                <c:pt idx="38">
                  <c:v>27.3</c:v>
                </c:pt>
                <c:pt idx="39">
                  <c:v>27.3</c:v>
                </c:pt>
                <c:pt idx="40">
                  <c:v>27.3</c:v>
                </c:pt>
                <c:pt idx="41">
                  <c:v>27.3</c:v>
                </c:pt>
                <c:pt idx="42">
                  <c:v>27.3</c:v>
                </c:pt>
                <c:pt idx="43">
                  <c:v>27.3</c:v>
                </c:pt>
                <c:pt idx="44">
                  <c:v>27.3</c:v>
                </c:pt>
                <c:pt idx="45">
                  <c:v>27.3</c:v>
                </c:pt>
                <c:pt idx="46">
                  <c:v>27.3</c:v>
                </c:pt>
                <c:pt idx="47">
                  <c:v>27.3</c:v>
                </c:pt>
                <c:pt idx="48">
                  <c:v>27.3</c:v>
                </c:pt>
                <c:pt idx="49">
                  <c:v>27.3</c:v>
                </c:pt>
                <c:pt idx="50">
                  <c:v>27.3</c:v>
                </c:pt>
                <c:pt idx="51">
                  <c:v>27.3</c:v>
                </c:pt>
                <c:pt idx="52">
                  <c:v>27.3</c:v>
                </c:pt>
                <c:pt idx="53">
                  <c:v>27.3</c:v>
                </c:pt>
                <c:pt idx="54">
                  <c:v>27.3</c:v>
                </c:pt>
                <c:pt idx="55">
                  <c:v>27.3</c:v>
                </c:pt>
                <c:pt idx="56">
                  <c:v>27.3</c:v>
                </c:pt>
                <c:pt idx="57">
                  <c:v>27.3</c:v>
                </c:pt>
                <c:pt idx="58">
                  <c:v>27.3</c:v>
                </c:pt>
                <c:pt idx="59">
                  <c:v>27.3</c:v>
                </c:pt>
                <c:pt idx="60">
                  <c:v>27.3</c:v>
                </c:pt>
                <c:pt idx="61">
                  <c:v>27.3</c:v>
                </c:pt>
                <c:pt idx="62">
                  <c:v>27.2</c:v>
                </c:pt>
                <c:pt idx="63">
                  <c:v>27.3</c:v>
                </c:pt>
                <c:pt idx="64">
                  <c:v>27.3</c:v>
                </c:pt>
                <c:pt idx="65">
                  <c:v>27.3</c:v>
                </c:pt>
                <c:pt idx="66">
                  <c:v>27.3</c:v>
                </c:pt>
                <c:pt idx="67">
                  <c:v>27.2</c:v>
                </c:pt>
                <c:pt idx="68">
                  <c:v>27.3</c:v>
                </c:pt>
                <c:pt idx="69">
                  <c:v>27.3</c:v>
                </c:pt>
                <c:pt idx="70">
                  <c:v>27.3</c:v>
                </c:pt>
                <c:pt idx="71">
                  <c:v>27.3</c:v>
                </c:pt>
                <c:pt idx="72">
                  <c:v>27.3</c:v>
                </c:pt>
                <c:pt idx="73">
                  <c:v>27.3</c:v>
                </c:pt>
                <c:pt idx="74">
                  <c:v>27.3</c:v>
                </c:pt>
                <c:pt idx="75">
                  <c:v>27.3</c:v>
                </c:pt>
                <c:pt idx="76">
                  <c:v>27.2</c:v>
                </c:pt>
                <c:pt idx="77">
                  <c:v>27.3</c:v>
                </c:pt>
                <c:pt idx="78">
                  <c:v>27.3</c:v>
                </c:pt>
                <c:pt idx="79">
                  <c:v>27.3</c:v>
                </c:pt>
                <c:pt idx="80">
                  <c:v>27.3</c:v>
                </c:pt>
                <c:pt idx="81">
                  <c:v>27.3</c:v>
                </c:pt>
                <c:pt idx="82">
                  <c:v>27.3</c:v>
                </c:pt>
                <c:pt idx="83">
                  <c:v>27.3</c:v>
                </c:pt>
                <c:pt idx="84">
                  <c:v>27.3</c:v>
                </c:pt>
                <c:pt idx="85">
                  <c:v>27.3</c:v>
                </c:pt>
                <c:pt idx="86">
                  <c:v>27.2</c:v>
                </c:pt>
                <c:pt idx="87">
                  <c:v>27.3</c:v>
                </c:pt>
                <c:pt idx="88">
                  <c:v>27.3</c:v>
                </c:pt>
                <c:pt idx="89">
                  <c:v>27.3</c:v>
                </c:pt>
                <c:pt idx="90">
                  <c:v>27.3</c:v>
                </c:pt>
                <c:pt idx="91">
                  <c:v>27.3</c:v>
                </c:pt>
                <c:pt idx="92">
                  <c:v>27.3</c:v>
                </c:pt>
                <c:pt idx="93">
                  <c:v>27.3</c:v>
                </c:pt>
                <c:pt idx="94">
                  <c:v>27.3</c:v>
                </c:pt>
                <c:pt idx="95">
                  <c:v>27.3</c:v>
                </c:pt>
                <c:pt idx="96">
                  <c:v>27.3</c:v>
                </c:pt>
                <c:pt idx="97">
                  <c:v>27.3</c:v>
                </c:pt>
                <c:pt idx="98">
                  <c:v>27.3</c:v>
                </c:pt>
                <c:pt idx="99">
                  <c:v>27.3</c:v>
                </c:pt>
                <c:pt idx="100">
                  <c:v>27.3</c:v>
                </c:pt>
                <c:pt idx="101">
                  <c:v>27.3</c:v>
                </c:pt>
                <c:pt idx="102">
                  <c:v>27.3</c:v>
                </c:pt>
                <c:pt idx="103">
                  <c:v>27.3</c:v>
                </c:pt>
                <c:pt idx="104">
                  <c:v>27.3</c:v>
                </c:pt>
                <c:pt idx="105">
                  <c:v>27.3</c:v>
                </c:pt>
                <c:pt idx="106">
                  <c:v>27.3</c:v>
                </c:pt>
                <c:pt idx="107">
                  <c:v>27.3</c:v>
                </c:pt>
                <c:pt idx="108">
                  <c:v>27.3</c:v>
                </c:pt>
                <c:pt idx="109">
                  <c:v>27.3</c:v>
                </c:pt>
                <c:pt idx="110">
                  <c:v>27.3</c:v>
                </c:pt>
                <c:pt idx="111">
                  <c:v>27.3</c:v>
                </c:pt>
                <c:pt idx="112">
                  <c:v>27.3</c:v>
                </c:pt>
                <c:pt idx="113">
                  <c:v>27.3</c:v>
                </c:pt>
                <c:pt idx="114">
                  <c:v>27.4</c:v>
                </c:pt>
                <c:pt idx="115">
                  <c:v>27.3</c:v>
                </c:pt>
                <c:pt idx="116">
                  <c:v>27.4</c:v>
                </c:pt>
                <c:pt idx="117">
                  <c:v>27.3</c:v>
                </c:pt>
                <c:pt idx="118">
                  <c:v>27.4</c:v>
                </c:pt>
                <c:pt idx="119">
                  <c:v>27.4</c:v>
                </c:pt>
                <c:pt idx="120">
                  <c:v>27.3</c:v>
                </c:pt>
                <c:pt idx="121">
                  <c:v>27.4</c:v>
                </c:pt>
                <c:pt idx="122">
                  <c:v>27.3</c:v>
                </c:pt>
                <c:pt idx="123">
                  <c:v>27.4</c:v>
                </c:pt>
                <c:pt idx="124">
                  <c:v>27.4</c:v>
                </c:pt>
                <c:pt idx="125">
                  <c:v>27.4</c:v>
                </c:pt>
                <c:pt idx="126">
                  <c:v>27.4</c:v>
                </c:pt>
                <c:pt idx="127">
                  <c:v>27.4</c:v>
                </c:pt>
                <c:pt idx="128">
                  <c:v>27.4</c:v>
                </c:pt>
                <c:pt idx="129">
                  <c:v>27.4</c:v>
                </c:pt>
                <c:pt idx="130">
                  <c:v>27.4</c:v>
                </c:pt>
                <c:pt idx="131">
                  <c:v>27.4</c:v>
                </c:pt>
                <c:pt idx="132">
                  <c:v>27.4</c:v>
                </c:pt>
                <c:pt idx="133">
                  <c:v>27.4</c:v>
                </c:pt>
                <c:pt idx="134">
                  <c:v>27.4</c:v>
                </c:pt>
                <c:pt idx="135">
                  <c:v>27.4</c:v>
                </c:pt>
                <c:pt idx="136">
                  <c:v>27.4</c:v>
                </c:pt>
                <c:pt idx="137">
                  <c:v>27.4</c:v>
                </c:pt>
                <c:pt idx="138">
                  <c:v>27.4</c:v>
                </c:pt>
                <c:pt idx="139">
                  <c:v>27.4</c:v>
                </c:pt>
                <c:pt idx="140">
                  <c:v>27.4</c:v>
                </c:pt>
                <c:pt idx="141">
                  <c:v>27.4</c:v>
                </c:pt>
                <c:pt idx="142">
                  <c:v>27.4</c:v>
                </c:pt>
                <c:pt idx="143">
                  <c:v>27.4</c:v>
                </c:pt>
                <c:pt idx="144">
                  <c:v>27.4</c:v>
                </c:pt>
                <c:pt idx="145">
                  <c:v>27.4</c:v>
                </c:pt>
                <c:pt idx="146">
                  <c:v>27.4</c:v>
                </c:pt>
                <c:pt idx="147">
                  <c:v>27.4</c:v>
                </c:pt>
                <c:pt idx="148">
                  <c:v>27.4</c:v>
                </c:pt>
                <c:pt idx="149">
                  <c:v>27.4</c:v>
                </c:pt>
                <c:pt idx="150">
                  <c:v>27.5</c:v>
                </c:pt>
                <c:pt idx="151">
                  <c:v>27.7</c:v>
                </c:pt>
                <c:pt idx="152">
                  <c:v>28.1</c:v>
                </c:pt>
                <c:pt idx="153">
                  <c:v>28.6</c:v>
                </c:pt>
                <c:pt idx="154">
                  <c:v>29</c:v>
                </c:pt>
                <c:pt idx="155">
                  <c:v>29.1</c:v>
                </c:pt>
                <c:pt idx="156">
                  <c:v>29.1</c:v>
                </c:pt>
                <c:pt idx="157">
                  <c:v>29.1</c:v>
                </c:pt>
                <c:pt idx="158">
                  <c:v>29.1</c:v>
                </c:pt>
                <c:pt idx="159">
                  <c:v>29.1</c:v>
                </c:pt>
                <c:pt idx="160">
                  <c:v>29</c:v>
                </c:pt>
                <c:pt idx="161">
                  <c:v>29</c:v>
                </c:pt>
                <c:pt idx="162">
                  <c:v>28.8</c:v>
                </c:pt>
                <c:pt idx="163">
                  <c:v>28.8</c:v>
                </c:pt>
                <c:pt idx="164">
                  <c:v>28.8</c:v>
                </c:pt>
                <c:pt idx="165">
                  <c:v>28.8</c:v>
                </c:pt>
                <c:pt idx="166">
                  <c:v>28.8</c:v>
                </c:pt>
                <c:pt idx="167">
                  <c:v>28.8</c:v>
                </c:pt>
                <c:pt idx="168">
                  <c:v>28.8</c:v>
                </c:pt>
                <c:pt idx="169">
                  <c:v>28.4</c:v>
                </c:pt>
                <c:pt idx="170">
                  <c:v>28.4</c:v>
                </c:pt>
                <c:pt idx="171">
                  <c:v>28.4</c:v>
                </c:pt>
                <c:pt idx="172">
                  <c:v>28.4</c:v>
                </c:pt>
                <c:pt idx="173">
                  <c:v>28.4</c:v>
                </c:pt>
                <c:pt idx="174">
                  <c:v>28.3</c:v>
                </c:pt>
                <c:pt idx="175">
                  <c:v>28.2</c:v>
                </c:pt>
                <c:pt idx="176">
                  <c:v>28.2</c:v>
                </c:pt>
                <c:pt idx="177">
                  <c:v>28.1</c:v>
                </c:pt>
                <c:pt idx="178">
                  <c:v>28.1</c:v>
                </c:pt>
                <c:pt idx="179">
                  <c:v>28</c:v>
                </c:pt>
                <c:pt idx="180">
                  <c:v>28</c:v>
                </c:pt>
                <c:pt idx="181">
                  <c:v>27.9</c:v>
                </c:pt>
                <c:pt idx="182">
                  <c:v>27.9</c:v>
                </c:pt>
                <c:pt idx="183">
                  <c:v>27.8</c:v>
                </c:pt>
                <c:pt idx="184">
                  <c:v>27.8</c:v>
                </c:pt>
                <c:pt idx="185">
                  <c:v>27.8</c:v>
                </c:pt>
                <c:pt idx="186">
                  <c:v>27.8</c:v>
                </c:pt>
                <c:pt idx="187">
                  <c:v>27.7</c:v>
                </c:pt>
                <c:pt idx="188">
                  <c:v>27.7</c:v>
                </c:pt>
                <c:pt idx="189">
                  <c:v>27.8</c:v>
                </c:pt>
                <c:pt idx="190">
                  <c:v>27.8</c:v>
                </c:pt>
                <c:pt idx="191">
                  <c:v>27.8</c:v>
                </c:pt>
                <c:pt idx="192">
                  <c:v>27.8</c:v>
                </c:pt>
                <c:pt idx="193">
                  <c:v>27.8</c:v>
                </c:pt>
                <c:pt idx="194">
                  <c:v>27.9</c:v>
                </c:pt>
                <c:pt idx="195">
                  <c:v>28.1</c:v>
                </c:pt>
                <c:pt idx="196">
                  <c:v>28.4</c:v>
                </c:pt>
                <c:pt idx="197">
                  <c:v>28.4</c:v>
                </c:pt>
                <c:pt idx="198">
                  <c:v>7.1</c:v>
                </c:pt>
                <c:pt idx="199">
                  <c:v>7.1</c:v>
                </c:pt>
                <c:pt idx="200">
                  <c:v>7.1</c:v>
                </c:pt>
                <c:pt idx="201">
                  <c:v>7.1</c:v>
                </c:pt>
                <c:pt idx="202">
                  <c:v>28.2</c:v>
                </c:pt>
                <c:pt idx="203">
                  <c:v>28.2</c:v>
                </c:pt>
                <c:pt idx="204">
                  <c:v>28.1</c:v>
                </c:pt>
                <c:pt idx="205">
                  <c:v>28.1</c:v>
                </c:pt>
                <c:pt idx="206">
                  <c:v>28</c:v>
                </c:pt>
                <c:pt idx="207">
                  <c:v>27.9</c:v>
                </c:pt>
                <c:pt idx="208">
                  <c:v>27.9</c:v>
                </c:pt>
                <c:pt idx="209">
                  <c:v>28</c:v>
                </c:pt>
                <c:pt idx="210">
                  <c:v>28</c:v>
                </c:pt>
                <c:pt idx="211">
                  <c:v>28.1</c:v>
                </c:pt>
                <c:pt idx="212">
                  <c:v>28</c:v>
                </c:pt>
                <c:pt idx="213">
                  <c:v>28</c:v>
                </c:pt>
                <c:pt idx="214">
                  <c:v>28</c:v>
                </c:pt>
                <c:pt idx="215">
                  <c:v>28</c:v>
                </c:pt>
                <c:pt idx="216">
                  <c:v>28</c:v>
                </c:pt>
                <c:pt idx="217">
                  <c:v>28</c:v>
                </c:pt>
                <c:pt idx="218">
                  <c:v>28</c:v>
                </c:pt>
                <c:pt idx="219">
                  <c:v>28</c:v>
                </c:pt>
                <c:pt idx="220">
                  <c:v>28</c:v>
                </c:pt>
                <c:pt idx="221">
                  <c:v>28</c:v>
                </c:pt>
              </c:numCache>
            </c:numRef>
          </c:val>
          <c:smooth val="0"/>
          <c:extLst>
            <c:ext xmlns:c16="http://schemas.microsoft.com/office/drawing/2014/chart" uri="{C3380CC4-5D6E-409C-BE32-E72D297353CC}">
              <c16:uniqueId val="{00000000-DC1E-47BB-91AA-3B5A677F7450}"/>
            </c:ext>
          </c:extLst>
        </c:ser>
        <c:ser>
          <c:idx val="1"/>
          <c:order val="1"/>
          <c:tx>
            <c:v>Humidity_pct</c:v>
          </c:tx>
          <c:cat>
            <c:numRef>
              <c:f>'10_Analysis_Data'!$A$2:$A$223</c:f>
              <c:numCache>
                <c:formatCode>General</c:formatCode>
                <c:ptCount val="222"/>
                <c:pt idx="0">
                  <c:v>5.1070000000000002</c:v>
                </c:pt>
                <c:pt idx="1">
                  <c:v>10.128</c:v>
                </c:pt>
                <c:pt idx="2">
                  <c:v>15.147</c:v>
                </c:pt>
                <c:pt idx="3">
                  <c:v>20.167000000000002</c:v>
                </c:pt>
                <c:pt idx="4">
                  <c:v>25.187999999999999</c:v>
                </c:pt>
                <c:pt idx="5">
                  <c:v>30.206</c:v>
                </c:pt>
                <c:pt idx="6">
                  <c:v>35.226999999999997</c:v>
                </c:pt>
                <c:pt idx="7">
                  <c:v>40.246000000000002</c:v>
                </c:pt>
                <c:pt idx="8">
                  <c:v>45.264000000000003</c:v>
                </c:pt>
                <c:pt idx="9">
                  <c:v>50.284999999999997</c:v>
                </c:pt>
                <c:pt idx="10">
                  <c:v>55.304000000000002</c:v>
                </c:pt>
                <c:pt idx="11">
                  <c:v>60.323999999999998</c:v>
                </c:pt>
                <c:pt idx="12">
                  <c:v>65.343000000000004</c:v>
                </c:pt>
                <c:pt idx="13">
                  <c:v>70.361999999999995</c:v>
                </c:pt>
                <c:pt idx="14">
                  <c:v>75.382000000000005</c:v>
                </c:pt>
                <c:pt idx="15">
                  <c:v>80.400999999999996</c:v>
                </c:pt>
                <c:pt idx="16">
                  <c:v>85.421000000000006</c:v>
                </c:pt>
                <c:pt idx="17">
                  <c:v>90.438999999999993</c:v>
                </c:pt>
                <c:pt idx="18">
                  <c:v>95.457999999999998</c:v>
                </c:pt>
                <c:pt idx="19">
                  <c:v>100.47799999999999</c:v>
                </c:pt>
                <c:pt idx="20">
                  <c:v>105.498</c:v>
                </c:pt>
                <c:pt idx="21">
                  <c:v>110.517</c:v>
                </c:pt>
                <c:pt idx="22">
                  <c:v>115.535</c:v>
                </c:pt>
                <c:pt idx="23">
                  <c:v>120.556</c:v>
                </c:pt>
                <c:pt idx="24">
                  <c:v>125.575</c:v>
                </c:pt>
                <c:pt idx="25">
                  <c:v>130.595</c:v>
                </c:pt>
                <c:pt idx="26">
                  <c:v>135.614</c:v>
                </c:pt>
                <c:pt idx="27">
                  <c:v>140.63399999999999</c:v>
                </c:pt>
                <c:pt idx="28">
                  <c:v>145.65299999999999</c:v>
                </c:pt>
                <c:pt idx="29">
                  <c:v>150.66999999999999</c:v>
                </c:pt>
                <c:pt idx="30">
                  <c:v>155.68700000000001</c:v>
                </c:pt>
                <c:pt idx="31">
                  <c:v>160.70500000000001</c:v>
                </c:pt>
                <c:pt idx="32">
                  <c:v>165.72399999999999</c:v>
                </c:pt>
                <c:pt idx="33">
                  <c:v>170.74100000000001</c:v>
                </c:pt>
                <c:pt idx="34">
                  <c:v>175.761</c:v>
                </c:pt>
                <c:pt idx="35">
                  <c:v>180.779</c:v>
                </c:pt>
                <c:pt idx="36">
                  <c:v>185.798</c:v>
                </c:pt>
                <c:pt idx="37">
                  <c:v>190.816</c:v>
                </c:pt>
                <c:pt idx="38">
                  <c:v>195.83500000000001</c:v>
                </c:pt>
                <c:pt idx="39">
                  <c:v>200.85300000000001</c:v>
                </c:pt>
                <c:pt idx="40">
                  <c:v>205.87299999999999</c:v>
                </c:pt>
                <c:pt idx="41">
                  <c:v>210.89</c:v>
                </c:pt>
                <c:pt idx="42">
                  <c:v>215.90899999999999</c:v>
                </c:pt>
                <c:pt idx="43">
                  <c:v>220.92599999999999</c:v>
                </c:pt>
                <c:pt idx="44">
                  <c:v>225.94499999999999</c:v>
                </c:pt>
                <c:pt idx="45">
                  <c:v>230.964</c:v>
                </c:pt>
                <c:pt idx="46">
                  <c:v>235.98099999999999</c:v>
                </c:pt>
                <c:pt idx="47">
                  <c:v>259.02</c:v>
                </c:pt>
                <c:pt idx="48">
                  <c:v>264.02</c:v>
                </c:pt>
                <c:pt idx="49">
                  <c:v>269.02100000000002</c:v>
                </c:pt>
                <c:pt idx="50">
                  <c:v>274.02100000000002</c:v>
                </c:pt>
                <c:pt idx="51">
                  <c:v>279.02</c:v>
                </c:pt>
                <c:pt idx="52">
                  <c:v>294.20999999999998</c:v>
                </c:pt>
                <c:pt idx="53">
                  <c:v>302.13400000000001</c:v>
                </c:pt>
                <c:pt idx="54">
                  <c:v>307.27699999999999</c:v>
                </c:pt>
                <c:pt idx="55">
                  <c:v>312.29599999999999</c:v>
                </c:pt>
                <c:pt idx="56">
                  <c:v>317.31599999999997</c:v>
                </c:pt>
                <c:pt idx="57">
                  <c:v>322.33300000000003</c:v>
                </c:pt>
                <c:pt idx="58">
                  <c:v>327.35300000000001</c:v>
                </c:pt>
                <c:pt idx="59">
                  <c:v>332.37099999999998</c:v>
                </c:pt>
                <c:pt idx="60">
                  <c:v>337.38900000000001</c:v>
                </c:pt>
                <c:pt idx="61">
                  <c:v>348.72300000000001</c:v>
                </c:pt>
                <c:pt idx="62">
                  <c:v>353.72199999999998</c:v>
                </c:pt>
                <c:pt idx="63">
                  <c:v>358.721</c:v>
                </c:pt>
                <c:pt idx="64">
                  <c:v>363.721</c:v>
                </c:pt>
                <c:pt idx="65">
                  <c:v>368.721</c:v>
                </c:pt>
                <c:pt idx="66">
                  <c:v>373.726</c:v>
                </c:pt>
                <c:pt idx="67">
                  <c:v>378.745</c:v>
                </c:pt>
                <c:pt idx="68">
                  <c:v>383.76299999999998</c:v>
                </c:pt>
                <c:pt idx="69">
                  <c:v>388.78199999999998</c:v>
                </c:pt>
                <c:pt idx="70">
                  <c:v>393.80099999999999</c:v>
                </c:pt>
                <c:pt idx="71">
                  <c:v>398.82100000000003</c:v>
                </c:pt>
                <c:pt idx="72">
                  <c:v>403.83800000000002</c:v>
                </c:pt>
                <c:pt idx="73">
                  <c:v>408.85700000000003</c:v>
                </c:pt>
                <c:pt idx="74">
                  <c:v>413.87700000000001</c:v>
                </c:pt>
                <c:pt idx="75">
                  <c:v>418.89400000000001</c:v>
                </c:pt>
                <c:pt idx="76">
                  <c:v>423.91300000000001</c:v>
                </c:pt>
                <c:pt idx="77">
                  <c:v>428.93200000000002</c:v>
                </c:pt>
                <c:pt idx="78">
                  <c:v>433.95100000000002</c:v>
                </c:pt>
                <c:pt idx="79">
                  <c:v>438.96899999999999</c:v>
                </c:pt>
                <c:pt idx="80">
                  <c:v>443.988</c:v>
                </c:pt>
                <c:pt idx="81">
                  <c:v>449.00700000000001</c:v>
                </c:pt>
                <c:pt idx="82">
                  <c:v>454.02499999999998</c:v>
                </c:pt>
                <c:pt idx="83">
                  <c:v>466.339</c:v>
                </c:pt>
                <c:pt idx="84">
                  <c:v>471.5</c:v>
                </c:pt>
                <c:pt idx="85">
                  <c:v>476.51799999999997</c:v>
                </c:pt>
                <c:pt idx="86">
                  <c:v>481.53800000000001</c:v>
                </c:pt>
                <c:pt idx="87">
                  <c:v>486.55500000000001</c:v>
                </c:pt>
                <c:pt idx="88">
                  <c:v>492.33100000000002</c:v>
                </c:pt>
                <c:pt idx="89">
                  <c:v>497.33</c:v>
                </c:pt>
                <c:pt idx="90">
                  <c:v>502.94200000000001</c:v>
                </c:pt>
                <c:pt idx="91">
                  <c:v>508.11599999999999</c:v>
                </c:pt>
                <c:pt idx="92">
                  <c:v>513.13400000000001</c:v>
                </c:pt>
                <c:pt idx="93">
                  <c:v>518.154</c:v>
                </c:pt>
                <c:pt idx="94">
                  <c:v>523.17100000000005</c:v>
                </c:pt>
                <c:pt idx="95">
                  <c:v>528.19000000000005</c:v>
                </c:pt>
                <c:pt idx="96">
                  <c:v>533.20899999999995</c:v>
                </c:pt>
                <c:pt idx="97">
                  <c:v>538.226</c:v>
                </c:pt>
                <c:pt idx="98">
                  <c:v>543.245</c:v>
                </c:pt>
                <c:pt idx="99">
                  <c:v>548.26400000000001</c:v>
                </c:pt>
                <c:pt idx="100">
                  <c:v>564.67100000000005</c:v>
                </c:pt>
                <c:pt idx="101">
                  <c:v>569.83000000000004</c:v>
                </c:pt>
                <c:pt idx="102">
                  <c:v>574.84900000000005</c:v>
                </c:pt>
                <c:pt idx="103">
                  <c:v>579.86699999999996</c:v>
                </c:pt>
                <c:pt idx="104">
                  <c:v>584.88599999999997</c:v>
                </c:pt>
                <c:pt idx="105">
                  <c:v>589.90300000000002</c:v>
                </c:pt>
                <c:pt idx="106">
                  <c:v>594.92100000000005</c:v>
                </c:pt>
                <c:pt idx="107">
                  <c:v>599.94100000000003</c:v>
                </c:pt>
                <c:pt idx="108">
                  <c:v>604.95799999999997</c:v>
                </c:pt>
                <c:pt idx="109">
                  <c:v>609.97799999999995</c:v>
                </c:pt>
                <c:pt idx="110">
                  <c:v>614.995</c:v>
                </c:pt>
                <c:pt idx="111">
                  <c:v>620.01499999999999</c:v>
                </c:pt>
                <c:pt idx="112">
                  <c:v>625.03300000000002</c:v>
                </c:pt>
                <c:pt idx="113">
                  <c:v>630.04999999999995</c:v>
                </c:pt>
                <c:pt idx="114">
                  <c:v>635.07000000000005</c:v>
                </c:pt>
                <c:pt idx="115">
                  <c:v>640.08799999999997</c:v>
                </c:pt>
                <c:pt idx="116">
                  <c:v>645.10500000000002</c:v>
                </c:pt>
                <c:pt idx="117">
                  <c:v>650.12400000000002</c:v>
                </c:pt>
                <c:pt idx="118">
                  <c:v>655.14099999999996</c:v>
                </c:pt>
                <c:pt idx="119">
                  <c:v>660.16099999999994</c:v>
                </c:pt>
                <c:pt idx="120">
                  <c:v>665.18</c:v>
                </c:pt>
                <c:pt idx="121">
                  <c:v>670.19600000000003</c:v>
                </c:pt>
                <c:pt idx="122">
                  <c:v>675.21400000000006</c:v>
                </c:pt>
                <c:pt idx="123">
                  <c:v>680.23099999999999</c:v>
                </c:pt>
                <c:pt idx="124">
                  <c:v>685.24900000000002</c:v>
                </c:pt>
                <c:pt idx="125">
                  <c:v>690.26800000000003</c:v>
                </c:pt>
                <c:pt idx="126">
                  <c:v>695.28599999999994</c:v>
                </c:pt>
                <c:pt idx="127">
                  <c:v>700.303</c:v>
                </c:pt>
                <c:pt idx="128">
                  <c:v>705.32</c:v>
                </c:pt>
                <c:pt idx="129">
                  <c:v>710.33799999999997</c:v>
                </c:pt>
                <c:pt idx="130">
                  <c:v>715.35699999999997</c:v>
                </c:pt>
                <c:pt idx="131">
                  <c:v>720.37300000000005</c:v>
                </c:pt>
                <c:pt idx="132">
                  <c:v>725.39200000000005</c:v>
                </c:pt>
                <c:pt idx="133">
                  <c:v>730.40800000000002</c:v>
                </c:pt>
                <c:pt idx="134">
                  <c:v>735.42700000000002</c:v>
                </c:pt>
                <c:pt idx="135">
                  <c:v>740.44399999999996</c:v>
                </c:pt>
                <c:pt idx="136">
                  <c:v>745.46100000000001</c:v>
                </c:pt>
                <c:pt idx="137">
                  <c:v>750.47799999999995</c:v>
                </c:pt>
                <c:pt idx="138">
                  <c:v>755.49400000000003</c:v>
                </c:pt>
                <c:pt idx="139">
                  <c:v>760.51300000000003</c:v>
                </c:pt>
                <c:pt idx="140">
                  <c:v>765.53</c:v>
                </c:pt>
                <c:pt idx="141">
                  <c:v>770.548</c:v>
                </c:pt>
                <c:pt idx="142">
                  <c:v>775.56500000000005</c:v>
                </c:pt>
                <c:pt idx="143">
                  <c:v>780.58100000000002</c:v>
                </c:pt>
                <c:pt idx="144">
                  <c:v>785.6</c:v>
                </c:pt>
                <c:pt idx="145">
                  <c:v>790.61699999999996</c:v>
                </c:pt>
                <c:pt idx="146">
                  <c:v>795.63499999999999</c:v>
                </c:pt>
                <c:pt idx="147">
                  <c:v>800.65200000000004</c:v>
                </c:pt>
                <c:pt idx="148">
                  <c:v>805.66800000000001</c:v>
                </c:pt>
                <c:pt idx="149">
                  <c:v>810.68700000000001</c:v>
                </c:pt>
                <c:pt idx="150">
                  <c:v>815.70399999999995</c:v>
                </c:pt>
                <c:pt idx="151">
                  <c:v>820.72</c:v>
                </c:pt>
                <c:pt idx="152">
                  <c:v>825.79499999999996</c:v>
                </c:pt>
                <c:pt idx="153">
                  <c:v>830.75199999999995</c:v>
                </c:pt>
                <c:pt idx="154">
                  <c:v>835.76300000000003</c:v>
                </c:pt>
                <c:pt idx="155">
                  <c:v>841.18299999999999</c:v>
                </c:pt>
                <c:pt idx="156">
                  <c:v>846.61500000000001</c:v>
                </c:pt>
                <c:pt idx="157">
                  <c:v>851.61500000000001</c:v>
                </c:pt>
                <c:pt idx="158">
                  <c:v>856.58500000000004</c:v>
                </c:pt>
                <c:pt idx="159">
                  <c:v>861.61699999999996</c:v>
                </c:pt>
                <c:pt idx="160">
                  <c:v>866.58399999999995</c:v>
                </c:pt>
                <c:pt idx="161">
                  <c:v>871.61599999999999</c:v>
                </c:pt>
                <c:pt idx="162">
                  <c:v>876.58399999999995</c:v>
                </c:pt>
                <c:pt idx="163">
                  <c:v>881.61599999999999</c:v>
                </c:pt>
                <c:pt idx="164">
                  <c:v>886.61599999999999</c:v>
                </c:pt>
                <c:pt idx="165">
                  <c:v>891.63300000000004</c:v>
                </c:pt>
                <c:pt idx="166">
                  <c:v>896.63300000000004</c:v>
                </c:pt>
                <c:pt idx="167">
                  <c:v>901.63400000000001</c:v>
                </c:pt>
                <c:pt idx="168">
                  <c:v>906.63300000000004</c:v>
                </c:pt>
                <c:pt idx="169">
                  <c:v>911.61900000000003</c:v>
                </c:pt>
                <c:pt idx="170">
                  <c:v>916.601</c:v>
                </c:pt>
                <c:pt idx="171">
                  <c:v>921.61699999999996</c:v>
                </c:pt>
                <c:pt idx="172">
                  <c:v>926.60199999999998</c:v>
                </c:pt>
                <c:pt idx="173">
                  <c:v>931.61800000000005</c:v>
                </c:pt>
                <c:pt idx="174">
                  <c:v>936.60299999999995</c:v>
                </c:pt>
                <c:pt idx="175">
                  <c:v>941.60199999999998</c:v>
                </c:pt>
                <c:pt idx="176">
                  <c:v>946.60299999999995</c:v>
                </c:pt>
                <c:pt idx="177">
                  <c:v>951.60299999999995</c:v>
                </c:pt>
                <c:pt idx="178">
                  <c:v>956.60299999999995</c:v>
                </c:pt>
                <c:pt idx="179">
                  <c:v>962.18399999999997</c:v>
                </c:pt>
                <c:pt idx="180">
                  <c:v>967.35799999999995</c:v>
                </c:pt>
                <c:pt idx="181">
                  <c:v>972.32500000000005</c:v>
                </c:pt>
                <c:pt idx="182">
                  <c:v>977.32600000000002</c:v>
                </c:pt>
                <c:pt idx="183">
                  <c:v>982.32600000000002</c:v>
                </c:pt>
                <c:pt idx="184">
                  <c:v>987.32600000000002</c:v>
                </c:pt>
                <c:pt idx="185">
                  <c:v>992.73599999999999</c:v>
                </c:pt>
                <c:pt idx="186">
                  <c:v>997.83600000000001</c:v>
                </c:pt>
                <c:pt idx="187">
                  <c:v>1002.823</c:v>
                </c:pt>
                <c:pt idx="188">
                  <c:v>1007.8049999999999</c:v>
                </c:pt>
                <c:pt idx="189">
                  <c:v>1012.823</c:v>
                </c:pt>
                <c:pt idx="190">
                  <c:v>1017.824</c:v>
                </c:pt>
                <c:pt idx="191">
                  <c:v>1022.841</c:v>
                </c:pt>
                <c:pt idx="192">
                  <c:v>1027.8589999999999</c:v>
                </c:pt>
                <c:pt idx="193">
                  <c:v>1032.8779999999999</c:v>
                </c:pt>
                <c:pt idx="194">
                  <c:v>1037.896</c:v>
                </c:pt>
                <c:pt idx="195">
                  <c:v>1042.97</c:v>
                </c:pt>
                <c:pt idx="196">
                  <c:v>1047.9280000000001</c:v>
                </c:pt>
                <c:pt idx="197">
                  <c:v>1052.972</c:v>
                </c:pt>
                <c:pt idx="198">
                  <c:v>1057.94</c:v>
                </c:pt>
                <c:pt idx="199">
                  <c:v>1062.9690000000001</c:v>
                </c:pt>
                <c:pt idx="200">
                  <c:v>1068.4760000000001</c:v>
                </c:pt>
                <c:pt idx="201">
                  <c:v>1073.4749999999999</c:v>
                </c:pt>
                <c:pt idx="202">
                  <c:v>1078.444</c:v>
                </c:pt>
                <c:pt idx="203">
                  <c:v>1083.444</c:v>
                </c:pt>
                <c:pt idx="204">
                  <c:v>1088.444</c:v>
                </c:pt>
                <c:pt idx="205">
                  <c:v>1093.443</c:v>
                </c:pt>
                <c:pt idx="206">
                  <c:v>1098.443</c:v>
                </c:pt>
                <c:pt idx="207">
                  <c:v>1103.461</c:v>
                </c:pt>
                <c:pt idx="208">
                  <c:v>1108.444</c:v>
                </c:pt>
                <c:pt idx="209">
                  <c:v>1113.4580000000001</c:v>
                </c:pt>
                <c:pt idx="210">
                  <c:v>1118.443</c:v>
                </c:pt>
                <c:pt idx="211">
                  <c:v>1123.4739999999999</c:v>
                </c:pt>
                <c:pt idx="212">
                  <c:v>1128.4739999999999</c:v>
                </c:pt>
                <c:pt idx="213">
                  <c:v>1133.5170000000001</c:v>
                </c:pt>
                <c:pt idx="214">
                  <c:v>1138.518</c:v>
                </c:pt>
                <c:pt idx="215">
                  <c:v>1143.518</c:v>
                </c:pt>
                <c:pt idx="216">
                  <c:v>1148.5170000000001</c:v>
                </c:pt>
                <c:pt idx="217">
                  <c:v>1153.5170000000001</c:v>
                </c:pt>
                <c:pt idx="218">
                  <c:v>1158.5170000000001</c:v>
                </c:pt>
                <c:pt idx="219">
                  <c:v>1163.5170000000001</c:v>
                </c:pt>
                <c:pt idx="220">
                  <c:v>1168.518</c:v>
                </c:pt>
                <c:pt idx="221">
                  <c:v>1173.5170000000001</c:v>
                </c:pt>
              </c:numCache>
            </c:numRef>
          </c:cat>
          <c:val>
            <c:numRef>
              <c:f>'10_Analysis_Data'!$C$2:$C$223</c:f>
              <c:numCache>
                <c:formatCode>General</c:formatCode>
                <c:ptCount val="222"/>
                <c:pt idx="0">
                  <c:v>81.599999999999994</c:v>
                </c:pt>
                <c:pt idx="1">
                  <c:v>82</c:v>
                </c:pt>
                <c:pt idx="2">
                  <c:v>82</c:v>
                </c:pt>
                <c:pt idx="3">
                  <c:v>82</c:v>
                </c:pt>
                <c:pt idx="4">
                  <c:v>82.1</c:v>
                </c:pt>
                <c:pt idx="5">
                  <c:v>82.1</c:v>
                </c:pt>
                <c:pt idx="6">
                  <c:v>82.1</c:v>
                </c:pt>
                <c:pt idx="7">
                  <c:v>82.3</c:v>
                </c:pt>
                <c:pt idx="8">
                  <c:v>82.1</c:v>
                </c:pt>
                <c:pt idx="9">
                  <c:v>82</c:v>
                </c:pt>
                <c:pt idx="10">
                  <c:v>81.599999999999994</c:v>
                </c:pt>
                <c:pt idx="11">
                  <c:v>81.3</c:v>
                </c:pt>
                <c:pt idx="12">
                  <c:v>81.099999999999994</c:v>
                </c:pt>
                <c:pt idx="13">
                  <c:v>81.099999999999994</c:v>
                </c:pt>
                <c:pt idx="14">
                  <c:v>81.3</c:v>
                </c:pt>
                <c:pt idx="15">
                  <c:v>81.099999999999994</c:v>
                </c:pt>
                <c:pt idx="16">
                  <c:v>81</c:v>
                </c:pt>
                <c:pt idx="17">
                  <c:v>81</c:v>
                </c:pt>
                <c:pt idx="18">
                  <c:v>80.8</c:v>
                </c:pt>
                <c:pt idx="19">
                  <c:v>80.8</c:v>
                </c:pt>
                <c:pt idx="20">
                  <c:v>80.7</c:v>
                </c:pt>
                <c:pt idx="21">
                  <c:v>80.5</c:v>
                </c:pt>
                <c:pt idx="22">
                  <c:v>80.400000000000006</c:v>
                </c:pt>
                <c:pt idx="23">
                  <c:v>80.400000000000006</c:v>
                </c:pt>
                <c:pt idx="24">
                  <c:v>80.5</c:v>
                </c:pt>
                <c:pt idx="25">
                  <c:v>80.8</c:v>
                </c:pt>
                <c:pt idx="26">
                  <c:v>80.8</c:v>
                </c:pt>
                <c:pt idx="27">
                  <c:v>80.900000000000006</c:v>
                </c:pt>
                <c:pt idx="28">
                  <c:v>80.900000000000006</c:v>
                </c:pt>
                <c:pt idx="29">
                  <c:v>80.900000000000006</c:v>
                </c:pt>
                <c:pt idx="30">
                  <c:v>80.900000000000006</c:v>
                </c:pt>
                <c:pt idx="31">
                  <c:v>80.8</c:v>
                </c:pt>
                <c:pt idx="32">
                  <c:v>80.8</c:v>
                </c:pt>
                <c:pt idx="33">
                  <c:v>80.900000000000006</c:v>
                </c:pt>
                <c:pt idx="34">
                  <c:v>80.900000000000006</c:v>
                </c:pt>
                <c:pt idx="35">
                  <c:v>80.8</c:v>
                </c:pt>
                <c:pt idx="36">
                  <c:v>80.8</c:v>
                </c:pt>
                <c:pt idx="37">
                  <c:v>80.8</c:v>
                </c:pt>
                <c:pt idx="38">
                  <c:v>80.7</c:v>
                </c:pt>
                <c:pt idx="39">
                  <c:v>80.5</c:v>
                </c:pt>
                <c:pt idx="40">
                  <c:v>80.5</c:v>
                </c:pt>
                <c:pt idx="41">
                  <c:v>80.5</c:v>
                </c:pt>
                <c:pt idx="42">
                  <c:v>80.7</c:v>
                </c:pt>
                <c:pt idx="43">
                  <c:v>80.7</c:v>
                </c:pt>
                <c:pt idx="44">
                  <c:v>80.599999999999994</c:v>
                </c:pt>
                <c:pt idx="45">
                  <c:v>80.5</c:v>
                </c:pt>
                <c:pt idx="46">
                  <c:v>80.3</c:v>
                </c:pt>
                <c:pt idx="47">
                  <c:v>80.099999999999994</c:v>
                </c:pt>
                <c:pt idx="48">
                  <c:v>80.599999999999994</c:v>
                </c:pt>
                <c:pt idx="49">
                  <c:v>80.8</c:v>
                </c:pt>
                <c:pt idx="50">
                  <c:v>80.8</c:v>
                </c:pt>
                <c:pt idx="51">
                  <c:v>80.900000000000006</c:v>
                </c:pt>
                <c:pt idx="52">
                  <c:v>80.900000000000006</c:v>
                </c:pt>
                <c:pt idx="53">
                  <c:v>81.3</c:v>
                </c:pt>
                <c:pt idx="54">
                  <c:v>81.5</c:v>
                </c:pt>
                <c:pt idx="55">
                  <c:v>81.3</c:v>
                </c:pt>
                <c:pt idx="56">
                  <c:v>81.3</c:v>
                </c:pt>
                <c:pt idx="57">
                  <c:v>81.3</c:v>
                </c:pt>
                <c:pt idx="58">
                  <c:v>81.3</c:v>
                </c:pt>
                <c:pt idx="59">
                  <c:v>81.3</c:v>
                </c:pt>
                <c:pt idx="60">
                  <c:v>81.5</c:v>
                </c:pt>
                <c:pt idx="61">
                  <c:v>81.5</c:v>
                </c:pt>
                <c:pt idx="62">
                  <c:v>81.7</c:v>
                </c:pt>
                <c:pt idx="63">
                  <c:v>81.3</c:v>
                </c:pt>
                <c:pt idx="64">
                  <c:v>81.099999999999994</c:v>
                </c:pt>
                <c:pt idx="65">
                  <c:v>81</c:v>
                </c:pt>
                <c:pt idx="66">
                  <c:v>80.900000000000006</c:v>
                </c:pt>
                <c:pt idx="67">
                  <c:v>80.900000000000006</c:v>
                </c:pt>
                <c:pt idx="68">
                  <c:v>80.5</c:v>
                </c:pt>
                <c:pt idx="69">
                  <c:v>80.400000000000006</c:v>
                </c:pt>
                <c:pt idx="70">
                  <c:v>80.3</c:v>
                </c:pt>
                <c:pt idx="71">
                  <c:v>80.3</c:v>
                </c:pt>
                <c:pt idx="72">
                  <c:v>80.3</c:v>
                </c:pt>
                <c:pt idx="73">
                  <c:v>80.5</c:v>
                </c:pt>
                <c:pt idx="74">
                  <c:v>80.400000000000006</c:v>
                </c:pt>
                <c:pt idx="75">
                  <c:v>80.3</c:v>
                </c:pt>
                <c:pt idx="76">
                  <c:v>80.2</c:v>
                </c:pt>
                <c:pt idx="77">
                  <c:v>80.099999999999994</c:v>
                </c:pt>
                <c:pt idx="78">
                  <c:v>80.099999999999994</c:v>
                </c:pt>
                <c:pt idx="79">
                  <c:v>80</c:v>
                </c:pt>
                <c:pt idx="80">
                  <c:v>80</c:v>
                </c:pt>
                <c:pt idx="81">
                  <c:v>80.099999999999994</c:v>
                </c:pt>
                <c:pt idx="82">
                  <c:v>80.099999999999994</c:v>
                </c:pt>
                <c:pt idx="83">
                  <c:v>80.3</c:v>
                </c:pt>
                <c:pt idx="84">
                  <c:v>80.5</c:v>
                </c:pt>
                <c:pt idx="85">
                  <c:v>80.5</c:v>
                </c:pt>
                <c:pt idx="86">
                  <c:v>80.5</c:v>
                </c:pt>
                <c:pt idx="87">
                  <c:v>80.5</c:v>
                </c:pt>
                <c:pt idx="88">
                  <c:v>80.7</c:v>
                </c:pt>
                <c:pt idx="89">
                  <c:v>80.8</c:v>
                </c:pt>
                <c:pt idx="90">
                  <c:v>80.8</c:v>
                </c:pt>
                <c:pt idx="91">
                  <c:v>80.8</c:v>
                </c:pt>
                <c:pt idx="92">
                  <c:v>80.8</c:v>
                </c:pt>
                <c:pt idx="93">
                  <c:v>80.900000000000006</c:v>
                </c:pt>
                <c:pt idx="94">
                  <c:v>81</c:v>
                </c:pt>
                <c:pt idx="95">
                  <c:v>81</c:v>
                </c:pt>
                <c:pt idx="96">
                  <c:v>81.099999999999994</c:v>
                </c:pt>
                <c:pt idx="97">
                  <c:v>81</c:v>
                </c:pt>
                <c:pt idx="98">
                  <c:v>81</c:v>
                </c:pt>
                <c:pt idx="99">
                  <c:v>81</c:v>
                </c:pt>
                <c:pt idx="100">
                  <c:v>81.099999999999994</c:v>
                </c:pt>
                <c:pt idx="101">
                  <c:v>81.3</c:v>
                </c:pt>
                <c:pt idx="102">
                  <c:v>81.3</c:v>
                </c:pt>
                <c:pt idx="103">
                  <c:v>81</c:v>
                </c:pt>
                <c:pt idx="104">
                  <c:v>81</c:v>
                </c:pt>
                <c:pt idx="105">
                  <c:v>81</c:v>
                </c:pt>
                <c:pt idx="106">
                  <c:v>81.099999999999994</c:v>
                </c:pt>
                <c:pt idx="107">
                  <c:v>81.099999999999994</c:v>
                </c:pt>
                <c:pt idx="108">
                  <c:v>81.099999999999994</c:v>
                </c:pt>
                <c:pt idx="109">
                  <c:v>81.3</c:v>
                </c:pt>
                <c:pt idx="110">
                  <c:v>81.099999999999994</c:v>
                </c:pt>
                <c:pt idx="111">
                  <c:v>81</c:v>
                </c:pt>
                <c:pt idx="112">
                  <c:v>81</c:v>
                </c:pt>
                <c:pt idx="113">
                  <c:v>81.099999999999994</c:v>
                </c:pt>
                <c:pt idx="114">
                  <c:v>81.3</c:v>
                </c:pt>
                <c:pt idx="115">
                  <c:v>81.3</c:v>
                </c:pt>
                <c:pt idx="116">
                  <c:v>81.3</c:v>
                </c:pt>
                <c:pt idx="117">
                  <c:v>81.3</c:v>
                </c:pt>
                <c:pt idx="118">
                  <c:v>81</c:v>
                </c:pt>
                <c:pt idx="119">
                  <c:v>81.099999999999994</c:v>
                </c:pt>
                <c:pt idx="120">
                  <c:v>81</c:v>
                </c:pt>
                <c:pt idx="121">
                  <c:v>81</c:v>
                </c:pt>
                <c:pt idx="122">
                  <c:v>81</c:v>
                </c:pt>
                <c:pt idx="123">
                  <c:v>80.900000000000006</c:v>
                </c:pt>
                <c:pt idx="124">
                  <c:v>80.900000000000006</c:v>
                </c:pt>
                <c:pt idx="125">
                  <c:v>80.8</c:v>
                </c:pt>
                <c:pt idx="126">
                  <c:v>80.900000000000006</c:v>
                </c:pt>
                <c:pt idx="127">
                  <c:v>80.8</c:v>
                </c:pt>
                <c:pt idx="128">
                  <c:v>80.8</c:v>
                </c:pt>
                <c:pt idx="129">
                  <c:v>80.5</c:v>
                </c:pt>
                <c:pt idx="130">
                  <c:v>80.599999999999994</c:v>
                </c:pt>
                <c:pt idx="131">
                  <c:v>80.5</c:v>
                </c:pt>
                <c:pt idx="132">
                  <c:v>80.7</c:v>
                </c:pt>
                <c:pt idx="133">
                  <c:v>80.599999999999994</c:v>
                </c:pt>
                <c:pt idx="134">
                  <c:v>80.5</c:v>
                </c:pt>
                <c:pt idx="135">
                  <c:v>80.599999999999994</c:v>
                </c:pt>
                <c:pt idx="136">
                  <c:v>80.8</c:v>
                </c:pt>
                <c:pt idx="137">
                  <c:v>80.8</c:v>
                </c:pt>
                <c:pt idx="138">
                  <c:v>81</c:v>
                </c:pt>
                <c:pt idx="139">
                  <c:v>81</c:v>
                </c:pt>
                <c:pt idx="140">
                  <c:v>81</c:v>
                </c:pt>
                <c:pt idx="141">
                  <c:v>81</c:v>
                </c:pt>
                <c:pt idx="142">
                  <c:v>81</c:v>
                </c:pt>
                <c:pt idx="143">
                  <c:v>81</c:v>
                </c:pt>
                <c:pt idx="144">
                  <c:v>81</c:v>
                </c:pt>
                <c:pt idx="145">
                  <c:v>81</c:v>
                </c:pt>
                <c:pt idx="146">
                  <c:v>81.099999999999994</c:v>
                </c:pt>
                <c:pt idx="147">
                  <c:v>81.099999999999994</c:v>
                </c:pt>
                <c:pt idx="148">
                  <c:v>81</c:v>
                </c:pt>
                <c:pt idx="149">
                  <c:v>81</c:v>
                </c:pt>
                <c:pt idx="150">
                  <c:v>81.900000000000006</c:v>
                </c:pt>
                <c:pt idx="151">
                  <c:v>83</c:v>
                </c:pt>
                <c:pt idx="152">
                  <c:v>84.3</c:v>
                </c:pt>
                <c:pt idx="153">
                  <c:v>83.8</c:v>
                </c:pt>
                <c:pt idx="154">
                  <c:v>72.2</c:v>
                </c:pt>
                <c:pt idx="155">
                  <c:v>71.3</c:v>
                </c:pt>
                <c:pt idx="156">
                  <c:v>71.3</c:v>
                </c:pt>
                <c:pt idx="157">
                  <c:v>71.3</c:v>
                </c:pt>
                <c:pt idx="158">
                  <c:v>69.900000000000006</c:v>
                </c:pt>
                <c:pt idx="159">
                  <c:v>69.900000000000006</c:v>
                </c:pt>
                <c:pt idx="160">
                  <c:v>69.099999999999994</c:v>
                </c:pt>
                <c:pt idx="161">
                  <c:v>69.099999999999994</c:v>
                </c:pt>
                <c:pt idx="162">
                  <c:v>68.7</c:v>
                </c:pt>
                <c:pt idx="163">
                  <c:v>68.7</c:v>
                </c:pt>
                <c:pt idx="164">
                  <c:v>68.7</c:v>
                </c:pt>
                <c:pt idx="165">
                  <c:v>68.7</c:v>
                </c:pt>
                <c:pt idx="166">
                  <c:v>68.7</c:v>
                </c:pt>
                <c:pt idx="167">
                  <c:v>68.7</c:v>
                </c:pt>
                <c:pt idx="168">
                  <c:v>68.7</c:v>
                </c:pt>
                <c:pt idx="169">
                  <c:v>69</c:v>
                </c:pt>
                <c:pt idx="170">
                  <c:v>70.900000000000006</c:v>
                </c:pt>
                <c:pt idx="171">
                  <c:v>75.099999999999994</c:v>
                </c:pt>
                <c:pt idx="172">
                  <c:v>75.3</c:v>
                </c:pt>
                <c:pt idx="173">
                  <c:v>76.3</c:v>
                </c:pt>
                <c:pt idx="174">
                  <c:v>76.599999999999994</c:v>
                </c:pt>
                <c:pt idx="175">
                  <c:v>70.400000000000006</c:v>
                </c:pt>
                <c:pt idx="176">
                  <c:v>70</c:v>
                </c:pt>
                <c:pt idx="177">
                  <c:v>70.3</c:v>
                </c:pt>
                <c:pt idx="178">
                  <c:v>70</c:v>
                </c:pt>
                <c:pt idx="179">
                  <c:v>70</c:v>
                </c:pt>
                <c:pt idx="180">
                  <c:v>70</c:v>
                </c:pt>
                <c:pt idx="181">
                  <c:v>70.099999999999994</c:v>
                </c:pt>
                <c:pt idx="182">
                  <c:v>70.099999999999994</c:v>
                </c:pt>
                <c:pt idx="183">
                  <c:v>70.2</c:v>
                </c:pt>
                <c:pt idx="184">
                  <c:v>70.400000000000006</c:v>
                </c:pt>
                <c:pt idx="185">
                  <c:v>70.400000000000006</c:v>
                </c:pt>
                <c:pt idx="186">
                  <c:v>70.400000000000006</c:v>
                </c:pt>
                <c:pt idx="187">
                  <c:v>70.400000000000006</c:v>
                </c:pt>
                <c:pt idx="188">
                  <c:v>72</c:v>
                </c:pt>
                <c:pt idx="189">
                  <c:v>76.900000000000006</c:v>
                </c:pt>
                <c:pt idx="190">
                  <c:v>77</c:v>
                </c:pt>
                <c:pt idx="191">
                  <c:v>78.2</c:v>
                </c:pt>
                <c:pt idx="192">
                  <c:v>78.7</c:v>
                </c:pt>
                <c:pt idx="193">
                  <c:v>79</c:v>
                </c:pt>
                <c:pt idx="194">
                  <c:v>80.599999999999994</c:v>
                </c:pt>
                <c:pt idx="195">
                  <c:v>84.2</c:v>
                </c:pt>
                <c:pt idx="196">
                  <c:v>86.5</c:v>
                </c:pt>
                <c:pt idx="197">
                  <c:v>86.5</c:v>
                </c:pt>
                <c:pt idx="198">
                  <c:v>86.5</c:v>
                </c:pt>
                <c:pt idx="199">
                  <c:v>86.5</c:v>
                </c:pt>
                <c:pt idx="200">
                  <c:v>86.5</c:v>
                </c:pt>
                <c:pt idx="201">
                  <c:v>86.5</c:v>
                </c:pt>
                <c:pt idx="202">
                  <c:v>72.8</c:v>
                </c:pt>
                <c:pt idx="203">
                  <c:v>72.5</c:v>
                </c:pt>
                <c:pt idx="204">
                  <c:v>72.3</c:v>
                </c:pt>
                <c:pt idx="205">
                  <c:v>71.8</c:v>
                </c:pt>
                <c:pt idx="206">
                  <c:v>71.599999999999994</c:v>
                </c:pt>
                <c:pt idx="207">
                  <c:v>71.5</c:v>
                </c:pt>
                <c:pt idx="208">
                  <c:v>73.3</c:v>
                </c:pt>
                <c:pt idx="209">
                  <c:v>78.7</c:v>
                </c:pt>
                <c:pt idx="210">
                  <c:v>79.8</c:v>
                </c:pt>
                <c:pt idx="211">
                  <c:v>82.2</c:v>
                </c:pt>
                <c:pt idx="212">
                  <c:v>83</c:v>
                </c:pt>
                <c:pt idx="213">
                  <c:v>83</c:v>
                </c:pt>
                <c:pt idx="214">
                  <c:v>83</c:v>
                </c:pt>
                <c:pt idx="215">
                  <c:v>83</c:v>
                </c:pt>
                <c:pt idx="216">
                  <c:v>83</c:v>
                </c:pt>
                <c:pt idx="217">
                  <c:v>83</c:v>
                </c:pt>
                <c:pt idx="218">
                  <c:v>83</c:v>
                </c:pt>
                <c:pt idx="219">
                  <c:v>83</c:v>
                </c:pt>
                <c:pt idx="220">
                  <c:v>83</c:v>
                </c:pt>
                <c:pt idx="221">
                  <c:v>83</c:v>
                </c:pt>
              </c:numCache>
            </c:numRef>
          </c:val>
          <c:smooth val="0"/>
          <c:extLst>
            <c:ext xmlns:c16="http://schemas.microsoft.com/office/drawing/2014/chart" uri="{C3380CC4-5D6E-409C-BE32-E72D297353CC}">
              <c16:uniqueId val="{00000001-DC1E-47BB-91AA-3B5A677F7450}"/>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Cleaned water-flow trend</a:t>
            </a:r>
          </a:p>
        </c:rich>
      </c:tx>
      <c:overlay val="0"/>
    </c:title>
    <c:autoTitleDeleted val="0"/>
    <c:plotArea>
      <c:layout/>
      <c:lineChart>
        <c:grouping val="standard"/>
        <c:varyColors val="0"/>
        <c:ser>
          <c:idx val="0"/>
          <c:order val="0"/>
          <c:tx>
            <c:v>Flow_L_min</c:v>
          </c:tx>
          <c:cat>
            <c:numRef>
              <c:f>'10_Analysis_Data'!$E$2:$E$223</c:f>
              <c:numCache>
                <c:formatCode>General</c:formatCode>
                <c:ptCount val="222"/>
                <c:pt idx="0">
                  <c:v>5.1070000000000002</c:v>
                </c:pt>
                <c:pt idx="1">
                  <c:v>10.128</c:v>
                </c:pt>
                <c:pt idx="2">
                  <c:v>15.147</c:v>
                </c:pt>
                <c:pt idx="3">
                  <c:v>20.167000000000002</c:v>
                </c:pt>
                <c:pt idx="4">
                  <c:v>25.187999999999999</c:v>
                </c:pt>
                <c:pt idx="5">
                  <c:v>30.206</c:v>
                </c:pt>
                <c:pt idx="6">
                  <c:v>35.226999999999997</c:v>
                </c:pt>
                <c:pt idx="7">
                  <c:v>40.246000000000002</c:v>
                </c:pt>
                <c:pt idx="8">
                  <c:v>45.264000000000003</c:v>
                </c:pt>
                <c:pt idx="9">
                  <c:v>50.284999999999997</c:v>
                </c:pt>
                <c:pt idx="10">
                  <c:v>55.304000000000002</c:v>
                </c:pt>
                <c:pt idx="11">
                  <c:v>60.323999999999998</c:v>
                </c:pt>
                <c:pt idx="12">
                  <c:v>65.343000000000004</c:v>
                </c:pt>
                <c:pt idx="13">
                  <c:v>70.361999999999995</c:v>
                </c:pt>
                <c:pt idx="14">
                  <c:v>75.382000000000005</c:v>
                </c:pt>
                <c:pt idx="15">
                  <c:v>80.400999999999996</c:v>
                </c:pt>
                <c:pt idx="16">
                  <c:v>85.421000000000006</c:v>
                </c:pt>
                <c:pt idx="17">
                  <c:v>90.438999999999993</c:v>
                </c:pt>
                <c:pt idx="18">
                  <c:v>95.457999999999998</c:v>
                </c:pt>
                <c:pt idx="19">
                  <c:v>100.47799999999999</c:v>
                </c:pt>
                <c:pt idx="20">
                  <c:v>105.498</c:v>
                </c:pt>
                <c:pt idx="21">
                  <c:v>110.517</c:v>
                </c:pt>
                <c:pt idx="22">
                  <c:v>115.535</c:v>
                </c:pt>
                <c:pt idx="23">
                  <c:v>120.556</c:v>
                </c:pt>
                <c:pt idx="24">
                  <c:v>125.575</c:v>
                </c:pt>
                <c:pt idx="25">
                  <c:v>130.595</c:v>
                </c:pt>
                <c:pt idx="26">
                  <c:v>135.614</c:v>
                </c:pt>
                <c:pt idx="27">
                  <c:v>140.63399999999999</c:v>
                </c:pt>
                <c:pt idx="28">
                  <c:v>145.65299999999999</c:v>
                </c:pt>
                <c:pt idx="29">
                  <c:v>150.66999999999999</c:v>
                </c:pt>
                <c:pt idx="30">
                  <c:v>155.68700000000001</c:v>
                </c:pt>
                <c:pt idx="31">
                  <c:v>160.70500000000001</c:v>
                </c:pt>
                <c:pt idx="32">
                  <c:v>165.72399999999999</c:v>
                </c:pt>
                <c:pt idx="33">
                  <c:v>170.74100000000001</c:v>
                </c:pt>
                <c:pt idx="34">
                  <c:v>175.761</c:v>
                </c:pt>
                <c:pt idx="35">
                  <c:v>180.779</c:v>
                </c:pt>
                <c:pt idx="36">
                  <c:v>185.798</c:v>
                </c:pt>
                <c:pt idx="37">
                  <c:v>190.816</c:v>
                </c:pt>
                <c:pt idx="38">
                  <c:v>195.83500000000001</c:v>
                </c:pt>
                <c:pt idx="39">
                  <c:v>200.85300000000001</c:v>
                </c:pt>
                <c:pt idx="40">
                  <c:v>205.87299999999999</c:v>
                </c:pt>
                <c:pt idx="41">
                  <c:v>210.89</c:v>
                </c:pt>
                <c:pt idx="42">
                  <c:v>215.90899999999999</c:v>
                </c:pt>
                <c:pt idx="43">
                  <c:v>220.92599999999999</c:v>
                </c:pt>
                <c:pt idx="44">
                  <c:v>225.94499999999999</c:v>
                </c:pt>
                <c:pt idx="45">
                  <c:v>230.964</c:v>
                </c:pt>
                <c:pt idx="46">
                  <c:v>235.98099999999999</c:v>
                </c:pt>
                <c:pt idx="47">
                  <c:v>259.02</c:v>
                </c:pt>
                <c:pt idx="48">
                  <c:v>264.02</c:v>
                </c:pt>
                <c:pt idx="49">
                  <c:v>269.02100000000002</c:v>
                </c:pt>
                <c:pt idx="50">
                  <c:v>274.02100000000002</c:v>
                </c:pt>
                <c:pt idx="51">
                  <c:v>279.02</c:v>
                </c:pt>
                <c:pt idx="52">
                  <c:v>294.20999999999998</c:v>
                </c:pt>
                <c:pt idx="53">
                  <c:v>302.13400000000001</c:v>
                </c:pt>
                <c:pt idx="54">
                  <c:v>307.27699999999999</c:v>
                </c:pt>
                <c:pt idx="55">
                  <c:v>312.29599999999999</c:v>
                </c:pt>
                <c:pt idx="56">
                  <c:v>317.31599999999997</c:v>
                </c:pt>
                <c:pt idx="57">
                  <c:v>322.33300000000003</c:v>
                </c:pt>
                <c:pt idx="58">
                  <c:v>327.35300000000001</c:v>
                </c:pt>
                <c:pt idx="59">
                  <c:v>332.37099999999998</c:v>
                </c:pt>
                <c:pt idx="60">
                  <c:v>337.38900000000001</c:v>
                </c:pt>
                <c:pt idx="61">
                  <c:v>348.72300000000001</c:v>
                </c:pt>
                <c:pt idx="62">
                  <c:v>353.72199999999998</c:v>
                </c:pt>
                <c:pt idx="63">
                  <c:v>358.721</c:v>
                </c:pt>
                <c:pt idx="64">
                  <c:v>363.721</c:v>
                </c:pt>
                <c:pt idx="65">
                  <c:v>368.721</c:v>
                </c:pt>
                <c:pt idx="66">
                  <c:v>373.726</c:v>
                </c:pt>
                <c:pt idx="67">
                  <c:v>378.745</c:v>
                </c:pt>
                <c:pt idx="68">
                  <c:v>383.76299999999998</c:v>
                </c:pt>
                <c:pt idx="69">
                  <c:v>388.78199999999998</c:v>
                </c:pt>
                <c:pt idx="70">
                  <c:v>393.80099999999999</c:v>
                </c:pt>
                <c:pt idx="71">
                  <c:v>398.82100000000003</c:v>
                </c:pt>
                <c:pt idx="72">
                  <c:v>403.83800000000002</c:v>
                </c:pt>
                <c:pt idx="73">
                  <c:v>408.85700000000003</c:v>
                </c:pt>
                <c:pt idx="74">
                  <c:v>413.87700000000001</c:v>
                </c:pt>
                <c:pt idx="75">
                  <c:v>418.89400000000001</c:v>
                </c:pt>
                <c:pt idx="76">
                  <c:v>423.91300000000001</c:v>
                </c:pt>
                <c:pt idx="77">
                  <c:v>428.93200000000002</c:v>
                </c:pt>
                <c:pt idx="78">
                  <c:v>433.95100000000002</c:v>
                </c:pt>
                <c:pt idx="79">
                  <c:v>438.96899999999999</c:v>
                </c:pt>
                <c:pt idx="80">
                  <c:v>443.988</c:v>
                </c:pt>
                <c:pt idx="81">
                  <c:v>449.00700000000001</c:v>
                </c:pt>
                <c:pt idx="82">
                  <c:v>454.02499999999998</c:v>
                </c:pt>
                <c:pt idx="83">
                  <c:v>466.339</c:v>
                </c:pt>
                <c:pt idx="84">
                  <c:v>471.5</c:v>
                </c:pt>
                <c:pt idx="85">
                  <c:v>476.51799999999997</c:v>
                </c:pt>
                <c:pt idx="86">
                  <c:v>481.53800000000001</c:v>
                </c:pt>
                <c:pt idx="87">
                  <c:v>486.55500000000001</c:v>
                </c:pt>
                <c:pt idx="88">
                  <c:v>492.33100000000002</c:v>
                </c:pt>
                <c:pt idx="89">
                  <c:v>497.33</c:v>
                </c:pt>
                <c:pt idx="90">
                  <c:v>502.94200000000001</c:v>
                </c:pt>
                <c:pt idx="91">
                  <c:v>508.11599999999999</c:v>
                </c:pt>
                <c:pt idx="92">
                  <c:v>513.13400000000001</c:v>
                </c:pt>
                <c:pt idx="93">
                  <c:v>518.154</c:v>
                </c:pt>
                <c:pt idx="94">
                  <c:v>523.17100000000005</c:v>
                </c:pt>
                <c:pt idx="95">
                  <c:v>528.19000000000005</c:v>
                </c:pt>
                <c:pt idx="96">
                  <c:v>533.20899999999995</c:v>
                </c:pt>
                <c:pt idx="97">
                  <c:v>538.226</c:v>
                </c:pt>
                <c:pt idx="98">
                  <c:v>543.245</c:v>
                </c:pt>
                <c:pt idx="99">
                  <c:v>548.26400000000001</c:v>
                </c:pt>
                <c:pt idx="100">
                  <c:v>564.67100000000005</c:v>
                </c:pt>
                <c:pt idx="101">
                  <c:v>569.83000000000004</c:v>
                </c:pt>
                <c:pt idx="102">
                  <c:v>574.84900000000005</c:v>
                </c:pt>
                <c:pt idx="103">
                  <c:v>579.86699999999996</c:v>
                </c:pt>
                <c:pt idx="104">
                  <c:v>584.88599999999997</c:v>
                </c:pt>
                <c:pt idx="105">
                  <c:v>589.90300000000002</c:v>
                </c:pt>
                <c:pt idx="106">
                  <c:v>594.92100000000005</c:v>
                </c:pt>
                <c:pt idx="107">
                  <c:v>599.94100000000003</c:v>
                </c:pt>
                <c:pt idx="108">
                  <c:v>604.95799999999997</c:v>
                </c:pt>
                <c:pt idx="109">
                  <c:v>609.97799999999995</c:v>
                </c:pt>
                <c:pt idx="110">
                  <c:v>614.995</c:v>
                </c:pt>
                <c:pt idx="111">
                  <c:v>620.01499999999999</c:v>
                </c:pt>
                <c:pt idx="112">
                  <c:v>625.03300000000002</c:v>
                </c:pt>
                <c:pt idx="113">
                  <c:v>630.04999999999995</c:v>
                </c:pt>
                <c:pt idx="114">
                  <c:v>635.07000000000005</c:v>
                </c:pt>
                <c:pt idx="115">
                  <c:v>640.08799999999997</c:v>
                </c:pt>
                <c:pt idx="116">
                  <c:v>645.10500000000002</c:v>
                </c:pt>
                <c:pt idx="117">
                  <c:v>650.12400000000002</c:v>
                </c:pt>
                <c:pt idx="118">
                  <c:v>655.14099999999996</c:v>
                </c:pt>
                <c:pt idx="119">
                  <c:v>660.16099999999994</c:v>
                </c:pt>
                <c:pt idx="120">
                  <c:v>665.18</c:v>
                </c:pt>
                <c:pt idx="121">
                  <c:v>670.19600000000003</c:v>
                </c:pt>
                <c:pt idx="122">
                  <c:v>675.21400000000006</c:v>
                </c:pt>
                <c:pt idx="123">
                  <c:v>680.23099999999999</c:v>
                </c:pt>
                <c:pt idx="124">
                  <c:v>685.24900000000002</c:v>
                </c:pt>
                <c:pt idx="125">
                  <c:v>690.26800000000003</c:v>
                </c:pt>
                <c:pt idx="126">
                  <c:v>695.28599999999994</c:v>
                </c:pt>
                <c:pt idx="127">
                  <c:v>700.303</c:v>
                </c:pt>
                <c:pt idx="128">
                  <c:v>705.32</c:v>
                </c:pt>
                <c:pt idx="129">
                  <c:v>710.33799999999997</c:v>
                </c:pt>
                <c:pt idx="130">
                  <c:v>715.35699999999997</c:v>
                </c:pt>
                <c:pt idx="131">
                  <c:v>720.37300000000005</c:v>
                </c:pt>
                <c:pt idx="132">
                  <c:v>725.39200000000005</c:v>
                </c:pt>
                <c:pt idx="133">
                  <c:v>730.40800000000002</c:v>
                </c:pt>
                <c:pt idx="134">
                  <c:v>735.42700000000002</c:v>
                </c:pt>
                <c:pt idx="135">
                  <c:v>740.44399999999996</c:v>
                </c:pt>
                <c:pt idx="136">
                  <c:v>745.46100000000001</c:v>
                </c:pt>
                <c:pt idx="137">
                  <c:v>750.47799999999995</c:v>
                </c:pt>
                <c:pt idx="138">
                  <c:v>755.49400000000003</c:v>
                </c:pt>
                <c:pt idx="139">
                  <c:v>760.51300000000003</c:v>
                </c:pt>
                <c:pt idx="140">
                  <c:v>765.53</c:v>
                </c:pt>
                <c:pt idx="141">
                  <c:v>770.548</c:v>
                </c:pt>
                <c:pt idx="142">
                  <c:v>775.56500000000005</c:v>
                </c:pt>
                <c:pt idx="143">
                  <c:v>780.58100000000002</c:v>
                </c:pt>
                <c:pt idx="144">
                  <c:v>785.6</c:v>
                </c:pt>
                <c:pt idx="145">
                  <c:v>790.61699999999996</c:v>
                </c:pt>
                <c:pt idx="146">
                  <c:v>795.63499999999999</c:v>
                </c:pt>
                <c:pt idx="147">
                  <c:v>800.65200000000004</c:v>
                </c:pt>
                <c:pt idx="148">
                  <c:v>805.66800000000001</c:v>
                </c:pt>
                <c:pt idx="149">
                  <c:v>810.68700000000001</c:v>
                </c:pt>
                <c:pt idx="150">
                  <c:v>815.70399999999995</c:v>
                </c:pt>
                <c:pt idx="151">
                  <c:v>820.72</c:v>
                </c:pt>
                <c:pt idx="152">
                  <c:v>825.79499999999996</c:v>
                </c:pt>
                <c:pt idx="153">
                  <c:v>830.75199999999995</c:v>
                </c:pt>
                <c:pt idx="154">
                  <c:v>835.76300000000003</c:v>
                </c:pt>
                <c:pt idx="155">
                  <c:v>841.18299999999999</c:v>
                </c:pt>
                <c:pt idx="156">
                  <c:v>846.61500000000001</c:v>
                </c:pt>
                <c:pt idx="157">
                  <c:v>851.61500000000001</c:v>
                </c:pt>
                <c:pt idx="158">
                  <c:v>856.58500000000004</c:v>
                </c:pt>
                <c:pt idx="159">
                  <c:v>861.61699999999996</c:v>
                </c:pt>
                <c:pt idx="160">
                  <c:v>866.58399999999995</c:v>
                </c:pt>
                <c:pt idx="161">
                  <c:v>871.61599999999999</c:v>
                </c:pt>
                <c:pt idx="162">
                  <c:v>876.58399999999995</c:v>
                </c:pt>
                <c:pt idx="163">
                  <c:v>881.61599999999999</c:v>
                </c:pt>
                <c:pt idx="164">
                  <c:v>886.61599999999999</c:v>
                </c:pt>
                <c:pt idx="165">
                  <c:v>891.63300000000004</c:v>
                </c:pt>
                <c:pt idx="166">
                  <c:v>896.63300000000004</c:v>
                </c:pt>
                <c:pt idx="167">
                  <c:v>901.63400000000001</c:v>
                </c:pt>
                <c:pt idx="168">
                  <c:v>906.63300000000004</c:v>
                </c:pt>
                <c:pt idx="169">
                  <c:v>911.61900000000003</c:v>
                </c:pt>
                <c:pt idx="170">
                  <c:v>916.601</c:v>
                </c:pt>
                <c:pt idx="171">
                  <c:v>921.61699999999996</c:v>
                </c:pt>
                <c:pt idx="172">
                  <c:v>926.60199999999998</c:v>
                </c:pt>
                <c:pt idx="173">
                  <c:v>931.61800000000005</c:v>
                </c:pt>
                <c:pt idx="174">
                  <c:v>936.60299999999995</c:v>
                </c:pt>
                <c:pt idx="175">
                  <c:v>941.60199999999998</c:v>
                </c:pt>
                <c:pt idx="176">
                  <c:v>946.60299999999995</c:v>
                </c:pt>
                <c:pt idx="177">
                  <c:v>951.60299999999995</c:v>
                </c:pt>
                <c:pt idx="178">
                  <c:v>956.60299999999995</c:v>
                </c:pt>
                <c:pt idx="179">
                  <c:v>962.18399999999997</c:v>
                </c:pt>
                <c:pt idx="180">
                  <c:v>967.35799999999995</c:v>
                </c:pt>
                <c:pt idx="181">
                  <c:v>972.32500000000005</c:v>
                </c:pt>
                <c:pt idx="182">
                  <c:v>977.32600000000002</c:v>
                </c:pt>
                <c:pt idx="183">
                  <c:v>982.32600000000002</c:v>
                </c:pt>
                <c:pt idx="184">
                  <c:v>987.32600000000002</c:v>
                </c:pt>
                <c:pt idx="185">
                  <c:v>992.73599999999999</c:v>
                </c:pt>
                <c:pt idx="186">
                  <c:v>997.83600000000001</c:v>
                </c:pt>
                <c:pt idx="187">
                  <c:v>1002.823</c:v>
                </c:pt>
                <c:pt idx="188">
                  <c:v>1007.8049999999999</c:v>
                </c:pt>
                <c:pt idx="189">
                  <c:v>1012.823</c:v>
                </c:pt>
                <c:pt idx="190">
                  <c:v>1017.824</c:v>
                </c:pt>
                <c:pt idx="191">
                  <c:v>1022.841</c:v>
                </c:pt>
                <c:pt idx="192">
                  <c:v>1027.8589999999999</c:v>
                </c:pt>
                <c:pt idx="193">
                  <c:v>1032.8779999999999</c:v>
                </c:pt>
                <c:pt idx="194">
                  <c:v>1037.896</c:v>
                </c:pt>
                <c:pt idx="195">
                  <c:v>1042.97</c:v>
                </c:pt>
                <c:pt idx="196">
                  <c:v>1047.9280000000001</c:v>
                </c:pt>
                <c:pt idx="197">
                  <c:v>1052.972</c:v>
                </c:pt>
                <c:pt idx="198">
                  <c:v>1057.94</c:v>
                </c:pt>
                <c:pt idx="199">
                  <c:v>1062.9690000000001</c:v>
                </c:pt>
                <c:pt idx="200">
                  <c:v>1068.4760000000001</c:v>
                </c:pt>
                <c:pt idx="201">
                  <c:v>1073.4749999999999</c:v>
                </c:pt>
                <c:pt idx="202">
                  <c:v>1078.444</c:v>
                </c:pt>
                <c:pt idx="203">
                  <c:v>1083.444</c:v>
                </c:pt>
                <c:pt idx="204">
                  <c:v>1088.444</c:v>
                </c:pt>
                <c:pt idx="205">
                  <c:v>1093.443</c:v>
                </c:pt>
                <c:pt idx="206">
                  <c:v>1098.443</c:v>
                </c:pt>
                <c:pt idx="207">
                  <c:v>1103.461</c:v>
                </c:pt>
                <c:pt idx="208">
                  <c:v>1108.444</c:v>
                </c:pt>
                <c:pt idx="209">
                  <c:v>1113.4580000000001</c:v>
                </c:pt>
                <c:pt idx="210">
                  <c:v>1118.443</c:v>
                </c:pt>
                <c:pt idx="211">
                  <c:v>1123.4739999999999</c:v>
                </c:pt>
                <c:pt idx="212">
                  <c:v>1128.4739999999999</c:v>
                </c:pt>
                <c:pt idx="213">
                  <c:v>1133.5170000000001</c:v>
                </c:pt>
                <c:pt idx="214">
                  <c:v>1138.518</c:v>
                </c:pt>
                <c:pt idx="215">
                  <c:v>1143.518</c:v>
                </c:pt>
                <c:pt idx="216">
                  <c:v>1148.5170000000001</c:v>
                </c:pt>
                <c:pt idx="217">
                  <c:v>1153.5170000000001</c:v>
                </c:pt>
                <c:pt idx="218">
                  <c:v>1158.5170000000001</c:v>
                </c:pt>
                <c:pt idx="219">
                  <c:v>1163.5170000000001</c:v>
                </c:pt>
                <c:pt idx="220">
                  <c:v>1168.518</c:v>
                </c:pt>
                <c:pt idx="221">
                  <c:v>1173.5170000000001</c:v>
                </c:pt>
              </c:numCache>
            </c:numRef>
          </c:cat>
          <c:val>
            <c:numRef>
              <c:f>'10_Analysis_Data'!$F$2:$F$223</c:f>
              <c:numCache>
                <c:formatCode>General</c:formatCode>
                <c:ptCount val="2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0.6978700000000001</c:v>
                </c:pt>
                <c:pt idx="155">
                  <c:v>0.67227000000000003</c:v>
                </c:pt>
                <c:pt idx="156">
                  <c:v>0.71492999999999995</c:v>
                </c:pt>
                <c:pt idx="157">
                  <c:v>0.66052999999999995</c:v>
                </c:pt>
                <c:pt idx="158">
                  <c:v>0.65733000000000008</c:v>
                </c:pt>
                <c:pt idx="159">
                  <c:v>0.65332999999999997</c:v>
                </c:pt>
                <c:pt idx="160">
                  <c:v>0.63227</c:v>
                </c:pt>
                <c:pt idx="161">
                  <c:v>0.66933000000000009</c:v>
                </c:pt>
                <c:pt idx="162">
                  <c:v>0.72026999999999997</c:v>
                </c:pt>
                <c:pt idx="163">
                  <c:v>0.74239999999999995</c:v>
                </c:pt>
                <c:pt idx="164">
                  <c:v>0.73466999999999993</c:v>
                </c:pt>
                <c:pt idx="165">
                  <c:v>0.69200000000000006</c:v>
                </c:pt>
                <c:pt idx="166">
                  <c:v>0.73199999999999998</c:v>
                </c:pt>
                <c:pt idx="167">
                  <c:v>0.96747000000000005</c:v>
                </c:pt>
                <c:pt idx="168">
                  <c:v>2.6135999999999999</c:v>
                </c:pt>
                <c:pt idx="169">
                  <c:v>3.9472000000000005</c:v>
                </c:pt>
                <c:pt idx="170">
                  <c:v>0.187</c:v>
                </c:pt>
                <c:pt idx="171">
                  <c:v>0</c:v>
                </c:pt>
                <c:pt idx="172">
                  <c:v>0</c:v>
                </c:pt>
                <c:pt idx="173">
                  <c:v>0</c:v>
                </c:pt>
                <c:pt idx="174">
                  <c:v>0</c:v>
                </c:pt>
                <c:pt idx="175">
                  <c:v>1.6991999999999998</c:v>
                </c:pt>
                <c:pt idx="176">
                  <c:v>4.9629300000000001</c:v>
                </c:pt>
                <c:pt idx="177">
                  <c:v>2.7834699999999999</c:v>
                </c:pt>
                <c:pt idx="178">
                  <c:v>1.8738699999999999</c:v>
                </c:pt>
                <c:pt idx="179">
                  <c:v>1.5773300000000001</c:v>
                </c:pt>
                <c:pt idx="180">
                  <c:v>1.1237300000000001</c:v>
                </c:pt>
                <c:pt idx="181">
                  <c:v>1.0512000000000001</c:v>
                </c:pt>
                <c:pt idx="182">
                  <c:v>1.0087999999999999</c:v>
                </c:pt>
                <c:pt idx="183">
                  <c:v>0.97040000000000004</c:v>
                </c:pt>
                <c:pt idx="184">
                  <c:v>0.9</c:v>
                </c:pt>
                <c:pt idx="185">
                  <c:v>0.96719999999999995</c:v>
                </c:pt>
                <c:pt idx="186">
                  <c:v>0.92879999999999996</c:v>
                </c:pt>
                <c:pt idx="187">
                  <c:v>0.88159999999999994</c:v>
                </c:pt>
                <c:pt idx="188">
                  <c:v>0.107</c:v>
                </c:pt>
                <c:pt idx="189">
                  <c:v>0</c:v>
                </c:pt>
                <c:pt idx="190">
                  <c:v>0</c:v>
                </c:pt>
                <c:pt idx="191">
                  <c:v>0</c:v>
                </c:pt>
                <c:pt idx="192">
                  <c:v>0</c:v>
                </c:pt>
                <c:pt idx="193">
                  <c:v>0</c:v>
                </c:pt>
                <c:pt idx="194">
                  <c:v>0</c:v>
                </c:pt>
                <c:pt idx="195">
                  <c:v>0</c:v>
                </c:pt>
                <c:pt idx="196">
                  <c:v>0</c:v>
                </c:pt>
                <c:pt idx="197">
                  <c:v>0.86266999999999994</c:v>
                </c:pt>
                <c:pt idx="198">
                  <c:v>0.83840000000000003</c:v>
                </c:pt>
                <c:pt idx="199">
                  <c:v>0.80266999999999999</c:v>
                </c:pt>
                <c:pt idx="200">
                  <c:v>0.88052999999999992</c:v>
                </c:pt>
                <c:pt idx="201">
                  <c:v>0.80879999999999996</c:v>
                </c:pt>
                <c:pt idx="202">
                  <c:v>0.78772999999999993</c:v>
                </c:pt>
                <c:pt idx="203">
                  <c:v>0.81333</c:v>
                </c:pt>
                <c:pt idx="204">
                  <c:v>0.83066999999999991</c:v>
                </c:pt>
                <c:pt idx="205">
                  <c:v>0.8178700000000001</c:v>
                </c:pt>
                <c:pt idx="206">
                  <c:v>0.82186999999999999</c:v>
                </c:pt>
                <c:pt idx="207">
                  <c:v>0.80906999999999996</c:v>
                </c:pt>
                <c:pt idx="208">
                  <c:v>0.107</c:v>
                </c:pt>
                <c:pt idx="209">
                  <c:v>0</c:v>
                </c:pt>
                <c:pt idx="210">
                  <c:v>0</c:v>
                </c:pt>
                <c:pt idx="211">
                  <c:v>0</c:v>
                </c:pt>
                <c:pt idx="212">
                  <c:v>0</c:v>
                </c:pt>
                <c:pt idx="213">
                  <c:v>0.69307000000000007</c:v>
                </c:pt>
                <c:pt idx="214">
                  <c:v>0.70772999999999997</c:v>
                </c:pt>
                <c:pt idx="215">
                  <c:v>0.78107000000000004</c:v>
                </c:pt>
                <c:pt idx="216">
                  <c:v>0.78079999999999994</c:v>
                </c:pt>
                <c:pt idx="217">
                  <c:v>0.79519999999999991</c:v>
                </c:pt>
                <c:pt idx="218">
                  <c:v>0.74533000000000005</c:v>
                </c:pt>
                <c:pt idx="219">
                  <c:v>0.74612999999999996</c:v>
                </c:pt>
                <c:pt idx="220">
                  <c:v>0.79920000000000002</c:v>
                </c:pt>
                <c:pt idx="221">
                  <c:v>0.80747000000000002</c:v>
                </c:pt>
              </c:numCache>
            </c:numRef>
          </c:val>
          <c:smooth val="0"/>
          <c:extLst>
            <c:ext xmlns:c16="http://schemas.microsoft.com/office/drawing/2014/chart" uri="{C3380CC4-5D6E-409C-BE32-E72D297353CC}">
              <c16:uniqueId val="{00000000-B915-4040-AEFE-AA9CD70013D7}"/>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Fire-stage distribution</a:t>
            </a:r>
          </a:p>
        </c:rich>
      </c:tx>
      <c:overlay val="0"/>
    </c:title>
    <c:autoTitleDeleted val="0"/>
    <c:plotArea>
      <c:layout/>
      <c:barChart>
        <c:barDir val="col"/>
        <c:grouping val="clustered"/>
        <c:varyColors val="0"/>
        <c:ser>
          <c:idx val="0"/>
          <c:order val="0"/>
          <c:tx>
            <c:v>Count</c:v>
          </c:tx>
          <c:invertIfNegative val="1"/>
          <c:cat>
            <c:strRef>
              <c:f>'10_Analysis_Data'!$H$2:$H$7</c:f>
              <c:strCache>
                <c:ptCount val="6"/>
                <c:pt idx="0">
                  <c:v>IDLE</c:v>
                </c:pt>
                <c:pt idx="1">
                  <c:v>FIRE_DETECTED</c:v>
                </c:pt>
                <c:pt idx="2">
                  <c:v>PUMPING</c:v>
                </c:pt>
                <c:pt idx="3">
                  <c:v>HUMIDIFYING</c:v>
                </c:pt>
                <c:pt idx="4">
                  <c:v>STABLE</c:v>
                </c:pt>
                <c:pt idx="5">
                  <c:v>BLOCKED</c:v>
                </c:pt>
              </c:strCache>
            </c:strRef>
          </c:cat>
          <c:val>
            <c:numRef>
              <c:f>'10_Analysis_Data'!$I$2:$I$7</c:f>
              <c:numCache>
                <c:formatCode>General</c:formatCode>
                <c:ptCount val="6"/>
                <c:pt idx="0">
                  <c:v>159</c:v>
                </c:pt>
                <c:pt idx="1">
                  <c:v>4</c:v>
                </c:pt>
                <c:pt idx="2">
                  <c:v>50</c:v>
                </c:pt>
                <c:pt idx="3">
                  <c:v>6</c:v>
                </c:pt>
                <c:pt idx="4">
                  <c:v>3</c:v>
                </c:pt>
                <c:pt idx="5">
                  <c:v>0</c:v>
                </c:pt>
              </c:numCache>
            </c:numRef>
          </c:val>
          <c:extLst>
            <c:ext xmlns:c16="http://schemas.microsoft.com/office/drawing/2014/chart" uri="{C3380CC4-5D6E-409C-BE32-E72D297353CC}">
              <c16:uniqueId val="{00000000-50F2-4FAB-B8C0-E1AE1151DB4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Snapshot data-quality grades</a:t>
            </a:r>
          </a:p>
        </c:rich>
      </c:tx>
      <c:overlay val="0"/>
    </c:title>
    <c:autoTitleDeleted val="0"/>
    <c:plotArea>
      <c:layout/>
      <c:barChart>
        <c:barDir val="col"/>
        <c:grouping val="clustered"/>
        <c:varyColors val="0"/>
        <c:ser>
          <c:idx val="0"/>
          <c:order val="0"/>
          <c:tx>
            <c:v>Count</c:v>
          </c:tx>
          <c:invertIfNegative val="1"/>
          <c:cat>
            <c:strRef>
              <c:f>'10_Analysis_Data'!$K$2:$K$5</c:f>
              <c:strCache>
                <c:ptCount val="4"/>
                <c:pt idx="0">
                  <c:v>A</c:v>
                </c:pt>
                <c:pt idx="1">
                  <c:v>B</c:v>
                </c:pt>
                <c:pt idx="2">
                  <c:v>C</c:v>
                </c:pt>
                <c:pt idx="3">
                  <c:v>D</c:v>
                </c:pt>
              </c:strCache>
            </c:strRef>
          </c:cat>
          <c:val>
            <c:numRef>
              <c:f>'10_Analysis_Data'!$L$2:$L$5</c:f>
              <c:numCache>
                <c:formatCode>General</c:formatCode>
                <c:ptCount val="4"/>
                <c:pt idx="0">
                  <c:v>211</c:v>
                </c:pt>
                <c:pt idx="1">
                  <c:v>1</c:v>
                </c:pt>
                <c:pt idx="2">
                  <c:v>30</c:v>
                </c:pt>
                <c:pt idx="3">
                  <c:v>0</c:v>
                </c:pt>
              </c:numCache>
            </c:numRef>
          </c:val>
          <c:extLst>
            <c:ext xmlns:c16="http://schemas.microsoft.com/office/drawing/2014/chart" uri="{C3380CC4-5D6E-409C-BE32-E72D297353CC}">
              <c16:uniqueId val="{00000000-490A-4932-A60C-F2509DD8D15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Load-cell calibration: measured vs ideal</a:t>
            </a:r>
          </a:p>
        </c:rich>
      </c:tx>
      <c:overlay val="0"/>
    </c:title>
    <c:autoTitleDeleted val="0"/>
    <c:plotArea>
      <c:layout/>
      <c:lineChart>
        <c:grouping val="standard"/>
        <c:varyColors val="0"/>
        <c:ser>
          <c:idx val="0"/>
          <c:order val="0"/>
          <c:tx>
            <c:v>Average_Measured_g</c:v>
          </c:tx>
          <c:cat>
            <c:numRef>
              <c:f>'11_Firmware_Calibration'!$L$8:$L$10</c:f>
              <c:numCache>
                <c:formatCode>General</c:formatCode>
                <c:ptCount val="3"/>
                <c:pt idx="0">
                  <c:v>500</c:v>
                </c:pt>
                <c:pt idx="1">
                  <c:v>1000</c:v>
                </c:pt>
                <c:pt idx="2">
                  <c:v>2000</c:v>
                </c:pt>
              </c:numCache>
            </c:numRef>
          </c:cat>
          <c:val>
            <c:numRef>
              <c:f>'11_Firmware_Calibration'!$M$8:$M$10</c:f>
              <c:numCache>
                <c:formatCode>General</c:formatCode>
                <c:ptCount val="3"/>
                <c:pt idx="0">
                  <c:v>17.136199999999999</c:v>
                </c:pt>
                <c:pt idx="1">
                  <c:v>6.1990600000000002</c:v>
                </c:pt>
                <c:pt idx="2">
                  <c:v>2.7609599999999999</c:v>
                </c:pt>
              </c:numCache>
            </c:numRef>
          </c:val>
          <c:smooth val="0"/>
          <c:extLst>
            <c:ext xmlns:c16="http://schemas.microsoft.com/office/drawing/2014/chart" uri="{C3380CC4-5D6E-409C-BE32-E72D297353CC}">
              <c16:uniqueId val="{00000000-CB20-4D95-AA76-13C3D1D76077}"/>
            </c:ext>
          </c:extLst>
        </c:ser>
        <c:ser>
          <c:idx val="1"/>
          <c:order val="1"/>
          <c:tx>
            <c:v>Ideal_g</c:v>
          </c:tx>
          <c:cat>
            <c:numRef>
              <c:f>'11_Firmware_Calibration'!$L$8:$L$10</c:f>
              <c:numCache>
                <c:formatCode>General</c:formatCode>
                <c:ptCount val="3"/>
                <c:pt idx="0">
                  <c:v>500</c:v>
                </c:pt>
                <c:pt idx="1">
                  <c:v>1000</c:v>
                </c:pt>
                <c:pt idx="2">
                  <c:v>2000</c:v>
                </c:pt>
              </c:numCache>
            </c:numRef>
          </c:cat>
          <c:val>
            <c:numRef>
              <c:f>'11_Firmware_Calibration'!$N$8:$N$10</c:f>
              <c:numCache>
                <c:formatCode>General</c:formatCode>
                <c:ptCount val="3"/>
                <c:pt idx="0">
                  <c:v>500</c:v>
                </c:pt>
                <c:pt idx="1">
                  <c:v>1000</c:v>
                </c:pt>
                <c:pt idx="2">
                  <c:v>2000</c:v>
                </c:pt>
              </c:numCache>
            </c:numRef>
          </c:val>
          <c:smooth val="0"/>
          <c:extLst>
            <c:ext xmlns:c16="http://schemas.microsoft.com/office/drawing/2014/chart" uri="{C3380CC4-5D6E-409C-BE32-E72D297353CC}">
              <c16:uniqueId val="{00000001-CB20-4D95-AA76-13C3D1D76077}"/>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Synthetic calibration error: before vs after correction</a:t>
            </a:r>
          </a:p>
        </c:rich>
      </c:tx>
      <c:overlay val="0"/>
    </c:title>
    <c:autoTitleDeleted val="0"/>
    <c:plotArea>
      <c:layout/>
      <c:barChart>
        <c:barDir val="col"/>
        <c:grouping val="clustered"/>
        <c:varyColors val="0"/>
        <c:ser>
          <c:idx val="0"/>
          <c:order val="0"/>
          <c:tx>
            <c:v>Before_Abs_Error_pct</c:v>
          </c:tx>
          <c:invertIfNegative val="1"/>
          <c:cat>
            <c:strRef>
              <c:f>'13_Statistical_Calibration'!$M$41:$M$52</c:f>
              <c:strCache>
                <c:ptCount val="12"/>
                <c:pt idx="0">
                  <c:v>temperature P1</c:v>
                </c:pt>
                <c:pt idx="1">
                  <c:v>temperature P2</c:v>
                </c:pt>
                <c:pt idx="2">
                  <c:v>temperature P3</c:v>
                </c:pt>
                <c:pt idx="3">
                  <c:v>humidity P1</c:v>
                </c:pt>
                <c:pt idx="4">
                  <c:v>humidity P2</c:v>
                </c:pt>
                <c:pt idx="5">
                  <c:v>humidity P3</c:v>
                </c:pt>
                <c:pt idx="6">
                  <c:v>YF-S201 flow P1</c:v>
                </c:pt>
                <c:pt idx="7">
                  <c:v>YF-S201 flow P2</c:v>
                </c:pt>
                <c:pt idx="8">
                  <c:v>YF-S201 flow P3</c:v>
                </c:pt>
                <c:pt idx="9">
                  <c:v>TCRT5000 optical P1</c:v>
                </c:pt>
                <c:pt idx="10">
                  <c:v>TCRT5000 optical P2</c:v>
                </c:pt>
                <c:pt idx="11">
                  <c:v>TCRT5000 optical P3</c:v>
                </c:pt>
              </c:strCache>
            </c:strRef>
          </c:cat>
          <c:val>
            <c:numRef>
              <c:f>'13_Statistical_Calibration'!$N$41:$N$52</c:f>
              <c:numCache>
                <c:formatCode>General</c:formatCode>
                <c:ptCount val="12"/>
                <c:pt idx="0">
                  <c:v>0.74074074074073804</c:v>
                </c:pt>
                <c:pt idx="1">
                  <c:v>0.72727272727272463</c:v>
                </c:pt>
                <c:pt idx="2">
                  <c:v>0.71428571428571175</c:v>
                </c:pt>
                <c:pt idx="3">
                  <c:v>0</c:v>
                </c:pt>
                <c:pt idx="4">
                  <c:v>0.24691358024691709</c:v>
                </c:pt>
                <c:pt idx="5">
                  <c:v>0.12195121951218818</c:v>
                </c:pt>
                <c:pt idx="6">
                  <c:v>2.8571428571425424E-2</c:v>
                </c:pt>
                <c:pt idx="7">
                  <c:v>1.1374999999999997</c:v>
                </c:pt>
                <c:pt idx="8">
                  <c:v>0.89333333333333853</c:v>
                </c:pt>
                <c:pt idx="9">
                  <c:v>0.69333333333333935</c:v>
                </c:pt>
                <c:pt idx="10">
                  <c:v>0.29411764705882354</c:v>
                </c:pt>
                <c:pt idx="11">
                  <c:v>0.10404624277456384</c:v>
                </c:pt>
              </c:numCache>
            </c:numRef>
          </c:val>
          <c:extLst>
            <c:ext xmlns:c16="http://schemas.microsoft.com/office/drawing/2014/chart" uri="{C3380CC4-5D6E-409C-BE32-E72D297353CC}">
              <c16:uniqueId val="{00000000-9A41-4E07-93A1-1CBAC23FD741}"/>
            </c:ext>
          </c:extLst>
        </c:ser>
        <c:ser>
          <c:idx val="1"/>
          <c:order val="1"/>
          <c:tx>
            <c:v>After_Abs_Error_pct</c:v>
          </c:tx>
          <c:invertIfNegative val="1"/>
          <c:cat>
            <c:strRef>
              <c:f>'13_Statistical_Calibration'!$M$41:$M$52</c:f>
              <c:strCache>
                <c:ptCount val="12"/>
                <c:pt idx="0">
                  <c:v>temperature P1</c:v>
                </c:pt>
                <c:pt idx="1">
                  <c:v>temperature P2</c:v>
                </c:pt>
                <c:pt idx="2">
                  <c:v>temperature P3</c:v>
                </c:pt>
                <c:pt idx="3">
                  <c:v>humidity P1</c:v>
                </c:pt>
                <c:pt idx="4">
                  <c:v>humidity P2</c:v>
                </c:pt>
                <c:pt idx="5">
                  <c:v>humidity P3</c:v>
                </c:pt>
                <c:pt idx="6">
                  <c:v>YF-S201 flow P1</c:v>
                </c:pt>
                <c:pt idx="7">
                  <c:v>YF-S201 flow P2</c:v>
                </c:pt>
                <c:pt idx="8">
                  <c:v>YF-S201 flow P3</c:v>
                </c:pt>
                <c:pt idx="9">
                  <c:v>TCRT5000 optical P1</c:v>
                </c:pt>
                <c:pt idx="10">
                  <c:v>TCRT5000 optical P2</c:v>
                </c:pt>
                <c:pt idx="11">
                  <c:v>TCRT5000 optical P3</c:v>
                </c:pt>
              </c:strCache>
            </c:strRef>
          </c:cat>
          <c:val>
            <c:numRef>
              <c:f>'13_Statistical_Calibration'!$O$41:$O$52</c:f>
              <c:numCache>
                <c:formatCode>General</c:formatCode>
                <c:ptCount val="12"/>
                <c:pt idx="0">
                  <c:v>0.73260073259999314</c:v>
                </c:pt>
                <c:pt idx="1">
                  <c:v>0.79920079920131315</c:v>
                </c:pt>
                <c:pt idx="2">
                  <c:v>7.8492935637023267E-2</c:v>
                </c:pt>
                <c:pt idx="3">
                  <c:v>2.4552391024944394E-2</c:v>
                </c:pt>
                <c:pt idx="4">
                  <c:v>0.19749169229156413</c:v>
                </c:pt>
                <c:pt idx="5">
                  <c:v>0.17412389882765542</c:v>
                </c:pt>
                <c:pt idx="6">
                  <c:v>0.77783250263487236</c:v>
                </c:pt>
                <c:pt idx="7">
                  <c:v>0.79040411282502165</c:v>
                </c:pt>
                <c:pt idx="8">
                  <c:v>5.8560358943745193E-2</c:v>
                </c:pt>
                <c:pt idx="9">
                  <c:v>1.0556365762007166E-2</c:v>
                </c:pt>
                <c:pt idx="10">
                  <c:v>6.6940526333249137E-2</c:v>
                </c:pt>
                <c:pt idx="11">
                  <c:v>5.6626789666744101E-2</c:v>
                </c:pt>
              </c:numCache>
            </c:numRef>
          </c:val>
          <c:extLst>
            <c:ext xmlns:c16="http://schemas.microsoft.com/office/drawing/2014/chart" uri="{C3380CC4-5D6E-409C-BE32-E72D297353CC}">
              <c16:uniqueId val="{00000001-9A41-4E07-93A1-1CBAC23FD74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0</xdr:rowOff>
    </xdr:from>
    <xdr:to>
      <xdr:col>8</xdr:col>
      <xdr:colOff>0</xdr:colOff>
      <xdr:row>33</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16</xdr:col>
      <xdr:colOff>0</xdr:colOff>
      <xdr:row>33</xdr:row>
      <xdr:rowOff>0</xdr:rowOff>
    </xdr:to>
    <xdr:graphicFrame macro="">
      <xdr:nvGraphicFramePr>
        <xdr:cNvPr id="3" nam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0</xdr:rowOff>
    </xdr:from>
    <xdr:to>
      <xdr:col>8</xdr:col>
      <xdr:colOff>0</xdr:colOff>
      <xdr:row>50</xdr:row>
      <xdr:rowOff>0</xdr:rowOff>
    </xdr:to>
    <xdr:graphicFrame macro="">
      <xdr:nvGraphicFramePr>
        <xdr:cNvPr id="4" name="Chart">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34</xdr:row>
      <xdr:rowOff>0</xdr:rowOff>
    </xdr:from>
    <xdr:to>
      <xdr:col>16</xdr:col>
      <xdr:colOff>0</xdr:colOff>
      <xdr:row>50</xdr:row>
      <xdr:rowOff>0</xdr:rowOff>
    </xdr:to>
    <xdr:graphicFrame macro="">
      <xdr:nvGraphicFramePr>
        <xdr:cNvPr id="5" name="Chart">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11</xdr:row>
      <xdr:rowOff>0</xdr:rowOff>
    </xdr:from>
    <xdr:to>
      <xdr:col>19</xdr:col>
      <xdr:colOff>0</xdr:colOff>
      <xdr:row>28</xdr:row>
      <xdr:rowOff>0</xdr:rowOff>
    </xdr:to>
    <xdr:graphicFrame macro="">
      <xdr:nvGraphicFramePr>
        <xdr:cNvPr id="2" name="Chart">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0</xdr:colOff>
      <xdr:row>1</xdr:row>
      <xdr:rowOff>0</xdr:rowOff>
    </xdr:from>
    <xdr:to>
      <xdr:col>21</xdr:col>
      <xdr:colOff>0</xdr:colOff>
      <xdr:row>20</xdr:row>
      <xdr:rowOff>0</xdr:rowOff>
    </xdr:to>
    <xdr:graphicFrame macro="">
      <xdr:nvGraphicFramePr>
        <xdr:cNvPr id="2" name="Chart">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andaloneParametersTable" displayName="StandaloneParametersTable" ref="A4:F21">
  <tableColumns count="6">
    <tableColumn id="1" xr3:uid="{00000000-0010-0000-0000-000001000000}" name="Parameter"/>
    <tableColumn id="2" xr3:uid="{00000000-0010-0000-0000-000002000000}" name="Value"/>
    <tableColumn id="3" xr3:uid="{00000000-0010-0000-0000-000003000000}" name="Unit"/>
    <tableColumn id="4" xr3:uid="{00000000-0010-0000-0000-000004000000}" name="Status"/>
    <tableColumn id="5" xr3:uid="{00000000-0010-0000-0000-000005000000}" name="Engineering basis"/>
    <tableColumn id="6" xr3:uid="{00000000-0010-0000-0000-000006000000}" name="Used i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1000000}" name="FirmwareCalibrationParametersTable" displayName="FirmwareCalibrationParametersTable" ref="A24:F31" headerRowCount="0">
  <tableColumns count="6">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StandaloneMasterDataTable" displayName="StandaloneMasterDataTable" ref="A2:BA372">
  <tableColumns count="53">
    <tableColumn id="1" xr3:uid="{00000000-0010-0000-0200-000001000000}" name="Record_ID"/>
    <tableColumn id="2" xr3:uid="{00000000-0010-0000-0200-000002000000}" name="Record_Type"/>
    <tableColumn id="3" xr3:uid="{00000000-0010-0000-0200-000003000000}" name="Timestamp_ms"/>
    <tableColumn id="4" xr3:uid="{00000000-0010-0000-0200-000004000000}" name="Time_s"/>
    <tableColumn id="5" xr3:uid="{00000000-0010-0000-0200-000005000000}" name="Mode"/>
    <tableColumn id="6" xr3:uid="{00000000-0010-0000-0200-000006000000}" name="Sample_ID"/>
    <tableColumn id="7" xr3:uid="{00000000-0010-0000-0200-000007000000}" name="Subsystem"/>
    <tableColumn id="8" xr3:uid="{00000000-0010-0000-0200-000008000000}" name="Sensor_or_Event"/>
    <tableColumn id="9" xr3:uid="{00000000-0010-0000-0200-000009000000}" name="Event_Category"/>
    <tableColumn id="10" xr3:uid="{00000000-0010-0000-0200-00000A000000}" name="Event_Detail"/>
    <tableColumn id="11" xr3:uid="{00000000-0010-0000-0200-00000B000000}" name="Fire_Cycle_ID"/>
    <tableColumn id="12" xr3:uid="{00000000-0010-0000-0200-00000C000000}" name="Fire_Stage"/>
    <tableColumn id="13" xr3:uid="{00000000-0010-0000-0200-00000D000000}" name="Stage_Code"/>
    <tableColumn id="14" xr3:uid="{00000000-0010-0000-0200-00000E000000}" name="Wrong_Attempts"/>
    <tableColumn id="15" xr3:uid="{00000000-0010-0000-0200-00000F000000}" name="Temperature_Raw_C"/>
    <tableColumn id="16" xr3:uid="{00000000-0010-0000-0200-000010000000}" name="Temperature_Clean_C"/>
    <tableColumn id="17" xr3:uid="{00000000-0010-0000-0200-000011000000}" name="Temperature_Analysis_C"/>
    <tableColumn id="18" xr3:uid="{00000000-0010-0000-0200-000012000000}" name="Temperature_Status"/>
    <tableColumn id="19" xr3:uid="{00000000-0010-0000-0200-000013000000}" name="Humidity_Raw_pct"/>
    <tableColumn id="20" xr3:uid="{00000000-0010-0000-0200-000014000000}" name="Humidity_Clean_pct"/>
    <tableColumn id="21" xr3:uid="{00000000-0010-0000-0200-000015000000}" name="Humidity_Analysis_pct"/>
    <tableColumn id="22" xr3:uid="{00000000-0010-0000-0200-000016000000}" name="Humidity_Status"/>
    <tableColumn id="23" xr3:uid="{00000000-0010-0000-0200-000017000000}" name="Entry_Weight_Raw_g"/>
    <tableColumn id="24" xr3:uid="{00000000-0010-0000-0200-000018000000}" name="Entry_Weight_Positive_g"/>
    <tableColumn id="25" xr3:uid="{00000000-0010-0000-0200-000019000000}" name="Weight_Status"/>
    <tableColumn id="26" xr3:uid="{00000000-0010-0000-0200-00001A000000}" name="Optical_Raw_ADC"/>
    <tableColumn id="27" xr3:uid="{00000000-0010-0000-0200-00001B000000}" name="Proximity_Raw_Flag"/>
    <tableColumn id="28" xr3:uid="{00000000-0010-0000-0200-00001C000000}" name="Optical_Detected"/>
    <tableColumn id="29" xr3:uid="{00000000-0010-0000-0200-00001D000000}" name="Weight_Detected"/>
    <tableColumn id="30" xr3:uid="{00000000-0010-0000-0200-00001E000000}" name="Person_Detected_Reported"/>
    <tableColumn id="31" xr3:uid="{00000000-0010-0000-0200-00001F000000}" name="Person_Detected_Final"/>
    <tableColumn id="32" xr3:uid="{00000000-0010-0000-0200-000020000000}" name="Detection_Evidence"/>
    <tableColumn id="33" xr3:uid="{00000000-0010-0000-0200-000021000000}" name="Flow_Raw"/>
    <tableColumn id="34" xr3:uid="{00000000-0010-0000-0200-000022000000}" name="Flow_Clean_L_min"/>
    <tableColumn id="35" xr3:uid="{00000000-0010-0000-0200-000023000000}" name="Flow_Status"/>
    <tableColumn id="36" xr3:uid="{00000000-0010-0000-0200-000024000000}" name="Pump_Expected"/>
    <tableColumn id="37" xr3:uid="{00000000-0010-0000-0200-000025000000}" name="Humidifier_Expected"/>
    <tableColumn id="38" xr3:uid="{00000000-0010-0000-0200-000026000000}" name="Fan_Reported"/>
    <tableColumn id="39" xr3:uid="{00000000-0010-0000-0200-000027000000}" name="Fire_Alarm_Expected"/>
    <tableColumn id="40" xr3:uid="{00000000-0010-0000-0200-000028000000}" name="Security_Alarm_Expected"/>
    <tableColumn id="41" xr3:uid="{00000000-0010-0000-0200-000029000000}" name="Potential_Blockage_Flag"/>
    <tableColumn id="42" xr3:uid="{00000000-0010-0000-0200-00002A000000}" name="Calibration_Reference_g"/>
    <tableColumn id="43" xr3:uid="{00000000-0010-0000-0200-00002B000000}" name="Calibration_Error_g"/>
    <tableColumn id="44" xr3:uid="{00000000-0010-0000-0200-00002C000000}" name="Calibration_Error_pct"/>
    <tableColumn id="45" xr3:uid="{00000000-0010-0000-0200-00002D000000}" name="Calibration_Point"/>
    <tableColumn id="46" xr3:uid="{00000000-0010-0000-0200-00002E000000}" name="Trial"/>
    <tableColumn id="47" xr3:uid="{00000000-0010-0000-0200-00002F000000}" name="Original_Unit"/>
    <tableColumn id="48" xr3:uid="{00000000-0010-0000-0200-000030000000}" name="Original_Status"/>
    <tableColumn id="49" xr3:uid="{00000000-0010-0000-0200-000031000000}" name="Processing_Method"/>
    <tableColumn id="50" xr3:uid="{00000000-0010-0000-0200-000032000000}" name="Data_Quality_Score"/>
    <tableColumn id="51" xr3:uid="{00000000-0010-0000-0200-000033000000}" name="Data_Quality_Grade"/>
    <tableColumn id="52" xr3:uid="{00000000-0010-0000-0200-000034000000}" name="README_Alignment"/>
    <tableColumn id="53" xr3:uid="{00000000-0010-0000-0200-000035000000}"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StandaloneTimeSeriesTable" displayName="StandaloneTimeSeriesTable" ref="A4:W246">
  <tableColumns count="23">
    <tableColumn id="1" xr3:uid="{00000000-0010-0000-0300-000001000000}" name="Record_ID"/>
    <tableColumn id="2" xr3:uid="{00000000-0010-0000-0300-000002000000}" name="Timestamp_ms"/>
    <tableColumn id="3" xr3:uid="{00000000-0010-0000-0300-000003000000}" name="Time_s"/>
    <tableColumn id="4" xr3:uid="{00000000-0010-0000-0300-000004000000}" name="Temperature_C"/>
    <tableColumn id="5" xr3:uid="{00000000-0010-0000-0300-000005000000}" name="Temperature_Imputed_Flag"/>
    <tableColumn id="6" xr3:uid="{00000000-0010-0000-0300-000006000000}" name="Humidity_pct"/>
    <tableColumn id="7" xr3:uid="{00000000-0010-0000-0300-000007000000}" name="Humidity_Imputed_Flag"/>
    <tableColumn id="8" xr3:uid="{00000000-0010-0000-0300-000008000000}" name="Entry_Weight_Positive_g"/>
    <tableColumn id="9" xr3:uid="{00000000-0010-0000-0300-000009000000}" name="Optical_Detected"/>
    <tableColumn id="10" xr3:uid="{00000000-0010-0000-0300-00000A000000}" name="Weight_Detected"/>
    <tableColumn id="11" xr3:uid="{00000000-0010-0000-0300-00000B000000}" name="Person_Detected_Final"/>
    <tableColumn id="12" xr3:uid="{00000000-0010-0000-0300-00000C000000}" name="Detection_Source"/>
    <tableColumn id="13" xr3:uid="{00000000-0010-0000-0300-00000D000000}" name="Flow_L_min"/>
    <tableColumn id="14" xr3:uid="{00000000-0010-0000-0300-00000E000000}" name="Fire_Stage"/>
    <tableColumn id="15" xr3:uid="{00000000-0010-0000-0300-00000F000000}" name="Fire_Cycle_ID"/>
    <tableColumn id="16" xr3:uid="{00000000-0010-0000-0300-000010000000}" name="Wrong_Attempts"/>
    <tableColumn id="17" xr3:uid="{00000000-0010-0000-0300-000011000000}" name="Pump_Expected"/>
    <tableColumn id="18" xr3:uid="{00000000-0010-0000-0300-000012000000}" name="Humidifier_Expected"/>
    <tableColumn id="19" xr3:uid="{00000000-0010-0000-0300-000013000000}" name="Fan_Reported"/>
    <tableColumn id="20" xr3:uid="{00000000-0010-0000-0300-000014000000}" name="Potential_Blockage_Flag"/>
    <tableColumn id="21" xr3:uid="{00000000-0010-0000-0300-000015000000}" name="Quality_Score"/>
    <tableColumn id="22" xr3:uid="{00000000-0010-0000-0300-000016000000}" name="Quality_Grade"/>
    <tableColumn id="23" xr3:uid="{00000000-0010-0000-0300-000017000000}" name="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StandaloneObservationsTable" displayName="StandaloneObservationsTable" ref="A4:O1214">
  <tableColumns count="15">
    <tableColumn id="1" xr3:uid="{00000000-0010-0000-0400-000001000000}" name="Observation_ID"/>
    <tableColumn id="2" xr3:uid="{00000000-0010-0000-0400-000002000000}" name="Record_ID"/>
    <tableColumn id="3" xr3:uid="{00000000-0010-0000-0400-000003000000}" name="Timestamp_ms"/>
    <tableColumn id="4" xr3:uid="{00000000-0010-0000-0400-000004000000}" name="Time_s"/>
    <tableColumn id="5" xr3:uid="{00000000-0010-0000-0400-000005000000}" name="Sensor"/>
    <tableColumn id="6" xr3:uid="{00000000-0010-0000-0400-000006000000}" name="Raw_Value"/>
    <tableColumn id="7" xr3:uid="{00000000-0010-0000-0400-000007000000}" name="Clean_Value"/>
    <tableColumn id="8" xr3:uid="{00000000-0010-0000-0400-000008000000}" name="Analysis_Value"/>
    <tableColumn id="9" xr3:uid="{00000000-0010-0000-0400-000009000000}" name="Unit"/>
    <tableColumn id="10" xr3:uid="{00000000-0010-0000-0400-00000A000000}" name="Valid_Flag"/>
    <tableColumn id="11" xr3:uid="{00000000-0010-0000-0400-00000B000000}" name="Status"/>
    <tableColumn id="12" xr3:uid="{00000000-0010-0000-0400-00000C000000}" name="Fire_Stage"/>
    <tableColumn id="13" xr3:uid="{00000000-0010-0000-0400-00000D000000}" name="Person_Detected"/>
    <tableColumn id="14" xr3:uid="{00000000-0010-0000-0400-00000E000000}" name="Processing_Method"/>
    <tableColumn id="15" xr3:uid="{00000000-0010-0000-0400-00000F000000}" name="Not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StandaloneCalibrationTable" displayName="StandaloneCalibrationTable" ref="A4:L19">
  <tableColumns count="12">
    <tableColumn id="1" xr3:uid="{00000000-0010-0000-0500-000001000000}" name="Trial_ID"/>
    <tableColumn id="2" xr3:uid="{00000000-0010-0000-0500-000002000000}" name="Timestamp_ms"/>
    <tableColumn id="3" xr3:uid="{00000000-0010-0000-0500-000003000000}" name="Reference_g"/>
    <tableColumn id="4" xr3:uid="{00000000-0010-0000-0500-000004000000}" name="Raw_Signed_g"/>
    <tableColumn id="5" xr3:uid="{00000000-0010-0000-0500-000005000000}" name="Measured_Positive_g"/>
    <tableColumn id="6" xr3:uid="{00000000-0010-0000-0500-000006000000}" name="Error_g"/>
    <tableColumn id="7" xr3:uid="{00000000-0010-0000-0500-000007000000}" name="Error_pct"/>
    <tableColumn id="8" xr3:uid="{00000000-0010-0000-0500-000008000000}" name="Absolute_Error_g"/>
    <tableColumn id="9" xr3:uid="{00000000-0010-0000-0500-000009000000}" name="Calibration_Point"/>
    <tableColumn id="10" xr3:uid="{00000000-0010-0000-0500-00000A000000}" name="Trial"/>
    <tableColumn id="11" xr3:uid="{00000000-0010-0000-0500-00000B000000}" name="Original_Status"/>
    <tableColumn id="12" xr3:uid="{00000000-0010-0000-0500-00000C000000}" name="Interpretat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StandaloneEventLogTable" displayName="StandaloneEventLogTable" ref="A4:M117">
  <tableColumns count="13">
    <tableColumn id="1" xr3:uid="{00000000-0010-0000-0600-000001000000}" name="Event_ID"/>
    <tableColumn id="2" xr3:uid="{00000000-0010-0000-0600-000002000000}" name="Timestamp_ms"/>
    <tableColumn id="3" xr3:uid="{00000000-0010-0000-0600-000003000000}" name="Time_s"/>
    <tableColumn id="4" xr3:uid="{00000000-0010-0000-0600-000004000000}" name="Subsystem"/>
    <tableColumn id="5" xr3:uid="{00000000-0010-0000-0600-000005000000}" name="Category"/>
    <tableColumn id="6" xr3:uid="{00000000-0010-0000-0600-000006000000}" name="Severity"/>
    <tableColumn id="7" xr3:uid="{00000000-0010-0000-0600-000007000000}" name="Fire_Cycle_ID"/>
    <tableColumn id="8" xr3:uid="{00000000-0010-0000-0600-000008000000}" name="Fire_Stage"/>
    <tableColumn id="9" xr3:uid="{00000000-0010-0000-0600-000009000000}" name="Event_Detail_Clean"/>
    <tableColumn id="10" xr3:uid="{00000000-0010-0000-0600-00000A000000}" name="PIN_Length"/>
    <tableColumn id="11" xr3:uid="{00000000-0010-0000-0600-00000B000000}" name="Event_Text_Masked"/>
    <tableColumn id="12" xr3:uid="{00000000-0010-0000-0600-00000C000000}" name="README_Alignment"/>
    <tableColumn id="13" xr3:uid="{00000000-0010-0000-0600-00000D000000}" name="Note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CompleteProjectArchiveTable" displayName="CompleteProjectArchiveTable" ref="A4:AC684">
  <tableColumns count="29">
    <tableColumn id="1" xr3:uid="{00000000-0010-0000-0700-000001000000}" name="Archive_ID"/>
    <tableColumn id="2" xr3:uid="{00000000-0010-0000-0700-000002000000}" name="Record_Group"/>
    <tableColumn id="3" xr3:uid="{00000000-0010-0000-0700-000003000000}" name="Unified_Line"/>
    <tableColumn id="4" xr3:uid="{00000000-0010-0000-0700-000004000000}" name="Line_Type"/>
    <tableColumn id="5" xr3:uid="{00000000-0010-0000-0700-000005000000}" name="Raw_Text"/>
    <tableColumn id="6" xr3:uid="{00000000-0010-0000-0700-000006000000}" name="timestamp_ms"/>
    <tableColumn id="7" xr3:uid="{00000000-0010-0000-0700-000007000000}" name="mode"/>
    <tableColumn id="8" xr3:uid="{00000000-0010-0000-0700-000008000000}" name="sensor"/>
    <tableColumn id="9" xr3:uid="{00000000-0010-0000-0700-000009000000}" name="sample_id"/>
    <tableColumn id="10" xr3:uid="{00000000-0010-0000-0700-00000A000000}" name="raw_value"/>
    <tableColumn id="11" xr3:uid="{00000000-0010-0000-0700-00000B000000}" name="filtered_value"/>
    <tableColumn id="12" xr3:uid="{00000000-0010-0000-0700-00000C000000}" name="calibrated_value"/>
    <tableColumn id="13" xr3:uid="{00000000-0010-0000-0700-00000D000000}" name="reference_value"/>
    <tableColumn id="14" xr3:uid="{00000000-0010-0000-0700-00000E000000}" name="error"/>
    <tableColumn id="15" xr3:uid="{00000000-0010-0000-0700-00000F000000}" name="error_percent"/>
    <tableColumn id="16" xr3:uid="{00000000-0010-0000-0700-000010000000}" name="unit"/>
    <tableColumn id="17" xr3:uid="{00000000-0010-0000-0700-000011000000}" name="status"/>
    <tableColumn id="18" xr3:uid="{00000000-0010-0000-0700-000012000000}" name="event"/>
    <tableColumn id="19" xr3:uid="{00000000-0010-0000-0700-000013000000}" name="calibration_point"/>
    <tableColumn id="20" xr3:uid="{00000000-0010-0000-0700-000014000000}" name="trial"/>
    <tableColumn id="21" xr3:uid="{00000000-0010-0000-0700-000015000000}" name="eeprom_address"/>
    <tableColumn id="22" xr3:uid="{00000000-0010-0000-0700-000016000000}" name="eeprom_value"/>
    <tableColumn id="23" xr3:uid="{00000000-0010-0000-0700-000017000000}" name="temperature_c"/>
    <tableColumn id="24" xr3:uid="{00000000-0010-0000-0700-000018000000}" name="humidity_pct"/>
    <tableColumn id="25" xr3:uid="{00000000-0010-0000-0700-000019000000}" name="entry_weight_g"/>
    <tableColumn id="26" xr3:uid="{00000000-0010-0000-0700-00001A000000}" name="flow_raw"/>
    <tableColumn id="27" xr3:uid="{00000000-0010-0000-0700-00001B000000}" name="proximity"/>
    <tableColumn id="28" xr3:uid="{00000000-0010-0000-0700-00001C000000}" name="fire_stage"/>
    <tableColumn id="29" xr3:uid="{00000000-0010-0000-0700-00001D000000}" name="wrong_attempt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StandaloneDataDictionaryTable" displayName="StandaloneDataDictionaryTable" ref="A4:E63">
  <tableColumns count="5">
    <tableColumn id="1" xr3:uid="{00000000-0010-0000-0800-000001000000}" name="Sheet / Table"/>
    <tableColumn id="2" xr3:uid="{00000000-0010-0000-0800-000002000000}" name="Column"/>
    <tableColumn id="3" xr3:uid="{00000000-0010-0000-0800-000003000000}" name="Definition"/>
    <tableColumn id="4" xr3:uid="{00000000-0010-0000-0800-000004000000}" name="Unit / Values"/>
    <tableColumn id="5" xr3:uid="{00000000-0010-0000-0800-000005000000}" name="Important interpretatio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FirmwareConstantsRegistryTable" displayName="FirmwareConstantsRegistryTable" ref="A8:J25">
  <tableColumns count="10">
    <tableColumn id="1" xr3:uid="{00000000-0010-0000-0900-000001000000}" name="ID"/>
    <tableColumn id="2" xr3:uid="{00000000-0010-0000-0900-000002000000}" name="Sensor / System"/>
    <tableColumn id="3" xr3:uid="{00000000-0010-0000-0900-000003000000}" name="Constant"/>
    <tableColumn id="4" xr3:uid="{00000000-0010-0000-0900-000004000000}" name="Value"/>
    <tableColumn id="5" xr3:uid="{00000000-0010-0000-0900-000005000000}" name="Unit"/>
    <tableColumn id="6" xr3:uid="{00000000-0010-0000-0900-000006000000}" name="Classification"/>
    <tableColumn id="7" xr3:uid="{00000000-0010-0000-0900-000007000000}" name="Firmware use"/>
    <tableColumn id="8" xr3:uid="{00000000-0010-0000-0900-000008000000}" name="Evidence status"/>
    <tableColumn id="9" xr3:uid="{00000000-0010-0000-0900-000009000000}" name="Report interpretation"/>
    <tableColumn id="10" xr3:uid="{00000000-0010-0000-0900-00000A000000}" name="Actio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FirmwareEquationsTable" displayName="FirmwareEquationsTable" ref="A29:J34">
  <tableColumns count="10">
    <tableColumn id="1" xr3:uid="{00000000-0010-0000-0A00-000001000000}" name="Sensor"/>
    <tableColumn id="2" xr3:uid="{00000000-0010-0000-0A00-000002000000}" name="Raw input"/>
    <tableColumn id="3" xr3:uid="{00000000-0010-0000-0A00-000003000000}" name="Code-derived equation / condition"/>
    <tableColumn id="4" xr3:uid="{00000000-0010-0000-0A00-000004000000}" name="Output"/>
    <tableColumn id="5" xr3:uid="{00000000-0010-0000-0A00-000005000000}" name="Unit"/>
    <tableColumn id="6" xr3:uid="{00000000-0010-0000-0A00-000006000000}" name="Averaging / timing"/>
    <tableColumn id="7" xr3:uid="{00000000-0010-0000-0A00-000007000000}" name="Failure handling"/>
    <tableColumn id="8" xr3:uid="{00000000-0010-0000-0A00-000008000000}" name="Calibration status"/>
    <tableColumn id="9" xr3:uid="{00000000-0010-0000-0A00-000009000000}" name="Report use"/>
    <tableColumn id="10" xr3:uid="{00000000-0010-0000-0A00-00000A000000}" name="Important not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CalibrationCompletenessTable" displayName="CalibrationCompletenessTable" ref="A37:J42">
  <tableColumns count="10">
    <tableColumn id="1" xr3:uid="{00000000-0010-0000-0B00-000001000000}" name="Required modality"/>
    <tableColumn id="2" xr3:uid="{00000000-0010-0000-0B00-000002000000}" name="Sensor"/>
    <tableColumn id="3" xr3:uid="{00000000-0010-0000-0B00-000003000000}" name="Code factor / threshold"/>
    <tableColumn id="4" xr3:uid="{00000000-0010-0000-0B00-000004000000}" name="Measured references in workbook"/>
    <tableColumn id="5" xr3:uid="{00000000-0010-0000-0B00-000005000000}" name="Raw readings"/>
    <tableColumn id="6" xr3:uid="{00000000-0010-0000-0B00-000006000000}" name="Error calculation"/>
    <tableColumn id="7" xr3:uid="{00000000-0010-0000-0B00-000007000000}" name="3-point requirement"/>
    <tableColumn id="8" xr3:uid="{00000000-0010-0000-0B00-000008000000}" name="Current status"/>
    <tableColumn id="9" xr3:uid="{00000000-0010-0000-0B00-000009000000}" name="What can be used now"/>
    <tableColumn id="10" xr3:uid="{00000000-0010-0000-0B00-00000A000000}" name="Still required"/>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hreePointCalibrationReportTable" displayName="ThreePointCalibrationReportTable" ref="A46:J61">
  <tableColumns count="10">
    <tableColumn id="1" xr3:uid="{00000000-0010-0000-0C00-000001000000}" name="Sensor"/>
    <tableColumn id="2" xr3:uid="{00000000-0010-0000-0C00-000002000000}" name="Point"/>
    <tableColumn id="3" xr3:uid="{00000000-0010-0000-0C00-000003000000}" name="Reference_Value"/>
    <tableColumn id="4" xr3:uid="{00000000-0010-0000-0C00-000004000000}" name="Unit"/>
    <tableColumn id="5" xr3:uid="{00000000-0010-0000-0C00-000005000000}" name="Measured_or_Raw_Value"/>
    <tableColumn id="6" xr3:uid="{00000000-0010-0000-0C00-000006000000}" name="Code_Factor_or_Threshold"/>
    <tableColumn id="7" xr3:uid="{00000000-0010-0000-0C00-000007000000}" name="Calibrated_Output"/>
    <tableColumn id="8" xr3:uid="{00000000-0010-0000-0C00-000008000000}" name="Error"/>
    <tableColumn id="9" xr3:uid="{00000000-0010-0000-0C00-000009000000}" name="Error_pct"/>
    <tableColumn id="10" xr3:uid="{00000000-0010-0000-0C00-00000A000000}" name="Evidence_Status"/>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D000000}" name="NominalValidationReferenceTable" displayName="NominalValidationReferenceTable" ref="A70:J74">
  <tableColumns count="10">
    <tableColumn id="1" xr3:uid="{00000000-0010-0000-0D00-000001000000}" name="Sensor"/>
    <tableColumn id="2" xr3:uid="{00000000-0010-0000-0D00-000002000000}" name="Nominal reference"/>
    <tableColumn id="3" xr3:uid="{00000000-0010-0000-0D00-000003000000}" name="Unit"/>
    <tableColumn id="4" xr3:uid="{00000000-0010-0000-0D00-000004000000}" name="Basis"/>
    <tableColumn id="5" xr3:uid="{00000000-0010-0000-0D00-000005000000}" name="Nearest observed"/>
    <tableColumn id="6" xr3:uid="{00000000-0010-0000-0D00-000006000000}" name="Error"/>
    <tableColumn id="7" xr3:uid="{00000000-0010-0000-0D00-000007000000}" name="Error_pct"/>
    <tableColumn id="8" xr3:uid="{00000000-0010-0000-0D00-000008000000}" name="Classification"/>
    <tableColumn id="9" xr3:uid="{00000000-0010-0000-0D00-000009000000}" name="Use in report"/>
    <tableColumn id="10" xr3:uid="{00000000-0010-0000-0D00-00000A000000}" name="Limitatio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E000000}" name="SyntheticCalibrationSummaryTable" displayName="SyntheticCalibrationSummaryTable" ref="A77:J81">
  <tableColumns count="10">
    <tableColumn id="1" xr3:uid="{00000000-0010-0000-0E00-000001000000}" name="Modality"/>
    <tableColumn id="2" xr3:uid="{00000000-0010-0000-0E00-000002000000}" name="Point selection"/>
    <tableColumn id="3" xr3:uid="{00000000-0010-0000-0E00-000003000000}" name="Three synthetic references"/>
    <tableColumn id="4" xr3:uid="{00000000-0010-0000-0E00-000004000000}" name="Equation available"/>
    <tableColumn id="5" xr3:uid="{00000000-0010-0000-0E00-000005000000}" name="Before error"/>
    <tableColumn id="6" xr3:uid="{00000000-0010-0000-0E00-000006000000}" name="After error"/>
    <tableColumn id="7" xr3:uid="{00000000-0010-0000-0E00-000007000000}" name="Evidence type"/>
    <tableColumn id="8" xr3:uid="{00000000-0010-0000-0E00-000008000000}" name="Safe use"/>
    <tableColumn id="9" xr3:uid="{00000000-0010-0000-0E00-000009000000}" name="Not valid as"/>
    <tableColumn id="10" xr3:uid="{00000000-0010-0000-0E00-00000A000000}" name="Locatio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F000000}" name="NominalReferenceValidationTable" displayName="NominalReferenceValidationTable" ref="A9:J13">
  <tableColumns count="10">
    <tableColumn id="1" xr3:uid="{00000000-0010-0000-0F00-000001000000}" name="Sensor"/>
    <tableColumn id="2" xr3:uid="{00000000-0010-0000-0F00-000002000000}" name="Nominal_Reference"/>
    <tableColumn id="3" xr3:uid="{00000000-0010-0000-0F00-000003000000}" name="Unit"/>
    <tableColumn id="4" xr3:uid="{00000000-0010-0000-0F00-000004000000}" name="Reference_Basis"/>
    <tableColumn id="5" xr3:uid="{00000000-0010-0000-0F00-000005000000}" name="Nearest_Observed_Value"/>
    <tableColumn id="6" xr3:uid="{00000000-0010-0000-0F00-000006000000}" name="Error"/>
    <tableColumn id="7" xr3:uid="{00000000-0010-0000-0F00-000007000000}" name="Error_pct"/>
    <tableColumn id="8" xr3:uid="{00000000-0010-0000-0F00-000008000000}" name="Dataset_Range"/>
    <tableColumn id="9" xr3:uid="{00000000-0010-0000-0F00-000009000000}" name="Evidence_Classification"/>
    <tableColumn id="10" xr3:uid="{00000000-0010-0000-0F00-00000A000000}" name="Interpretation"/>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10000000}" name="DatasetStatisticsTable" displayName="DatasetStatisticsTable" ref="A17:J21">
  <tableColumns count="10">
    <tableColumn id="1" xr3:uid="{00000000-0010-0000-1000-000001000000}" name="Sensor"/>
    <tableColumn id="2" xr3:uid="{00000000-0010-0000-1000-000002000000}" name="Count"/>
    <tableColumn id="3" xr3:uid="{00000000-0010-0000-1000-000003000000}" name="Minimum"/>
    <tableColumn id="4" xr3:uid="{00000000-0010-0000-1000-000004000000}" name="Q1"/>
    <tableColumn id="5" xr3:uid="{00000000-0010-0000-1000-000005000000}" name="Mean"/>
    <tableColumn id="6" xr3:uid="{00000000-0010-0000-1000-000006000000}" name="Median"/>
    <tableColumn id="7" xr3:uid="{00000000-0010-0000-1000-000007000000}" name="Q3"/>
    <tableColumn id="8" xr3:uid="{00000000-0010-0000-1000-000008000000}" name="Maximum"/>
    <tableColumn id="9" xr3:uid="{00000000-0010-0000-1000-000009000000}" name="Std_Deviation"/>
    <tableColumn id="10" xr3:uid="{00000000-0010-0000-1000-00000A000000}" name="Unit"/>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1000000}" name="ProposalCalibrationStatusTable" displayName="ProposalCalibrationStatusTable" ref="A25:J29">
  <tableColumns count="10">
    <tableColumn id="1" xr3:uid="{00000000-0010-0000-1100-000001000000}" name="Modality"/>
    <tableColumn id="2" xr3:uid="{00000000-0010-0000-1100-000002000000}" name="Nominal_Value_Added"/>
    <tableColumn id="3" xr3:uid="{00000000-0010-0000-1100-000003000000}" name="Statistical_Support"/>
    <tableColumn id="4" xr3:uid="{00000000-0010-0000-1100-000004000000}" name="Physical_Reference_Independent"/>
    <tableColumn id="5" xr3:uid="{00000000-0010-0000-1100-000005000000}" name="Three_Known_Points"/>
    <tableColumn id="6" xr3:uid="{00000000-0010-0000-1100-000006000000}" name="Calibration_Equation"/>
    <tableColumn id="7" xr3:uid="{00000000-0010-0000-1100-000007000000}" name="Error_Analysis"/>
    <tableColumn id="8" xr3:uid="{00000000-0010-0000-1100-000008000000}" name="Current_Status"/>
    <tableColumn id="9" xr3:uid="{00000000-0010-0000-1100-000009000000}" name="Safe_Report_Wording"/>
    <tableColumn id="10" xr3:uid="{00000000-0010-0000-1100-00000A000000}" name="Remaining_Action"/>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2000000}" name="SyntheticCalibrationPointsTable" displayName="SyntheticCalibrationPointsTable" ref="A8:K20">
  <tableColumns count="11">
    <tableColumn id="1" xr3:uid="{00000000-0010-0000-1200-000001000000}" name="Sensor"/>
    <tableColumn id="2" xr3:uid="{00000000-0010-0000-1200-000002000000}" name="Point"/>
    <tableColumn id="3" xr3:uid="{00000000-0010-0000-1200-000003000000}" name="Statistical_Basis"/>
    <tableColumn id="4" xr3:uid="{00000000-0010-0000-1200-000004000000}" name="Synthetic_Reference"/>
    <tableColumn id="5" xr3:uid="{00000000-0010-0000-1200-000005000000}" name="Unit"/>
    <tableColumn id="6" xr3:uid="{00000000-0010-0000-1200-000006000000}" name="Dataset_Measured_Value"/>
    <tableColumn id="7" xr3:uid="{00000000-0010-0000-1200-000007000000}" name="Before_Error"/>
    <tableColumn id="8" xr3:uid="{00000000-0010-0000-1200-000008000000}" name="Before_Error_pct"/>
    <tableColumn id="9" xr3:uid="{00000000-0010-0000-1200-000009000000}" name="Calibrated_Output"/>
    <tableColumn id="10" xr3:uid="{00000000-0010-0000-1200-00000A000000}" name="After_Error"/>
    <tableColumn id="11" xr3:uid="{00000000-0010-0000-1200-00000B000000}" name="After_Error_pct"/>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3000000}" name="SyntheticCalibrationEquationsTable" displayName="SyntheticCalibrationEquationsTable" ref="A24:K28">
  <tableColumns count="11">
    <tableColumn id="1" xr3:uid="{00000000-0010-0000-1300-000001000000}" name="Sensor"/>
    <tableColumn id="2" xr3:uid="{00000000-0010-0000-1300-000002000000}" name="Measured_Range"/>
    <tableColumn id="3" xr3:uid="{00000000-0010-0000-1300-000003000000}" name="Reference_Range"/>
    <tableColumn id="4" xr3:uid="{00000000-0010-0000-1300-000004000000}" name="Slope_m"/>
    <tableColumn id="5" xr3:uid="{00000000-0010-0000-1300-000005000000}" name="Intercept_b"/>
    <tableColumn id="6" xr3:uid="{00000000-0010-0000-1300-000006000000}" name="Equation"/>
    <tableColumn id="7" xr3:uid="{00000000-0010-0000-1300-000007000000}" name="Mean_Absolute_Before_Error"/>
    <tableColumn id="8" xr3:uid="{00000000-0010-0000-1300-000008000000}" name="Mean_Absolute_After_Error"/>
    <tableColumn id="9" xr3:uid="{00000000-0010-0000-1300-000009000000}" name="Mean_Absolute_Before_Error_pct"/>
    <tableColumn id="10" xr3:uid="{00000000-0010-0000-1300-00000A000000}" name="Mean_Absolute_After_Error_pct"/>
    <tableColumn id="11" xr3:uid="{00000000-0010-0000-1300-00000B000000}" name="Evidence_Typ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1.xml"/><Relationship Id="rId7" Type="http://schemas.openxmlformats.org/officeDocument/2006/relationships/table" Target="../tables/table15.xml"/><Relationship Id="rId2" Type="http://schemas.openxmlformats.org/officeDocument/2006/relationships/table" Target="../tables/table10.xml"/><Relationship Id="rId1" Type="http://schemas.openxmlformats.org/officeDocument/2006/relationships/drawing" Target="../drawings/drawing2.xml"/><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table" Target="../tables/table16.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tabSelected="1" workbookViewId="0">
      <selection sqref="A1:H2"/>
    </sheetView>
  </sheetViews>
  <sheetFormatPr defaultRowHeight="13.8"/>
  <cols>
    <col min="1" max="1" width="29" customWidth="1"/>
    <col min="2" max="2" width="43" customWidth="1"/>
    <col min="3" max="3" width="25" customWidth="1"/>
    <col min="4" max="4" width="19" customWidth="1"/>
    <col min="5" max="8" width="16" customWidth="1"/>
  </cols>
  <sheetData>
    <row r="1" spans="1:8" ht="24" customHeight="1">
      <c r="A1" s="56" t="s">
        <v>4090</v>
      </c>
      <c r="B1" s="56"/>
      <c r="C1" s="56"/>
      <c r="D1" s="56"/>
      <c r="E1" s="56"/>
      <c r="F1" s="56"/>
      <c r="G1" s="56"/>
      <c r="H1" s="56"/>
    </row>
    <row r="2" spans="1:8" ht="24" customHeight="1">
      <c r="A2" s="56"/>
      <c r="B2" s="56"/>
      <c r="C2" s="56"/>
      <c r="D2" s="56"/>
      <c r="E2" s="56"/>
      <c r="F2" s="56"/>
      <c r="G2" s="56"/>
      <c r="H2" s="56"/>
    </row>
    <row r="4" spans="1:8" ht="27.15" customHeight="1">
      <c r="A4" s="57" t="s">
        <v>0</v>
      </c>
      <c r="B4" s="57"/>
      <c r="C4" s="57"/>
      <c r="D4" s="57"/>
      <c r="E4" s="57"/>
      <c r="F4" s="57"/>
      <c r="G4" s="57"/>
      <c r="H4" s="57"/>
    </row>
    <row r="5" spans="1:8" ht="27.15" customHeight="1">
      <c r="A5" s="57"/>
      <c r="B5" s="57"/>
      <c r="C5" s="57"/>
      <c r="D5" s="57"/>
      <c r="E5" s="57"/>
      <c r="F5" s="57"/>
      <c r="G5" s="57"/>
      <c r="H5" s="57"/>
    </row>
    <row r="7" spans="1:8">
      <c r="A7" s="58" t="s">
        <v>1</v>
      </c>
      <c r="B7" s="58"/>
      <c r="C7" s="58"/>
      <c r="D7" s="58"/>
      <c r="E7" s="59"/>
      <c r="F7" s="59"/>
      <c r="G7" s="59"/>
      <c r="H7" s="59"/>
    </row>
    <row r="8" spans="1:8">
      <c r="A8" s="58"/>
      <c r="B8" s="58"/>
      <c r="C8" s="58"/>
      <c r="D8" s="58"/>
      <c r="E8" s="59"/>
      <c r="F8" s="59"/>
      <c r="G8" s="59"/>
      <c r="H8" s="59"/>
    </row>
    <row r="10" spans="1:8" ht="22.35" customHeight="1">
      <c r="A10" s="60" t="s">
        <v>2</v>
      </c>
      <c r="B10" s="60"/>
      <c r="C10" s="60"/>
      <c r="D10" s="60"/>
      <c r="E10" s="60"/>
      <c r="F10" s="60"/>
      <c r="G10" s="60"/>
      <c r="H10" s="60"/>
    </row>
    <row r="11" spans="1:8">
      <c r="A11" s="1" t="s">
        <v>3</v>
      </c>
      <c r="B11" s="2" t="s">
        <v>4</v>
      </c>
      <c r="C11" s="55" t="s">
        <v>5</v>
      </c>
      <c r="D11" s="55"/>
      <c r="E11" s="55"/>
      <c r="F11" s="55"/>
      <c r="G11" s="55"/>
      <c r="H11" s="55"/>
    </row>
    <row r="12" spans="1:8">
      <c r="A12" s="1" t="s">
        <v>6</v>
      </c>
      <c r="B12" s="2" t="s">
        <v>7</v>
      </c>
      <c r="C12" s="55" t="s">
        <v>8</v>
      </c>
      <c r="D12" s="55"/>
      <c r="E12" s="55"/>
      <c r="F12" s="55"/>
      <c r="G12" s="55"/>
      <c r="H12" s="55"/>
    </row>
    <row r="13" spans="1:8">
      <c r="A13" s="1" t="s">
        <v>9</v>
      </c>
      <c r="B13" s="2" t="s">
        <v>10</v>
      </c>
      <c r="C13" s="55" t="s">
        <v>11</v>
      </c>
      <c r="D13" s="55"/>
      <c r="E13" s="55"/>
      <c r="F13" s="55"/>
      <c r="G13" s="55"/>
      <c r="H13" s="55"/>
    </row>
    <row r="14" spans="1:8">
      <c r="A14" s="1" t="s">
        <v>12</v>
      </c>
      <c r="B14" s="2" t="s">
        <v>13</v>
      </c>
      <c r="C14" s="55" t="s">
        <v>14</v>
      </c>
      <c r="D14" s="55"/>
      <c r="E14" s="55"/>
      <c r="F14" s="55"/>
      <c r="G14" s="55"/>
      <c r="H14" s="55"/>
    </row>
    <row r="15" spans="1:8">
      <c r="A15" s="1" t="s">
        <v>15</v>
      </c>
      <c r="B15" s="2" t="s">
        <v>16</v>
      </c>
      <c r="C15" s="55" t="s">
        <v>17</v>
      </c>
      <c r="D15" s="55"/>
      <c r="E15" s="55"/>
      <c r="F15" s="55"/>
      <c r="G15" s="55"/>
      <c r="H15" s="55"/>
    </row>
    <row r="16" spans="1:8">
      <c r="A16" s="1" t="s">
        <v>18</v>
      </c>
      <c r="B16" s="2" t="s">
        <v>19</v>
      </c>
      <c r="C16" s="55" t="s">
        <v>20</v>
      </c>
      <c r="D16" s="55"/>
      <c r="E16" s="55"/>
      <c r="F16" s="55"/>
      <c r="G16" s="55"/>
      <c r="H16" s="55"/>
    </row>
    <row r="18" spans="1:8" ht="22.35" customHeight="1">
      <c r="A18" s="54" t="s">
        <v>21</v>
      </c>
      <c r="B18" s="54"/>
      <c r="C18" s="54"/>
      <c r="D18" s="54"/>
      <c r="E18" s="54"/>
      <c r="F18" s="54"/>
      <c r="G18" s="54"/>
      <c r="H18" s="54"/>
    </row>
    <row r="19" spans="1:8" ht="22.35" customHeight="1">
      <c r="A19" s="5" t="s">
        <v>22</v>
      </c>
      <c r="B19" s="5" t="s">
        <v>23</v>
      </c>
      <c r="C19" s="6" t="s">
        <v>24</v>
      </c>
      <c r="D19" s="6">
        <v>680</v>
      </c>
    </row>
    <row r="20" spans="1:8" ht="27.6">
      <c r="A20" s="8" t="s">
        <v>25</v>
      </c>
      <c r="B20" s="3" t="s">
        <v>26</v>
      </c>
      <c r="C20" s="9" t="s">
        <v>27</v>
      </c>
      <c r="D20" s="7">
        <v>370</v>
      </c>
    </row>
    <row r="21" spans="1:8" ht="27.6">
      <c r="A21" s="8" t="s">
        <v>28</v>
      </c>
      <c r="B21" s="3" t="s">
        <v>29</v>
      </c>
      <c r="C21" s="9" t="s">
        <v>30</v>
      </c>
      <c r="D21" s="7">
        <v>242</v>
      </c>
    </row>
    <row r="22" spans="1:8">
      <c r="A22" s="8" t="s">
        <v>31</v>
      </c>
      <c r="B22" s="3" t="s">
        <v>32</v>
      </c>
      <c r="C22" s="9" t="s">
        <v>33</v>
      </c>
      <c r="D22" s="7">
        <v>1210</v>
      </c>
    </row>
    <row r="23" spans="1:8" ht="27.6">
      <c r="A23" s="8" t="s">
        <v>34</v>
      </c>
      <c r="B23" s="3" t="s">
        <v>35</v>
      </c>
      <c r="C23" s="9" t="s">
        <v>36</v>
      </c>
      <c r="D23" s="7">
        <v>113</v>
      </c>
    </row>
    <row r="24" spans="1:8" ht="27.6">
      <c r="A24" s="8" t="s">
        <v>37</v>
      </c>
      <c r="B24" s="3" t="s">
        <v>38</v>
      </c>
      <c r="C24" s="9" t="s">
        <v>39</v>
      </c>
      <c r="D24" s="7">
        <v>15</v>
      </c>
    </row>
    <row r="25" spans="1:8">
      <c r="A25" s="8" t="s">
        <v>40</v>
      </c>
      <c r="B25" s="3" t="s">
        <v>41</v>
      </c>
      <c r="C25" s="9" t="s">
        <v>42</v>
      </c>
      <c r="D25" s="7" t="s">
        <v>43</v>
      </c>
    </row>
    <row r="26" spans="1:8" ht="27.6">
      <c r="A26" s="8" t="s">
        <v>44</v>
      </c>
      <c r="B26" s="3" t="s">
        <v>45</v>
      </c>
      <c r="C26" s="9" t="s">
        <v>46</v>
      </c>
      <c r="D26" s="7" t="s">
        <v>47</v>
      </c>
    </row>
    <row r="27" spans="1:8">
      <c r="A27" s="8" t="s">
        <v>48</v>
      </c>
      <c r="B27" s="3" t="s">
        <v>49</v>
      </c>
      <c r="C27" s="9" t="s">
        <v>50</v>
      </c>
      <c r="D27" s="7" t="s">
        <v>51</v>
      </c>
    </row>
    <row r="28" spans="1:8" ht="41.4">
      <c r="A28" s="37" t="s">
        <v>52</v>
      </c>
      <c r="B28" s="3" t="s">
        <v>53</v>
      </c>
      <c r="C28" s="38" t="s">
        <v>54</v>
      </c>
      <c r="D28" s="38">
        <v>17</v>
      </c>
    </row>
    <row r="29" spans="1:8" ht="27.6">
      <c r="A29" s="44" t="s">
        <v>55</v>
      </c>
      <c r="B29" s="3" t="s">
        <v>56</v>
      </c>
      <c r="C29" s="45" t="s">
        <v>57</v>
      </c>
      <c r="D29" s="45">
        <v>4</v>
      </c>
    </row>
    <row r="30" spans="1:8" ht="27.6">
      <c r="A30" s="52" t="s">
        <v>58</v>
      </c>
      <c r="B30" s="3" t="s">
        <v>59</v>
      </c>
      <c r="C30" s="53" t="s">
        <v>60</v>
      </c>
      <c r="D30" s="53" t="s">
        <v>61</v>
      </c>
    </row>
  </sheetData>
  <mergeCells count="11">
    <mergeCell ref="A1:H2"/>
    <mergeCell ref="A4:H5"/>
    <mergeCell ref="A7:H8"/>
    <mergeCell ref="A10:H10"/>
    <mergeCell ref="C11:H11"/>
    <mergeCell ref="A18:H18"/>
    <mergeCell ref="C12:H12"/>
    <mergeCell ref="C13:H13"/>
    <mergeCell ref="C14:H14"/>
    <mergeCell ref="C15:H15"/>
    <mergeCell ref="C16:H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6"/>
  <sheetViews>
    <sheetView topLeftCell="A16" workbookViewId="0">
      <selection sqref="A1:P2"/>
    </sheetView>
  </sheetViews>
  <sheetFormatPr defaultRowHeight="13.8"/>
  <cols>
    <col min="1" max="16" width="12" customWidth="1"/>
  </cols>
  <sheetData>
    <row r="1" spans="1:16" ht="24" customHeight="1">
      <c r="A1" s="56" t="s">
        <v>62</v>
      </c>
      <c r="B1" s="56"/>
      <c r="C1" s="56"/>
      <c r="D1" s="56"/>
      <c r="E1" s="56"/>
      <c r="F1" s="56"/>
      <c r="G1" s="56"/>
      <c r="H1" s="56"/>
      <c r="I1" s="56"/>
      <c r="J1" s="56"/>
      <c r="K1" s="56"/>
      <c r="L1" s="56"/>
      <c r="M1" s="56"/>
      <c r="N1" s="56"/>
      <c r="O1" s="56"/>
      <c r="P1" s="56"/>
    </row>
    <row r="2" spans="1:16" ht="24" customHeight="1">
      <c r="A2" s="56"/>
      <c r="B2" s="56"/>
      <c r="C2" s="56"/>
      <c r="D2" s="56"/>
      <c r="E2" s="56"/>
      <c r="F2" s="56"/>
      <c r="G2" s="56"/>
      <c r="H2" s="56"/>
      <c r="I2" s="56"/>
      <c r="J2" s="56"/>
      <c r="K2" s="56"/>
      <c r="L2" s="56"/>
      <c r="M2" s="56"/>
      <c r="N2" s="56"/>
      <c r="O2" s="56"/>
      <c r="P2" s="56"/>
    </row>
    <row r="3" spans="1:16" ht="14.4">
      <c r="A3" s="70" t="s">
        <v>63</v>
      </c>
      <c r="B3" s="70"/>
      <c r="C3" s="70"/>
      <c r="D3" s="70"/>
      <c r="E3" s="70"/>
      <c r="F3" s="70"/>
      <c r="G3" s="70"/>
      <c r="H3" s="70"/>
      <c r="I3" s="70"/>
      <c r="J3" s="70"/>
      <c r="K3" s="70"/>
      <c r="L3" s="70"/>
      <c r="M3" s="70"/>
      <c r="N3" s="70"/>
      <c r="O3" s="70"/>
      <c r="P3" s="70"/>
    </row>
    <row r="5" spans="1:16" ht="22.35" customHeight="1">
      <c r="A5" s="68" t="s">
        <v>64</v>
      </c>
      <c r="B5" s="68"/>
      <c r="C5" s="68"/>
      <c r="D5" s="68"/>
      <c r="E5" s="71" t="s">
        <v>65</v>
      </c>
      <c r="F5" s="71"/>
      <c r="G5" s="71"/>
      <c r="H5" s="71"/>
      <c r="I5" s="64" t="s">
        <v>66</v>
      </c>
      <c r="J5" s="64"/>
      <c r="K5" s="64"/>
      <c r="L5" s="64"/>
      <c r="M5" s="72" t="s">
        <v>67</v>
      </c>
      <c r="N5" s="72"/>
      <c r="O5" s="72"/>
      <c r="P5" s="72"/>
    </row>
    <row r="6" spans="1:16" ht="22.35" customHeight="1">
      <c r="A6" s="68"/>
      <c r="B6" s="68"/>
      <c r="C6" s="68"/>
      <c r="D6" s="68"/>
      <c r="E6" s="71"/>
      <c r="F6" s="71"/>
      <c r="G6" s="71"/>
      <c r="H6" s="71"/>
      <c r="I6" s="64"/>
      <c r="J6" s="64"/>
      <c r="K6" s="64"/>
      <c r="L6" s="64"/>
      <c r="M6" s="72"/>
      <c r="N6" s="72"/>
      <c r="O6" s="72"/>
      <c r="P6" s="72"/>
    </row>
    <row r="7" spans="1:16" ht="22.35" customHeight="1">
      <c r="A7" s="68"/>
      <c r="B7" s="68"/>
      <c r="C7" s="68"/>
      <c r="D7" s="68"/>
      <c r="E7" s="71"/>
      <c r="F7" s="71"/>
      <c r="G7" s="71"/>
      <c r="H7" s="71"/>
      <c r="I7" s="64"/>
      <c r="J7" s="64"/>
      <c r="K7" s="64"/>
      <c r="L7" s="64"/>
      <c r="M7" s="72"/>
      <c r="N7" s="72"/>
      <c r="O7" s="72"/>
      <c r="P7" s="72"/>
    </row>
    <row r="9" spans="1:16" ht="22.35" customHeight="1">
      <c r="A9" s="64" t="s">
        <v>68</v>
      </c>
      <c r="B9" s="64"/>
      <c r="C9" s="64"/>
      <c r="D9" s="64"/>
      <c r="E9" s="65" t="s">
        <v>69</v>
      </c>
      <c r="F9" s="65"/>
      <c r="G9" s="65"/>
      <c r="H9" s="65"/>
      <c r="I9" s="66" t="s">
        <v>70</v>
      </c>
      <c r="J9" s="66"/>
      <c r="K9" s="66"/>
      <c r="L9" s="66"/>
      <c r="M9" s="67" t="s">
        <v>71</v>
      </c>
      <c r="N9" s="67"/>
      <c r="O9" s="67"/>
      <c r="P9" s="67"/>
    </row>
    <row r="10" spans="1:16" ht="22.35" customHeight="1">
      <c r="A10" s="64"/>
      <c r="B10" s="64"/>
      <c r="C10" s="64"/>
      <c r="D10" s="64"/>
      <c r="E10" s="65"/>
      <c r="F10" s="65"/>
      <c r="G10" s="65"/>
      <c r="H10" s="65"/>
      <c r="I10" s="66"/>
      <c r="J10" s="66"/>
      <c r="K10" s="66"/>
      <c r="L10" s="66"/>
      <c r="M10" s="67"/>
      <c r="N10" s="67"/>
      <c r="O10" s="67"/>
      <c r="P10" s="67"/>
    </row>
    <row r="11" spans="1:16" ht="22.35" customHeight="1">
      <c r="A11" s="64"/>
      <c r="B11" s="64"/>
      <c r="C11" s="64"/>
      <c r="D11" s="64"/>
      <c r="E11" s="65"/>
      <c r="F11" s="65"/>
      <c r="G11" s="65"/>
      <c r="H11" s="65"/>
      <c r="I11" s="66"/>
      <c r="J11" s="66"/>
      <c r="K11" s="66"/>
      <c r="L11" s="66"/>
      <c r="M11" s="67"/>
      <c r="N11" s="67"/>
      <c r="O11" s="67"/>
      <c r="P11" s="67"/>
    </row>
    <row r="13" spans="1:16" ht="22.35" customHeight="1">
      <c r="A13" s="68" t="s">
        <v>72</v>
      </c>
      <c r="B13" s="68"/>
      <c r="C13" s="68"/>
      <c r="D13" s="68"/>
      <c r="E13" s="68" t="s">
        <v>73</v>
      </c>
      <c r="F13" s="68"/>
      <c r="G13" s="68"/>
      <c r="H13" s="68"/>
      <c r="I13" s="69" t="s">
        <v>74</v>
      </c>
      <c r="J13" s="69"/>
      <c r="K13" s="69"/>
      <c r="L13" s="69"/>
      <c r="M13" s="65" t="s">
        <v>75</v>
      </c>
      <c r="N13" s="65"/>
      <c r="O13" s="65"/>
      <c r="P13" s="65"/>
    </row>
    <row r="14" spans="1:16" ht="22.35" customHeight="1">
      <c r="A14" s="68"/>
      <c r="B14" s="68"/>
      <c r="C14" s="68"/>
      <c r="D14" s="68"/>
      <c r="E14" s="68"/>
      <c r="F14" s="68"/>
      <c r="G14" s="68"/>
      <c r="H14" s="68"/>
      <c r="I14" s="69"/>
      <c r="J14" s="69"/>
      <c r="K14" s="69"/>
      <c r="L14" s="69"/>
      <c r="M14" s="65"/>
      <c r="N14" s="65"/>
      <c r="O14" s="65"/>
      <c r="P14" s="65"/>
    </row>
    <row r="15" spans="1:16" ht="22.35" customHeight="1">
      <c r="A15" s="68"/>
      <c r="B15" s="68"/>
      <c r="C15" s="68"/>
      <c r="D15" s="68"/>
      <c r="E15" s="68"/>
      <c r="F15" s="68"/>
      <c r="G15" s="68"/>
      <c r="H15" s="68"/>
      <c r="I15" s="69"/>
      <c r="J15" s="69"/>
      <c r="K15" s="69"/>
      <c r="L15" s="69"/>
      <c r="M15" s="65"/>
      <c r="N15" s="65"/>
      <c r="O15" s="65"/>
      <c r="P15" s="65"/>
    </row>
    <row r="52" spans="1:16">
      <c r="A52" s="59" t="s">
        <v>76</v>
      </c>
      <c r="B52" s="59"/>
      <c r="C52" s="59"/>
      <c r="D52" s="59"/>
      <c r="E52" s="59"/>
      <c r="F52" s="59"/>
      <c r="G52" s="59"/>
      <c r="H52" s="59"/>
      <c r="I52" s="59"/>
      <c r="J52" s="59"/>
      <c r="K52" s="59"/>
      <c r="L52" s="59"/>
      <c r="M52" s="59"/>
      <c r="N52" s="59"/>
      <c r="O52" s="59"/>
      <c r="P52" s="59"/>
    </row>
    <row r="53" spans="1:16">
      <c r="A53" s="59"/>
      <c r="B53" s="59"/>
      <c r="C53" s="59"/>
      <c r="D53" s="59"/>
      <c r="E53" s="59"/>
      <c r="F53" s="59"/>
      <c r="G53" s="59"/>
      <c r="H53" s="59"/>
      <c r="I53" s="59"/>
      <c r="J53" s="59"/>
      <c r="K53" s="59"/>
      <c r="L53" s="59"/>
      <c r="M53" s="59"/>
      <c r="N53" s="59"/>
      <c r="O53" s="59"/>
      <c r="P53" s="59"/>
    </row>
    <row r="54" spans="1:16">
      <c r="A54" s="59"/>
      <c r="B54" s="59"/>
      <c r="C54" s="59"/>
      <c r="D54" s="59"/>
      <c r="E54" s="59"/>
      <c r="F54" s="59"/>
      <c r="G54" s="59"/>
      <c r="H54" s="59"/>
      <c r="I54" s="59"/>
      <c r="J54" s="59"/>
      <c r="K54" s="59"/>
      <c r="L54" s="59"/>
      <c r="M54" s="59"/>
      <c r="N54" s="59"/>
      <c r="O54" s="59"/>
      <c r="P54" s="59"/>
    </row>
    <row r="56" spans="1:16">
      <c r="A56" s="61" t="s">
        <v>77</v>
      </c>
      <c r="B56" s="61"/>
      <c r="C56" s="61"/>
      <c r="D56" s="61"/>
      <c r="E56" s="61"/>
      <c r="F56" s="61"/>
      <c r="G56" s="61"/>
      <c r="H56" s="61"/>
      <c r="I56" s="61"/>
      <c r="J56" s="61"/>
      <c r="K56" s="61"/>
      <c r="L56" s="61"/>
      <c r="M56" s="61"/>
    </row>
    <row r="57" spans="1:16">
      <c r="A57" s="61"/>
      <c r="B57" s="61"/>
      <c r="C57" s="61"/>
      <c r="D57" s="61"/>
      <c r="E57" s="61"/>
      <c r="F57" s="61"/>
      <c r="G57" s="61"/>
      <c r="H57" s="61"/>
      <c r="I57" s="61"/>
      <c r="J57" s="61"/>
      <c r="K57" s="61"/>
      <c r="L57" s="61"/>
      <c r="M57" s="61"/>
    </row>
    <row r="58" spans="1:16">
      <c r="A58" s="61"/>
      <c r="B58" s="61"/>
      <c r="C58" s="61"/>
      <c r="D58" s="61"/>
      <c r="E58" s="61"/>
      <c r="F58" s="61"/>
      <c r="G58" s="61"/>
      <c r="H58" s="61"/>
      <c r="I58" s="61"/>
      <c r="J58" s="61"/>
      <c r="K58" s="61"/>
      <c r="L58" s="61"/>
      <c r="M58" s="61"/>
    </row>
    <row r="60" spans="1:16">
      <c r="A60" s="62" t="s">
        <v>78</v>
      </c>
      <c r="B60" s="62"/>
      <c r="C60" s="62"/>
      <c r="D60" s="62"/>
      <c r="E60" s="62"/>
      <c r="F60" s="62"/>
      <c r="G60" s="62"/>
      <c r="H60" s="62"/>
      <c r="I60" s="62"/>
      <c r="J60" s="62"/>
      <c r="K60" s="62"/>
      <c r="L60" s="62"/>
      <c r="M60" s="62"/>
    </row>
    <row r="61" spans="1:16">
      <c r="A61" s="62"/>
      <c r="B61" s="62"/>
      <c r="C61" s="62"/>
      <c r="D61" s="62"/>
      <c r="E61" s="62"/>
      <c r="F61" s="62"/>
      <c r="G61" s="62"/>
      <c r="H61" s="62"/>
      <c r="I61" s="62"/>
      <c r="J61" s="62"/>
      <c r="K61" s="62"/>
      <c r="L61" s="62"/>
      <c r="M61" s="62"/>
    </row>
    <row r="62" spans="1:16">
      <c r="A62" s="62"/>
      <c r="B62" s="62"/>
      <c r="C62" s="62"/>
      <c r="D62" s="62"/>
      <c r="E62" s="62"/>
      <c r="F62" s="62"/>
      <c r="G62" s="62"/>
      <c r="H62" s="62"/>
      <c r="I62" s="62"/>
      <c r="J62" s="62"/>
      <c r="K62" s="62"/>
      <c r="L62" s="62"/>
      <c r="M62" s="62"/>
    </row>
    <row r="64" spans="1:16">
      <c r="A64" s="63" t="s">
        <v>79</v>
      </c>
      <c r="B64" s="63"/>
      <c r="C64" s="63"/>
      <c r="D64" s="63"/>
      <c r="E64" s="63"/>
      <c r="F64" s="63"/>
      <c r="G64" s="63"/>
      <c r="H64" s="63"/>
      <c r="I64" s="63"/>
      <c r="J64" s="63"/>
      <c r="K64" s="63"/>
      <c r="L64" s="63"/>
      <c r="M64" s="63"/>
    </row>
    <row r="65" spans="1:13">
      <c r="A65" s="63"/>
      <c r="B65" s="63"/>
      <c r="C65" s="63"/>
      <c r="D65" s="63"/>
      <c r="E65" s="63"/>
      <c r="F65" s="63"/>
      <c r="G65" s="63"/>
      <c r="H65" s="63"/>
      <c r="I65" s="63"/>
      <c r="J65" s="63"/>
      <c r="K65" s="63"/>
      <c r="L65" s="63"/>
      <c r="M65" s="63"/>
    </row>
    <row r="66" spans="1:13">
      <c r="A66" s="63"/>
      <c r="B66" s="63"/>
      <c r="C66" s="63"/>
      <c r="D66" s="63"/>
      <c r="E66" s="63"/>
      <c r="F66" s="63"/>
      <c r="G66" s="63"/>
      <c r="H66" s="63"/>
      <c r="I66" s="63"/>
      <c r="J66" s="63"/>
      <c r="K66" s="63"/>
      <c r="L66" s="63"/>
      <c r="M66" s="63"/>
    </row>
  </sheetData>
  <mergeCells count="18">
    <mergeCell ref="A1:P2"/>
    <mergeCell ref="A3:P3"/>
    <mergeCell ref="A5:D7"/>
    <mergeCell ref="E5:H7"/>
    <mergeCell ref="I5:L7"/>
    <mergeCell ref="M5:P7"/>
    <mergeCell ref="A52:P54"/>
    <mergeCell ref="A56:M58"/>
    <mergeCell ref="A60:M62"/>
    <mergeCell ref="A64:M66"/>
    <mergeCell ref="A9:D11"/>
    <mergeCell ref="E9:H11"/>
    <mergeCell ref="I9:L11"/>
    <mergeCell ref="M9:P11"/>
    <mergeCell ref="A13:D15"/>
    <mergeCell ref="E13:H15"/>
    <mergeCell ref="I13:L15"/>
    <mergeCell ref="M13:P1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1"/>
  <sheetViews>
    <sheetView workbookViewId="0">
      <selection sqref="A1:F2"/>
    </sheetView>
  </sheetViews>
  <sheetFormatPr defaultRowHeight="13.8"/>
  <cols>
    <col min="1" max="2" width="31" customWidth="1"/>
    <col min="3" max="3" width="19" customWidth="1"/>
    <col min="4" max="4" width="27" customWidth="1"/>
    <col min="5" max="5" width="49" customWidth="1"/>
    <col min="6" max="6" width="28" customWidth="1"/>
  </cols>
  <sheetData>
    <row r="1" spans="1:6" ht="24" customHeight="1">
      <c r="A1" s="73" t="s">
        <v>80</v>
      </c>
      <c r="B1" s="73"/>
      <c r="C1" s="73"/>
      <c r="D1" s="73"/>
      <c r="E1" s="73"/>
      <c r="F1" s="73"/>
    </row>
    <row r="2" spans="1:6" ht="24" customHeight="1">
      <c r="A2" s="73"/>
      <c r="B2" s="73"/>
      <c r="C2" s="73"/>
      <c r="D2" s="73"/>
      <c r="E2" s="73"/>
      <c r="F2" s="73"/>
    </row>
    <row r="4" spans="1:6" ht="22.35" customHeight="1">
      <c r="A4" s="10" t="s">
        <v>81</v>
      </c>
      <c r="B4" s="10" t="s">
        <v>82</v>
      </c>
      <c r="C4" s="10" t="s">
        <v>83</v>
      </c>
      <c r="D4" s="10" t="s">
        <v>84</v>
      </c>
      <c r="E4" s="10" t="s">
        <v>85</v>
      </c>
      <c r="F4" s="10" t="s">
        <v>86</v>
      </c>
    </row>
    <row r="5" spans="1:6">
      <c r="A5" s="3" t="s">
        <v>87</v>
      </c>
      <c r="B5" s="3" t="s">
        <v>88</v>
      </c>
      <c r="C5" s="3"/>
      <c r="D5" s="3" t="s">
        <v>89</v>
      </c>
      <c r="E5" s="3" t="s">
        <v>90</v>
      </c>
      <c r="F5" s="3" t="s">
        <v>91</v>
      </c>
    </row>
    <row r="6" spans="1:6">
      <c r="A6" s="3" t="s">
        <v>92</v>
      </c>
      <c r="B6" s="3" t="s">
        <v>93</v>
      </c>
      <c r="C6" s="3"/>
      <c r="D6" s="3" t="s">
        <v>89</v>
      </c>
      <c r="E6" s="3" t="s">
        <v>90</v>
      </c>
      <c r="F6" s="3" t="s">
        <v>91</v>
      </c>
    </row>
    <row r="7" spans="1:6">
      <c r="A7" s="3" t="s">
        <v>94</v>
      </c>
      <c r="B7" s="3" t="s">
        <v>95</v>
      </c>
      <c r="C7" s="3"/>
      <c r="D7" s="3" t="s">
        <v>89</v>
      </c>
      <c r="E7" s="3" t="s">
        <v>90</v>
      </c>
      <c r="F7" s="3" t="s">
        <v>96</v>
      </c>
    </row>
    <row r="8" spans="1:6">
      <c r="A8" s="3" t="s">
        <v>97</v>
      </c>
      <c r="B8" s="3">
        <v>28</v>
      </c>
      <c r="C8" s="3" t="s">
        <v>98</v>
      </c>
      <c r="D8" s="3" t="s">
        <v>99</v>
      </c>
      <c r="E8" s="3" t="s">
        <v>100</v>
      </c>
      <c r="F8" s="3" t="s">
        <v>101</v>
      </c>
    </row>
    <row r="9" spans="1:6" ht="27.6">
      <c r="A9" s="3" t="s">
        <v>102</v>
      </c>
      <c r="B9" s="3">
        <v>25</v>
      </c>
      <c r="C9" s="3" t="s">
        <v>98</v>
      </c>
      <c r="D9" s="3" t="s">
        <v>103</v>
      </c>
      <c r="E9" s="3" t="s">
        <v>104</v>
      </c>
      <c r="F9" s="3" t="s">
        <v>105</v>
      </c>
    </row>
    <row r="10" spans="1:6">
      <c r="A10" s="3" t="s">
        <v>106</v>
      </c>
      <c r="B10" s="3">
        <v>0.05</v>
      </c>
      <c r="C10" s="3" t="s">
        <v>107</v>
      </c>
      <c r="D10" s="3" t="s">
        <v>99</v>
      </c>
      <c r="E10" s="3" t="s">
        <v>100</v>
      </c>
      <c r="F10" s="3" t="s">
        <v>108</v>
      </c>
    </row>
    <row r="11" spans="1:6">
      <c r="A11" s="3" t="s">
        <v>109</v>
      </c>
      <c r="B11" s="3">
        <v>55</v>
      </c>
      <c r="C11" s="3" t="s">
        <v>110</v>
      </c>
      <c r="D11" s="3" t="s">
        <v>99</v>
      </c>
      <c r="E11" s="3" t="s">
        <v>100</v>
      </c>
      <c r="F11" s="3" t="s">
        <v>111</v>
      </c>
    </row>
    <row r="12" spans="1:6">
      <c r="A12" s="3" t="s">
        <v>112</v>
      </c>
      <c r="B12" s="3">
        <v>15</v>
      </c>
      <c r="C12" s="3" t="s">
        <v>110</v>
      </c>
      <c r="D12" s="3" t="s">
        <v>99</v>
      </c>
      <c r="E12" s="3" t="s">
        <v>100</v>
      </c>
      <c r="F12" s="3" t="s">
        <v>113</v>
      </c>
    </row>
    <row r="13" spans="1:6">
      <c r="A13" s="3" t="s">
        <v>114</v>
      </c>
      <c r="B13" s="3">
        <v>3</v>
      </c>
      <c r="C13" s="3" t="s">
        <v>115</v>
      </c>
      <c r="D13" s="3" t="s">
        <v>99</v>
      </c>
      <c r="E13" s="3" t="s">
        <v>100</v>
      </c>
      <c r="F13" s="3" t="s">
        <v>116</v>
      </c>
    </row>
    <row r="14" spans="1:6">
      <c r="A14" s="3" t="s">
        <v>117</v>
      </c>
      <c r="B14" s="3">
        <v>5</v>
      </c>
      <c r="C14" s="3" t="s">
        <v>110</v>
      </c>
      <c r="D14" s="3" t="s">
        <v>99</v>
      </c>
      <c r="E14" s="3" t="s">
        <v>100</v>
      </c>
      <c r="F14" s="3" t="s">
        <v>118</v>
      </c>
    </row>
    <row r="15" spans="1:6" ht="27.6">
      <c r="A15" s="3" t="s">
        <v>119</v>
      </c>
      <c r="B15" s="3">
        <v>500</v>
      </c>
      <c r="C15" s="3" t="s">
        <v>120</v>
      </c>
      <c r="D15" s="3" t="s">
        <v>121</v>
      </c>
      <c r="E15" s="3" t="s">
        <v>122</v>
      </c>
      <c r="F15" s="3" t="s">
        <v>123</v>
      </c>
    </row>
    <row r="16" spans="1:6" ht="27.6">
      <c r="A16" s="3" t="s">
        <v>124</v>
      </c>
      <c r="B16" s="3">
        <v>10</v>
      </c>
      <c r="C16" s="3" t="s">
        <v>125</v>
      </c>
      <c r="D16" s="3" t="s">
        <v>126</v>
      </c>
      <c r="E16" s="3" t="s">
        <v>127</v>
      </c>
      <c r="F16" s="3" t="s">
        <v>128</v>
      </c>
    </row>
    <row r="17" spans="1:6" ht="27.6">
      <c r="A17" s="3" t="s">
        <v>129</v>
      </c>
      <c r="B17" s="3">
        <v>100</v>
      </c>
      <c r="C17" s="3" t="s">
        <v>130</v>
      </c>
      <c r="D17" s="3" t="s">
        <v>131</v>
      </c>
      <c r="E17" s="3" t="s">
        <v>132</v>
      </c>
      <c r="F17" s="3" t="s">
        <v>133</v>
      </c>
    </row>
    <row r="18" spans="1:6">
      <c r="A18" s="3" t="s">
        <v>134</v>
      </c>
      <c r="B18" s="3">
        <v>0</v>
      </c>
      <c r="C18" s="3" t="s">
        <v>98</v>
      </c>
      <c r="D18" s="3" t="s">
        <v>135</v>
      </c>
      <c r="E18" s="3" t="s">
        <v>136</v>
      </c>
      <c r="F18" s="3" t="s">
        <v>137</v>
      </c>
    </row>
    <row r="19" spans="1:6">
      <c r="A19" s="3" t="s">
        <v>138</v>
      </c>
      <c r="B19" s="3">
        <v>60</v>
      </c>
      <c r="C19" s="3" t="s">
        <v>98</v>
      </c>
      <c r="D19" s="3" t="s">
        <v>135</v>
      </c>
      <c r="E19" s="3" t="s">
        <v>136</v>
      </c>
      <c r="F19" s="3" t="s">
        <v>137</v>
      </c>
    </row>
    <row r="20" spans="1:6">
      <c r="A20" s="3" t="s">
        <v>139</v>
      </c>
      <c r="B20" s="3">
        <v>0</v>
      </c>
      <c r="C20" s="3" t="s">
        <v>140</v>
      </c>
      <c r="D20" s="3" t="s">
        <v>135</v>
      </c>
      <c r="E20" s="3" t="s">
        <v>141</v>
      </c>
      <c r="F20" s="3" t="s">
        <v>142</v>
      </c>
    </row>
    <row r="21" spans="1:6">
      <c r="A21" s="3" t="s">
        <v>143</v>
      </c>
      <c r="B21" s="3">
        <v>100</v>
      </c>
      <c r="C21" s="3" t="s">
        <v>140</v>
      </c>
      <c r="D21" s="3" t="s">
        <v>135</v>
      </c>
      <c r="E21" s="3" t="s">
        <v>141</v>
      </c>
      <c r="F21" s="3" t="s">
        <v>142</v>
      </c>
    </row>
    <row r="23" spans="1:6" ht="22.35" customHeight="1">
      <c r="A23" s="74" t="s">
        <v>144</v>
      </c>
      <c r="B23" s="75"/>
      <c r="C23" s="75"/>
      <c r="D23" s="75"/>
      <c r="E23" s="75"/>
      <c r="F23" s="76"/>
    </row>
    <row r="24" spans="1:6" ht="24" customHeight="1">
      <c r="A24" s="24" t="s">
        <v>145</v>
      </c>
      <c r="B24" s="20">
        <v>420</v>
      </c>
      <c r="C24" s="20" t="s">
        <v>146</v>
      </c>
      <c r="D24" s="20" t="s">
        <v>147</v>
      </c>
      <c r="E24" s="20" t="s">
        <v>148</v>
      </c>
      <c r="F24" s="21" t="s">
        <v>149</v>
      </c>
    </row>
    <row r="25" spans="1:6" ht="24" customHeight="1">
      <c r="A25" s="24" t="s">
        <v>150</v>
      </c>
      <c r="B25" s="20">
        <v>7.5</v>
      </c>
      <c r="C25" s="20" t="s">
        <v>151</v>
      </c>
      <c r="D25" s="20" t="s">
        <v>152</v>
      </c>
      <c r="E25" s="20" t="s">
        <v>153</v>
      </c>
      <c r="F25" s="21" t="s">
        <v>154</v>
      </c>
    </row>
    <row r="26" spans="1:6" ht="24" customHeight="1">
      <c r="A26" s="24" t="s">
        <v>155</v>
      </c>
      <c r="B26" s="20">
        <v>10</v>
      </c>
      <c r="C26" s="20" t="s">
        <v>110</v>
      </c>
      <c r="D26" s="20" t="s">
        <v>99</v>
      </c>
      <c r="E26" s="20" t="s">
        <v>156</v>
      </c>
      <c r="F26" s="21" t="s">
        <v>157</v>
      </c>
    </row>
    <row r="27" spans="1:6" ht="24" customHeight="1">
      <c r="A27" s="24" t="s">
        <v>158</v>
      </c>
      <c r="B27" s="20">
        <v>5</v>
      </c>
      <c r="C27" s="20" t="s">
        <v>110</v>
      </c>
      <c r="D27" s="20" t="s">
        <v>99</v>
      </c>
      <c r="E27" s="20" t="s">
        <v>159</v>
      </c>
      <c r="F27" s="21" t="s">
        <v>157</v>
      </c>
    </row>
    <row r="28" spans="1:6" ht="24" customHeight="1">
      <c r="A28" s="24" t="s">
        <v>160</v>
      </c>
      <c r="B28" s="20">
        <v>80</v>
      </c>
      <c r="C28" s="20" t="s">
        <v>140</v>
      </c>
      <c r="D28" s="20" t="s">
        <v>99</v>
      </c>
      <c r="E28" s="20" t="s">
        <v>161</v>
      </c>
      <c r="F28" s="21" t="s">
        <v>162</v>
      </c>
    </row>
    <row r="29" spans="1:6" ht="24" customHeight="1">
      <c r="A29" s="24" t="s">
        <v>163</v>
      </c>
      <c r="B29" s="20">
        <v>90</v>
      </c>
      <c r="C29" s="20" t="s">
        <v>140</v>
      </c>
      <c r="D29" s="20" t="s">
        <v>164</v>
      </c>
      <c r="E29" s="20" t="s">
        <v>165</v>
      </c>
      <c r="F29" s="21" t="s">
        <v>162</v>
      </c>
    </row>
    <row r="30" spans="1:6" ht="24" customHeight="1">
      <c r="A30" s="24" t="s">
        <v>166</v>
      </c>
      <c r="B30" s="20">
        <v>8</v>
      </c>
      <c r="C30" s="20" t="s">
        <v>110</v>
      </c>
      <c r="D30" s="20" t="s">
        <v>99</v>
      </c>
      <c r="E30" s="20" t="s">
        <v>167</v>
      </c>
      <c r="F30" s="21" t="s">
        <v>91</v>
      </c>
    </row>
    <row r="31" spans="1:6" ht="24" customHeight="1">
      <c r="A31" s="25" t="s">
        <v>168</v>
      </c>
      <c r="B31" s="22">
        <v>5</v>
      </c>
      <c r="C31" s="22" t="s">
        <v>110</v>
      </c>
      <c r="D31" s="22" t="s">
        <v>99</v>
      </c>
      <c r="E31" s="22" t="s">
        <v>169</v>
      </c>
      <c r="F31" s="23" t="s">
        <v>170</v>
      </c>
    </row>
  </sheetData>
  <mergeCells count="2">
    <mergeCell ref="A1:F2"/>
    <mergeCell ref="A23:F23"/>
  </mergeCells>
  <conditionalFormatting sqref="D5:D21">
    <cfRule type="expression" dxfId="14" priority="1">
      <formula>D5="Provisional / Editable"</formula>
    </cfRule>
    <cfRule type="expression" dxfId="13" priority="2">
      <formula>D5="Fixed"</formula>
    </cfRule>
  </conditionalFormatting>
  <conditionalFormatting sqref="D24:D31">
    <cfRule type="expression" dxfId="12" priority="3">
      <formula>ISNUMBER(SEARCH("TODO",D24))</formula>
    </cfRule>
    <cfRule type="expression" dxfId="11" priority="4">
      <formula>D24="Review recommended"</formula>
    </cfRule>
  </conditionalFormatting>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A372"/>
  <sheetViews>
    <sheetView workbookViewId="0">
      <selection sqref="A1:N1"/>
    </sheetView>
  </sheetViews>
  <sheetFormatPr defaultRowHeight="13.8"/>
  <cols>
    <col min="1" max="1" width="12" customWidth="1"/>
    <col min="2" max="2" width="17" customWidth="1"/>
    <col min="3" max="3" width="13" customWidth="1"/>
    <col min="4" max="6" width="11" customWidth="1"/>
    <col min="7" max="7" width="21" customWidth="1"/>
    <col min="8" max="8" width="18" customWidth="1"/>
    <col min="9" max="9" width="25" customWidth="1"/>
    <col min="10" max="10" width="38" customWidth="1"/>
    <col min="11" max="14" width="13" customWidth="1"/>
    <col min="15" max="22" width="16" customWidth="1"/>
    <col min="23" max="25" width="18" customWidth="1"/>
    <col min="26" max="31" width="16" customWidth="1"/>
    <col min="32" max="32" width="27" customWidth="1"/>
    <col min="33" max="35" width="17" customWidth="1"/>
    <col min="36" max="41" width="16" customWidth="1"/>
    <col min="42" max="46" width="17" customWidth="1"/>
    <col min="47" max="48" width="15" customWidth="1"/>
    <col min="49" max="49" width="40" customWidth="1"/>
    <col min="50" max="51" width="16" customWidth="1"/>
    <col min="52" max="52" width="44" customWidth="1"/>
    <col min="53" max="53" width="36" customWidth="1"/>
  </cols>
  <sheetData>
    <row r="1" spans="1:53" ht="17.55" customHeight="1">
      <c r="A1" s="78" t="s">
        <v>171</v>
      </c>
      <c r="B1" s="78"/>
      <c r="C1" s="78"/>
      <c r="D1" s="78"/>
      <c r="E1" s="78"/>
      <c r="F1" s="78"/>
      <c r="G1" s="78"/>
      <c r="H1" s="78"/>
      <c r="I1" s="78"/>
      <c r="J1" s="78"/>
      <c r="K1" s="78"/>
      <c r="L1" s="78"/>
      <c r="M1" s="78"/>
      <c r="N1" s="78"/>
      <c r="O1" s="60" t="s">
        <v>172</v>
      </c>
      <c r="P1" s="60"/>
      <c r="Q1" s="60"/>
      <c r="R1" s="60"/>
      <c r="S1" s="60"/>
      <c r="T1" s="60"/>
      <c r="U1" s="60"/>
      <c r="V1" s="60"/>
      <c r="W1" s="79" t="s">
        <v>173</v>
      </c>
      <c r="X1" s="79"/>
      <c r="Y1" s="79"/>
      <c r="Z1" s="79"/>
      <c r="AA1" s="79"/>
      <c r="AB1" s="79"/>
      <c r="AC1" s="79"/>
      <c r="AD1" s="79"/>
      <c r="AE1" s="79"/>
      <c r="AF1" s="79"/>
      <c r="AG1" s="80" t="s">
        <v>174</v>
      </c>
      <c r="AH1" s="80"/>
      <c r="AI1" s="80"/>
      <c r="AJ1" s="80"/>
      <c r="AK1" s="80"/>
      <c r="AL1" s="80"/>
      <c r="AM1" s="80"/>
      <c r="AN1" s="80"/>
      <c r="AO1" s="80"/>
      <c r="AP1" s="81" t="s">
        <v>175</v>
      </c>
      <c r="AQ1" s="81"/>
      <c r="AR1" s="81"/>
      <c r="AS1" s="81"/>
      <c r="AT1" s="81"/>
      <c r="AU1" s="77" t="s">
        <v>176</v>
      </c>
      <c r="AV1" s="77"/>
      <c r="AW1" s="77"/>
      <c r="AX1" s="77"/>
      <c r="AY1" s="77"/>
      <c r="AZ1" s="77"/>
      <c r="BA1" s="77"/>
    </row>
    <row r="2" spans="1:53" ht="22.35" customHeight="1">
      <c r="A2" s="13" t="s">
        <v>177</v>
      </c>
      <c r="B2" s="13" t="s">
        <v>178</v>
      </c>
      <c r="C2" s="13" t="s">
        <v>179</v>
      </c>
      <c r="D2" s="13" t="s">
        <v>180</v>
      </c>
      <c r="E2" s="13" t="s">
        <v>181</v>
      </c>
      <c r="F2" s="13" t="s">
        <v>182</v>
      </c>
      <c r="G2" s="13" t="s">
        <v>183</v>
      </c>
      <c r="H2" s="13" t="s">
        <v>184</v>
      </c>
      <c r="I2" s="13" t="s">
        <v>185</v>
      </c>
      <c r="J2" s="13" t="s">
        <v>186</v>
      </c>
      <c r="K2" s="13" t="s">
        <v>187</v>
      </c>
      <c r="L2" s="13" t="s">
        <v>188</v>
      </c>
      <c r="M2" s="13" t="s">
        <v>189</v>
      </c>
      <c r="N2" s="13" t="s">
        <v>190</v>
      </c>
      <c r="O2" s="13" t="s">
        <v>191</v>
      </c>
      <c r="P2" s="13" t="s">
        <v>192</v>
      </c>
      <c r="Q2" s="13" t="s">
        <v>193</v>
      </c>
      <c r="R2" s="13" t="s">
        <v>194</v>
      </c>
      <c r="S2" s="13" t="s">
        <v>195</v>
      </c>
      <c r="T2" s="13" t="s">
        <v>196</v>
      </c>
      <c r="U2" s="13" t="s">
        <v>197</v>
      </c>
      <c r="V2" s="13" t="s">
        <v>198</v>
      </c>
      <c r="W2" s="13" t="s">
        <v>199</v>
      </c>
      <c r="X2" s="13" t="s">
        <v>200</v>
      </c>
      <c r="Y2" s="13" t="s">
        <v>201</v>
      </c>
      <c r="Z2" s="13" t="s">
        <v>202</v>
      </c>
      <c r="AA2" s="13" t="s">
        <v>203</v>
      </c>
      <c r="AB2" s="13" t="s">
        <v>204</v>
      </c>
      <c r="AC2" s="13" t="s">
        <v>205</v>
      </c>
      <c r="AD2" s="13" t="s">
        <v>206</v>
      </c>
      <c r="AE2" s="13" t="s">
        <v>207</v>
      </c>
      <c r="AF2" s="13" t="s">
        <v>208</v>
      </c>
      <c r="AG2" s="13" t="s">
        <v>209</v>
      </c>
      <c r="AH2" s="13" t="s">
        <v>210</v>
      </c>
      <c r="AI2" s="13" t="s">
        <v>211</v>
      </c>
      <c r="AJ2" s="13" t="s">
        <v>212</v>
      </c>
      <c r="AK2" s="13" t="s">
        <v>213</v>
      </c>
      <c r="AL2" s="13" t="s">
        <v>214</v>
      </c>
      <c r="AM2" s="13" t="s">
        <v>215</v>
      </c>
      <c r="AN2" s="13" t="s">
        <v>216</v>
      </c>
      <c r="AO2" s="13" t="s">
        <v>217</v>
      </c>
      <c r="AP2" s="13" t="s">
        <v>218</v>
      </c>
      <c r="AQ2" s="13" t="s">
        <v>219</v>
      </c>
      <c r="AR2" s="13" t="s">
        <v>220</v>
      </c>
      <c r="AS2" s="13" t="s">
        <v>221</v>
      </c>
      <c r="AT2" s="13" t="s">
        <v>222</v>
      </c>
      <c r="AU2" s="13" t="s">
        <v>223</v>
      </c>
      <c r="AV2" s="13" t="s">
        <v>224</v>
      </c>
      <c r="AW2" s="13" t="s">
        <v>225</v>
      </c>
      <c r="AX2" s="13" t="s">
        <v>226</v>
      </c>
      <c r="AY2" s="13" t="s">
        <v>227</v>
      </c>
      <c r="AZ2" s="13" t="s">
        <v>228</v>
      </c>
      <c r="BA2" s="13" t="s">
        <v>229</v>
      </c>
    </row>
    <row r="3" spans="1:53" ht="27.6">
      <c r="A3" t="s">
        <v>230</v>
      </c>
      <c r="B3" t="s">
        <v>231</v>
      </c>
      <c r="C3" s="14">
        <v>5207</v>
      </c>
      <c r="D3" s="15">
        <f t="shared" ref="D3:D66" si="0">IF(ISNUMBER(C3),C3/1000,"")</f>
        <v>5.2069999999999999</v>
      </c>
      <c r="E3" t="s">
        <v>232</v>
      </c>
      <c r="F3" t="s">
        <v>233</v>
      </c>
      <c r="G3" t="s">
        <v>234</v>
      </c>
      <c r="H3" t="s">
        <v>235</v>
      </c>
      <c r="I3" s="3"/>
      <c r="J3" s="3"/>
      <c r="M3" t="str">
        <f t="shared" ref="M3:M66" si="1">IF(L3="IDLE",0,IF(L3="FIRE_DETECTED",1,IF(L3="PUMPING",2,IF(L3="BLOCKED",3,IF(L3="HUMIDIFYING",4,IF(L3="STABLE",5,""))))))</f>
        <v/>
      </c>
      <c r="O3" s="16">
        <v>21.8</v>
      </c>
      <c r="P3" s="16">
        <f>IF(AND(ISNUMBER(O3),O3&lt;&gt;-1,O3&gt;='02_Parameters'!$B$18,O3&lt;='02_Parameters'!$B$19),O3,"")</f>
        <v>21.8</v>
      </c>
      <c r="Q3" s="16">
        <v>21.8</v>
      </c>
      <c r="R3" t="str">
        <f>IF(B3&lt;&gt;"Sensor Snapshot","",IF(O3="","Missing",IF(O3=-1,"Sensor failure sentinel (-1)",IF(OR(O3&lt;'02_Parameters'!$B$18,O3&gt;'02_Parameters'!$B$19),"Out of accepted range","Valid"))))</f>
        <v>Valid</v>
      </c>
      <c r="S3" s="16">
        <v>69.099999999999994</v>
      </c>
      <c r="T3" s="16">
        <f>IF(AND(ISNUMBER(S3),S3&lt;&gt;-1,S3&gt;='02_Parameters'!$B$20,S3&lt;='02_Parameters'!$B$21),S3,"")</f>
        <v>69.099999999999994</v>
      </c>
      <c r="U3" s="16">
        <v>69.099999999999994</v>
      </c>
      <c r="V3" t="str">
        <f>IF(B3&lt;&gt;"Sensor Snapshot","",IF(S3="","Missing",IF(S3=-1,"Sensor failure sentinel (-1)",IF(OR(S3&lt;'02_Parameters'!$B$20,S3&gt;'02_Parameters'!$B$21),"Out of accepted range","Valid"))))</f>
        <v>Valid</v>
      </c>
      <c r="W3" s="16">
        <v>-9.0499999999999997E-2</v>
      </c>
      <c r="X3" s="16">
        <f t="shared" ref="X3:X66" si="2">IF(ISNUMBER(W3),ABS(W3),"")</f>
        <v>9.0499999999999997E-2</v>
      </c>
      <c r="Y3" t="str">
        <f t="shared" ref="Y3:Y66" si="3">IF(B3="Calibration Trial","Calibration magnitude",IF(B3&lt;&gt;"Sensor Snapshot","",IF(W3="","Missing",IF(W3&lt;0,"Sign corrected to positive","Valid"))))</f>
        <v>Sign corrected to positive</v>
      </c>
      <c r="Z3" s="16">
        <v>863</v>
      </c>
      <c r="AB3">
        <f>IF(B3&lt;&gt;"Sensor Snapshot","",IF(ISNUMBER(AA3),--(AA3&lt;&gt;0),IF(ISNUMBER(Z3),--(Z3&lt;'02_Parameters'!$B$15),"")))</f>
        <v>0</v>
      </c>
      <c r="AC3">
        <f>IF(B3&lt;&gt;"Sensor Snapshot","",IF(ISNUMBER(X3),--(X3&gt;='02_Parameters'!$B$16),""))</f>
        <v>0</v>
      </c>
      <c r="AD3">
        <v>0</v>
      </c>
      <c r="AE3">
        <f t="shared" ref="AE3:AE66" si="4">IF(B3&lt;&gt;"Sensor Snapshot","",IF(AD3=1,1,IF(AND(AB3=1,AC3=1),1,0)))</f>
        <v>0</v>
      </c>
      <c r="AF3" s="3" t="str">
        <f t="shared" ref="AF3:AF66" si="5">IF(B3&lt;&gt;"Sensor Snapshot","",IF(AD3=1,"Logged dual-sensor event",IF(AE3=1,"Derived: optical AND weight",IF(OR(AB3=1,AC3=1),"Partial detection only","No detection"))))</f>
        <v>No detection</v>
      </c>
      <c r="AG3" s="16">
        <v>0</v>
      </c>
      <c r="AH3" s="16">
        <f>IF(B3&lt;&gt;"Sensor Snapshot","",IF(ISNUMBER(AG3),IF(AG3&lt;0,"",IF(AG3&gt;10,AG3/'02_Parameters'!$B$17,AG3)),""))</f>
        <v>0</v>
      </c>
      <c r="AI3" t="str">
        <f t="shared" ref="AI3:AI66" si="6">IF(B3&lt;&gt;"Sensor Snapshot","",IF(AG3="","Missing",IF(AG3&lt;0,"Invalid negative flow",IF(AG3&gt;10,"Normalized from high-scale log","Valid"))))</f>
        <v>Valid</v>
      </c>
      <c r="AJ3">
        <f t="shared" ref="AJ3:AJ66" si="7">IF(B3&lt;&gt;"Sensor Snapshot","",--(L3="PUMPING"))</f>
        <v>0</v>
      </c>
      <c r="AK3">
        <f t="shared" ref="AK3:AK66" si="8">IF(B3&lt;&gt;"Sensor Snapshot","",--(L3="HUMIDIFYING"))</f>
        <v>0</v>
      </c>
      <c r="AM3">
        <f t="shared" ref="AM3:AM66" si="9">IF(B3&lt;&gt;"Sensor Snapshot","",--(OR(L3="FIRE_DETECTED",L3="BLOCKED")))</f>
        <v>0</v>
      </c>
      <c r="AN3">
        <f>IF(B3&lt;&gt;"Sensor Snapshot","",--(N3&gt;='02_Parameters'!$B$13))</f>
        <v>0</v>
      </c>
      <c r="AO3">
        <f>IF(B3&lt;&gt;"Sensor Snapshot","",--(AND(L3="PUMPING",ISNUMBER(AH3),AH3&lt;='02_Parameters'!$B$10)))</f>
        <v>0</v>
      </c>
      <c r="AP3" s="16"/>
      <c r="AQ3" s="16" t="str">
        <f t="shared" ref="AQ3:AQ66" si="10">IF(B3="Calibration Trial",X3-AP3,"")</f>
        <v/>
      </c>
      <c r="AR3" s="16" t="str">
        <f t="shared" ref="AR3:AR66" si="11">IF(AND(B3="Calibration Trial",AP3&lt;&gt;0),AQ3/AP3*100,"")</f>
        <v/>
      </c>
      <c r="AU3" t="s">
        <v>236</v>
      </c>
      <c r="AV3" t="s">
        <v>237</v>
      </c>
      <c r="AW3" s="3" t="s">
        <v>238</v>
      </c>
      <c r="AX3" s="3">
        <f t="shared" ref="AX3:AX66" si="12">IF(B3&lt;&gt;"Sensor Snapshot","",IF(P3&lt;&gt;"",20,0)+IF(T3&lt;&gt;"",20,0)+IF(X3&lt;&gt;"",20,0)+IF(AB3&lt;&gt;"",20,0)+IF(AH3&lt;&gt;"",20,0))</f>
        <v>100</v>
      </c>
      <c r="AY3" s="3" t="str">
        <f t="shared" ref="AY3:AY66" si="13">IF(AX3="","",IF(AX3&gt;=90,"A",IF(AX3&gt;=75,"B",IF(AX3&gt;=60,"C","D"))))</f>
        <v>A</v>
      </c>
      <c r="AZ3" s="3" t="s">
        <v>239</v>
      </c>
      <c r="BA3" s="3" t="s">
        <v>240</v>
      </c>
    </row>
    <row r="4" spans="1:53" ht="27.6">
      <c r="A4" t="s">
        <v>241</v>
      </c>
      <c r="B4" t="s">
        <v>242</v>
      </c>
      <c r="C4" s="14">
        <v>5419</v>
      </c>
      <c r="D4" s="15">
        <f t="shared" si="0"/>
        <v>5.4189999999999996</v>
      </c>
      <c r="E4" t="s">
        <v>232</v>
      </c>
      <c r="G4" t="s">
        <v>157</v>
      </c>
      <c r="H4" t="s">
        <v>243</v>
      </c>
      <c r="I4" s="3" t="s">
        <v>244</v>
      </c>
      <c r="J4" s="3" t="s">
        <v>245</v>
      </c>
      <c r="M4" t="str">
        <f t="shared" si="1"/>
        <v/>
      </c>
      <c r="O4" s="16"/>
      <c r="P4" s="16" t="str">
        <f>IF(AND(ISNUMBER(O4),O4&lt;&gt;-1,O4&gt;='02_Parameters'!$B$18,O4&lt;='02_Parameters'!$B$19),O4,"")</f>
        <v/>
      </c>
      <c r="Q4" s="16"/>
      <c r="R4" t="str">
        <f>IF(B4&lt;&gt;"Sensor Snapshot","",IF(O4="","Missing",IF(O4=-1,"Sensor failure sentinel (-1)",IF(OR(O4&lt;'02_Parameters'!$B$18,O4&gt;'02_Parameters'!$B$19),"Out of accepted range","Valid"))))</f>
        <v/>
      </c>
      <c r="S4" s="16"/>
      <c r="T4" s="16" t="str">
        <f>IF(AND(ISNUMBER(S4),S4&lt;&gt;-1,S4&gt;='02_Parameters'!$B$20,S4&lt;='02_Parameters'!$B$21),S4,"")</f>
        <v/>
      </c>
      <c r="U4" s="16"/>
      <c r="V4" t="str">
        <f>IF(B4&lt;&gt;"Sensor Snapshot","",IF(S4="","Missing",IF(S4=-1,"Sensor failure sentinel (-1)",IF(OR(S4&lt;'02_Parameters'!$B$20,S4&gt;'02_Parameters'!$B$21),"Out of accepted range","Valid"))))</f>
        <v/>
      </c>
      <c r="W4" s="16"/>
      <c r="X4" s="16" t="str">
        <f t="shared" si="2"/>
        <v/>
      </c>
      <c r="Y4" t="str">
        <f t="shared" si="3"/>
        <v/>
      </c>
      <c r="Z4" s="16"/>
      <c r="AB4" t="str">
        <f>IF(B4&lt;&gt;"Sensor Snapshot","",IF(ISNUMBER(AA4),--(AA4&lt;&gt;0),IF(ISNUMBER(Z4),--(Z4&lt;'02_Parameters'!$B$15),"")))</f>
        <v/>
      </c>
      <c r="AC4" t="str">
        <f>IF(B4&lt;&gt;"Sensor Snapshot","",IF(ISNUMBER(X4),--(X4&gt;='02_Parameters'!$B$16),""))</f>
        <v/>
      </c>
      <c r="AD4">
        <v>0</v>
      </c>
      <c r="AE4" t="str">
        <f t="shared" si="4"/>
        <v/>
      </c>
      <c r="AF4" s="3" t="str">
        <f t="shared" si="5"/>
        <v/>
      </c>
      <c r="AG4" s="16"/>
      <c r="AH4" s="16" t="str">
        <f>IF(B4&lt;&gt;"Sensor Snapshot","",IF(ISNUMBER(AG4),IF(AG4&lt;0,"",IF(AG4&gt;10,AG4/'02_Parameters'!$B$17,AG4)),""))</f>
        <v/>
      </c>
      <c r="AI4" t="str">
        <f t="shared" si="6"/>
        <v/>
      </c>
      <c r="AJ4" t="str">
        <f t="shared" si="7"/>
        <v/>
      </c>
      <c r="AK4" t="str">
        <f t="shared" si="8"/>
        <v/>
      </c>
      <c r="AL4">
        <v>1</v>
      </c>
      <c r="AM4" t="str">
        <f t="shared" si="9"/>
        <v/>
      </c>
      <c r="AN4" t="str">
        <f>IF(B4&lt;&gt;"Sensor Snapshot","",--(N4&gt;='02_Parameters'!$B$13))</f>
        <v/>
      </c>
      <c r="AO4" t="str">
        <f>IF(B4&lt;&gt;"Sensor Snapshot","",--(AND(L4="PUMPING",ISNUMBER(AH4),AH4&lt;='02_Parameters'!$B$10)))</f>
        <v/>
      </c>
      <c r="AP4" s="16"/>
      <c r="AQ4" s="16" t="str">
        <f t="shared" si="10"/>
        <v/>
      </c>
      <c r="AR4" s="16" t="str">
        <f t="shared" si="11"/>
        <v/>
      </c>
      <c r="AW4" s="3" t="s">
        <v>246</v>
      </c>
      <c r="AX4" s="3" t="str">
        <f t="shared" si="12"/>
        <v/>
      </c>
      <c r="AY4" s="3" t="str">
        <f t="shared" si="13"/>
        <v/>
      </c>
      <c r="AZ4" s="3" t="s">
        <v>247</v>
      </c>
      <c r="BA4" s="3"/>
    </row>
    <row r="5" spans="1:53" ht="27.6">
      <c r="A5" t="s">
        <v>248</v>
      </c>
      <c r="B5" t="s">
        <v>242</v>
      </c>
      <c r="C5" s="14">
        <v>8001</v>
      </c>
      <c r="D5" s="15">
        <f t="shared" si="0"/>
        <v>8.0009999999999994</v>
      </c>
      <c r="E5" t="s">
        <v>232</v>
      </c>
      <c r="G5" t="s">
        <v>91</v>
      </c>
      <c r="H5" t="s">
        <v>249</v>
      </c>
      <c r="I5" s="3" t="s">
        <v>250</v>
      </c>
      <c r="J5" s="3" t="s">
        <v>251</v>
      </c>
      <c r="M5" t="str">
        <f t="shared" si="1"/>
        <v/>
      </c>
      <c r="O5" s="16"/>
      <c r="P5" s="16" t="str">
        <f>IF(AND(ISNUMBER(O5),O5&lt;&gt;-1,O5&gt;='02_Parameters'!$B$18,O5&lt;='02_Parameters'!$B$19),O5,"")</f>
        <v/>
      </c>
      <c r="Q5" s="16"/>
      <c r="R5" t="str">
        <f>IF(B5&lt;&gt;"Sensor Snapshot","",IF(O5="","Missing",IF(O5=-1,"Sensor failure sentinel (-1)",IF(OR(O5&lt;'02_Parameters'!$B$18,O5&gt;'02_Parameters'!$B$19),"Out of accepted range","Valid"))))</f>
        <v/>
      </c>
      <c r="S5" s="16"/>
      <c r="T5" s="16" t="str">
        <f>IF(AND(ISNUMBER(S5),S5&lt;&gt;-1,S5&gt;='02_Parameters'!$B$20,S5&lt;='02_Parameters'!$B$21),S5,"")</f>
        <v/>
      </c>
      <c r="U5" s="16"/>
      <c r="V5" t="str">
        <f>IF(B5&lt;&gt;"Sensor Snapshot","",IF(S5="","Missing",IF(S5=-1,"Sensor failure sentinel (-1)",IF(OR(S5&lt;'02_Parameters'!$B$20,S5&gt;'02_Parameters'!$B$21),"Out of accepted range","Valid"))))</f>
        <v/>
      </c>
      <c r="W5" s="16"/>
      <c r="X5" s="16" t="str">
        <f t="shared" si="2"/>
        <v/>
      </c>
      <c r="Y5" t="str">
        <f t="shared" si="3"/>
        <v/>
      </c>
      <c r="Z5" s="16"/>
      <c r="AB5" t="str">
        <f>IF(B5&lt;&gt;"Sensor Snapshot","",IF(ISNUMBER(AA5),--(AA5&lt;&gt;0),IF(ISNUMBER(Z5),--(Z5&lt;'02_Parameters'!$B$15),"")))</f>
        <v/>
      </c>
      <c r="AC5" t="str">
        <f>IF(B5&lt;&gt;"Sensor Snapshot","",IF(ISNUMBER(X5),--(X5&gt;='02_Parameters'!$B$16),""))</f>
        <v/>
      </c>
      <c r="AD5">
        <v>0</v>
      </c>
      <c r="AE5" t="str">
        <f t="shared" si="4"/>
        <v/>
      </c>
      <c r="AF5" s="3" t="str">
        <f t="shared" si="5"/>
        <v/>
      </c>
      <c r="AG5" s="16"/>
      <c r="AH5" s="16" t="str">
        <f>IF(B5&lt;&gt;"Sensor Snapshot","",IF(ISNUMBER(AG5),IF(AG5&lt;0,"",IF(AG5&gt;10,AG5/'02_Parameters'!$B$17,AG5)),""))</f>
        <v/>
      </c>
      <c r="AI5" t="str">
        <f t="shared" si="6"/>
        <v/>
      </c>
      <c r="AJ5" t="str">
        <f t="shared" si="7"/>
        <v/>
      </c>
      <c r="AK5" t="str">
        <f t="shared" si="8"/>
        <v/>
      </c>
      <c r="AM5" t="str">
        <f t="shared" si="9"/>
        <v/>
      </c>
      <c r="AN5" t="str">
        <f>IF(B5&lt;&gt;"Sensor Snapshot","",--(N5&gt;='02_Parameters'!$B$13))</f>
        <v/>
      </c>
      <c r="AO5" t="str">
        <f>IF(B5&lt;&gt;"Sensor Snapshot","",--(AND(L5="PUMPING",ISNUMBER(AH5),AH5&lt;='02_Parameters'!$B$10)))</f>
        <v/>
      </c>
      <c r="AP5" s="16"/>
      <c r="AQ5" s="16" t="str">
        <f t="shared" si="10"/>
        <v/>
      </c>
      <c r="AR5" s="16" t="str">
        <f t="shared" si="11"/>
        <v/>
      </c>
      <c r="AW5" s="3" t="s">
        <v>246</v>
      </c>
      <c r="AX5" s="3" t="str">
        <f t="shared" si="12"/>
        <v/>
      </c>
      <c r="AY5" s="3" t="str">
        <f t="shared" si="13"/>
        <v/>
      </c>
      <c r="AZ5" s="3" t="s">
        <v>252</v>
      </c>
      <c r="BA5" s="3"/>
    </row>
    <row r="6" spans="1:53" ht="27.6">
      <c r="A6" t="s">
        <v>253</v>
      </c>
      <c r="B6" t="s">
        <v>242</v>
      </c>
      <c r="C6" s="14">
        <v>8513</v>
      </c>
      <c r="D6" s="15">
        <f t="shared" si="0"/>
        <v>8.5129999999999999</v>
      </c>
      <c r="E6" t="s">
        <v>232</v>
      </c>
      <c r="G6" t="s">
        <v>91</v>
      </c>
      <c r="H6" t="s">
        <v>249</v>
      </c>
      <c r="I6" s="3" t="s">
        <v>254</v>
      </c>
      <c r="J6" s="3" t="s">
        <v>255</v>
      </c>
      <c r="M6" t="str">
        <f t="shared" si="1"/>
        <v/>
      </c>
      <c r="O6" s="16"/>
      <c r="P6" s="16" t="str">
        <f>IF(AND(ISNUMBER(O6),O6&lt;&gt;-1,O6&gt;='02_Parameters'!$B$18,O6&lt;='02_Parameters'!$B$19),O6,"")</f>
        <v/>
      </c>
      <c r="Q6" s="16"/>
      <c r="R6" t="str">
        <f>IF(B6&lt;&gt;"Sensor Snapshot","",IF(O6="","Missing",IF(O6=-1,"Sensor failure sentinel (-1)",IF(OR(O6&lt;'02_Parameters'!$B$18,O6&gt;'02_Parameters'!$B$19),"Out of accepted range","Valid"))))</f>
        <v/>
      </c>
      <c r="S6" s="16"/>
      <c r="T6" s="16" t="str">
        <f>IF(AND(ISNUMBER(S6),S6&lt;&gt;-1,S6&gt;='02_Parameters'!$B$20,S6&lt;='02_Parameters'!$B$21),S6,"")</f>
        <v/>
      </c>
      <c r="U6" s="16"/>
      <c r="V6" t="str">
        <f>IF(B6&lt;&gt;"Sensor Snapshot","",IF(S6="","Missing",IF(S6=-1,"Sensor failure sentinel (-1)",IF(OR(S6&lt;'02_Parameters'!$B$20,S6&gt;'02_Parameters'!$B$21),"Out of accepted range","Valid"))))</f>
        <v/>
      </c>
      <c r="W6" s="16"/>
      <c r="X6" s="16" t="str">
        <f t="shared" si="2"/>
        <v/>
      </c>
      <c r="Y6" t="str">
        <f t="shared" si="3"/>
        <v/>
      </c>
      <c r="Z6" s="16"/>
      <c r="AB6" t="str">
        <f>IF(B6&lt;&gt;"Sensor Snapshot","",IF(ISNUMBER(AA6),--(AA6&lt;&gt;0),IF(ISNUMBER(Z6),--(Z6&lt;'02_Parameters'!$B$15),"")))</f>
        <v/>
      </c>
      <c r="AC6" t="str">
        <f>IF(B6&lt;&gt;"Sensor Snapshot","",IF(ISNUMBER(X6),--(X6&gt;='02_Parameters'!$B$16),""))</f>
        <v/>
      </c>
      <c r="AD6">
        <v>0</v>
      </c>
      <c r="AE6" t="str">
        <f t="shared" si="4"/>
        <v/>
      </c>
      <c r="AF6" s="3" t="str">
        <f t="shared" si="5"/>
        <v/>
      </c>
      <c r="AG6" s="16"/>
      <c r="AH6" s="16" t="str">
        <f>IF(B6&lt;&gt;"Sensor Snapshot","",IF(ISNUMBER(AG6),IF(AG6&lt;0,"",IF(AG6&gt;10,AG6/'02_Parameters'!$B$17,AG6)),""))</f>
        <v/>
      </c>
      <c r="AI6" t="str">
        <f t="shared" si="6"/>
        <v/>
      </c>
      <c r="AJ6" t="str">
        <f t="shared" si="7"/>
        <v/>
      </c>
      <c r="AK6" t="str">
        <f t="shared" si="8"/>
        <v/>
      </c>
      <c r="AM6" t="str">
        <f t="shared" si="9"/>
        <v/>
      </c>
      <c r="AN6" t="str">
        <f>IF(B6&lt;&gt;"Sensor Snapshot","",--(N6&gt;='02_Parameters'!$B$13))</f>
        <v/>
      </c>
      <c r="AO6" t="str">
        <f>IF(B6&lt;&gt;"Sensor Snapshot","",--(AND(L6="PUMPING",ISNUMBER(AH6),AH6&lt;='02_Parameters'!$B$10)))</f>
        <v/>
      </c>
      <c r="AP6" s="16"/>
      <c r="AQ6" s="16" t="str">
        <f t="shared" si="10"/>
        <v/>
      </c>
      <c r="AR6" s="16" t="str">
        <f t="shared" si="11"/>
        <v/>
      </c>
      <c r="AW6" s="3" t="s">
        <v>246</v>
      </c>
      <c r="AX6" s="3" t="str">
        <f t="shared" si="12"/>
        <v/>
      </c>
      <c r="AY6" s="3" t="str">
        <f t="shared" si="13"/>
        <v/>
      </c>
      <c r="AZ6" s="3" t="s">
        <v>247</v>
      </c>
      <c r="BA6" s="3"/>
    </row>
    <row r="7" spans="1:53" ht="27.6">
      <c r="A7" t="s">
        <v>256</v>
      </c>
      <c r="B7" t="s">
        <v>231</v>
      </c>
      <c r="C7" s="14">
        <v>23639</v>
      </c>
      <c r="D7" s="15">
        <f t="shared" si="0"/>
        <v>23.638999999999999</v>
      </c>
      <c r="E7" t="s">
        <v>232</v>
      </c>
      <c r="F7" t="s">
        <v>3</v>
      </c>
      <c r="G7" t="s">
        <v>234</v>
      </c>
      <c r="H7" t="s">
        <v>235</v>
      </c>
      <c r="I7" s="3"/>
      <c r="J7" s="3"/>
      <c r="M7" t="str">
        <f t="shared" si="1"/>
        <v/>
      </c>
      <c r="O7" s="16">
        <v>21.9</v>
      </c>
      <c r="P7" s="16">
        <f>IF(AND(ISNUMBER(O7),O7&lt;&gt;-1,O7&gt;='02_Parameters'!$B$18,O7&lt;='02_Parameters'!$B$19),O7,"")</f>
        <v>21.9</v>
      </c>
      <c r="Q7" s="16">
        <v>21.9</v>
      </c>
      <c r="R7" t="str">
        <f>IF(B7&lt;&gt;"Sensor Snapshot","",IF(O7="","Missing",IF(O7=-1,"Sensor failure sentinel (-1)",IF(OR(O7&lt;'02_Parameters'!$B$18,O7&gt;'02_Parameters'!$B$19),"Out of accepted range","Valid"))))</f>
        <v>Valid</v>
      </c>
      <c r="S7" s="16">
        <v>69.400000000000006</v>
      </c>
      <c r="T7" s="16">
        <f>IF(AND(ISNUMBER(S7),S7&lt;&gt;-1,S7&gt;='02_Parameters'!$B$20,S7&lt;='02_Parameters'!$B$21),S7,"")</f>
        <v>69.400000000000006</v>
      </c>
      <c r="U7" s="16">
        <v>69.400000000000006</v>
      </c>
      <c r="V7" t="str">
        <f>IF(B7&lt;&gt;"Sensor Snapshot","",IF(S7="","Missing",IF(S7=-1,"Sensor failure sentinel (-1)",IF(OR(S7&lt;'02_Parameters'!$B$20,S7&gt;'02_Parameters'!$B$21),"Out of accepted range","Valid"))))</f>
        <v>Valid</v>
      </c>
      <c r="W7" s="16">
        <v>10.1952</v>
      </c>
      <c r="X7" s="16">
        <f t="shared" si="2"/>
        <v>10.1952</v>
      </c>
      <c r="Y7" t="str">
        <f t="shared" si="3"/>
        <v>Valid</v>
      </c>
      <c r="Z7" s="16">
        <v>845</v>
      </c>
      <c r="AB7">
        <f>IF(B7&lt;&gt;"Sensor Snapshot","",IF(ISNUMBER(AA7),--(AA7&lt;&gt;0),IF(ISNUMBER(Z7),--(Z7&lt;'02_Parameters'!$B$15),"")))</f>
        <v>0</v>
      </c>
      <c r="AC7">
        <f>IF(B7&lt;&gt;"Sensor Snapshot","",IF(ISNUMBER(X7),--(X7&gt;='02_Parameters'!$B$16),""))</f>
        <v>1</v>
      </c>
      <c r="AD7">
        <v>0</v>
      </c>
      <c r="AE7">
        <f t="shared" si="4"/>
        <v>0</v>
      </c>
      <c r="AF7" s="3" t="str">
        <f t="shared" si="5"/>
        <v>Partial detection only</v>
      </c>
      <c r="AG7" s="16">
        <v>0</v>
      </c>
      <c r="AH7" s="16">
        <f>IF(B7&lt;&gt;"Sensor Snapshot","",IF(ISNUMBER(AG7),IF(AG7&lt;0,"",IF(AG7&gt;10,AG7/'02_Parameters'!$B$17,AG7)),""))</f>
        <v>0</v>
      </c>
      <c r="AI7" t="str">
        <f t="shared" si="6"/>
        <v>Valid</v>
      </c>
      <c r="AJ7">
        <f t="shared" si="7"/>
        <v>0</v>
      </c>
      <c r="AK7">
        <f t="shared" si="8"/>
        <v>0</v>
      </c>
      <c r="AM7">
        <f t="shared" si="9"/>
        <v>0</v>
      </c>
      <c r="AN7">
        <f>IF(B7&lt;&gt;"Sensor Snapshot","",--(N7&gt;='02_Parameters'!$B$13))</f>
        <v>0</v>
      </c>
      <c r="AO7">
        <f>IF(B7&lt;&gt;"Sensor Snapshot","",--(AND(L7="PUMPING",ISNUMBER(AH7),AH7&lt;='02_Parameters'!$B$10)))</f>
        <v>0</v>
      </c>
      <c r="AP7" s="16"/>
      <c r="AQ7" s="16" t="str">
        <f t="shared" si="10"/>
        <v/>
      </c>
      <c r="AR7" s="16" t="str">
        <f t="shared" si="11"/>
        <v/>
      </c>
      <c r="AU7" t="s">
        <v>236</v>
      </c>
      <c r="AV7" t="s">
        <v>237</v>
      </c>
      <c r="AW7" s="3" t="s">
        <v>257</v>
      </c>
      <c r="AX7" s="3">
        <f t="shared" si="12"/>
        <v>100</v>
      </c>
      <c r="AY7" s="3" t="str">
        <f t="shared" si="13"/>
        <v>A</v>
      </c>
      <c r="AZ7" s="3" t="s">
        <v>239</v>
      </c>
      <c r="BA7" s="3" t="s">
        <v>240</v>
      </c>
    </row>
    <row r="8" spans="1:53" ht="27.6">
      <c r="A8" t="s">
        <v>258</v>
      </c>
      <c r="B8" t="s">
        <v>242</v>
      </c>
      <c r="C8" s="14">
        <v>23856</v>
      </c>
      <c r="D8" s="15">
        <f t="shared" si="0"/>
        <v>23.856000000000002</v>
      </c>
      <c r="E8" t="s">
        <v>232</v>
      </c>
      <c r="G8" t="s">
        <v>157</v>
      </c>
      <c r="H8" t="s">
        <v>243</v>
      </c>
      <c r="I8" s="3" t="s">
        <v>259</v>
      </c>
      <c r="J8" s="3" t="s">
        <v>260</v>
      </c>
      <c r="M8" t="str">
        <f t="shared" si="1"/>
        <v/>
      </c>
      <c r="O8" s="16"/>
      <c r="P8" s="16" t="str">
        <f>IF(AND(ISNUMBER(O8),O8&lt;&gt;-1,O8&gt;='02_Parameters'!$B$18,O8&lt;='02_Parameters'!$B$19),O8,"")</f>
        <v/>
      </c>
      <c r="Q8" s="16"/>
      <c r="R8" t="str">
        <f>IF(B8&lt;&gt;"Sensor Snapshot","",IF(O8="","Missing",IF(O8=-1,"Sensor failure sentinel (-1)",IF(OR(O8&lt;'02_Parameters'!$B$18,O8&gt;'02_Parameters'!$B$19),"Out of accepted range","Valid"))))</f>
        <v/>
      </c>
      <c r="S8" s="16"/>
      <c r="T8" s="16" t="str">
        <f>IF(AND(ISNUMBER(S8),S8&lt;&gt;-1,S8&gt;='02_Parameters'!$B$20,S8&lt;='02_Parameters'!$B$21),S8,"")</f>
        <v/>
      </c>
      <c r="U8" s="16"/>
      <c r="V8" t="str">
        <f>IF(B8&lt;&gt;"Sensor Snapshot","",IF(S8="","Missing",IF(S8=-1,"Sensor failure sentinel (-1)",IF(OR(S8&lt;'02_Parameters'!$B$20,S8&gt;'02_Parameters'!$B$21),"Out of accepted range","Valid"))))</f>
        <v/>
      </c>
      <c r="W8" s="16"/>
      <c r="X8" s="16" t="str">
        <f t="shared" si="2"/>
        <v/>
      </c>
      <c r="Y8" t="str">
        <f t="shared" si="3"/>
        <v/>
      </c>
      <c r="Z8" s="16"/>
      <c r="AB8" t="str">
        <f>IF(B8&lt;&gt;"Sensor Snapshot","",IF(ISNUMBER(AA8),--(AA8&lt;&gt;0),IF(ISNUMBER(Z8),--(Z8&lt;'02_Parameters'!$B$15),"")))</f>
        <v/>
      </c>
      <c r="AC8" t="str">
        <f>IF(B8&lt;&gt;"Sensor Snapshot","",IF(ISNUMBER(X8),--(X8&gt;='02_Parameters'!$B$16),""))</f>
        <v/>
      </c>
      <c r="AD8">
        <v>0</v>
      </c>
      <c r="AE8" t="str">
        <f t="shared" si="4"/>
        <v/>
      </c>
      <c r="AF8" s="3" t="str">
        <f t="shared" si="5"/>
        <v/>
      </c>
      <c r="AG8" s="16"/>
      <c r="AH8" s="16" t="str">
        <f>IF(B8&lt;&gt;"Sensor Snapshot","",IF(ISNUMBER(AG8),IF(AG8&lt;0,"",IF(AG8&gt;10,AG8/'02_Parameters'!$B$17,AG8)),""))</f>
        <v/>
      </c>
      <c r="AI8" t="str">
        <f t="shared" si="6"/>
        <v/>
      </c>
      <c r="AJ8" t="str">
        <f t="shared" si="7"/>
        <v/>
      </c>
      <c r="AK8" t="str">
        <f t="shared" si="8"/>
        <v/>
      </c>
      <c r="AL8">
        <v>0</v>
      </c>
      <c r="AM8" t="str">
        <f t="shared" si="9"/>
        <v/>
      </c>
      <c r="AN8" t="str">
        <f>IF(B8&lt;&gt;"Sensor Snapshot","",--(N8&gt;='02_Parameters'!$B$13))</f>
        <v/>
      </c>
      <c r="AO8" t="str">
        <f>IF(B8&lt;&gt;"Sensor Snapshot","",--(AND(L8="PUMPING",ISNUMBER(AH8),AH8&lt;='02_Parameters'!$B$10)))</f>
        <v/>
      </c>
      <c r="AP8" s="16"/>
      <c r="AQ8" s="16" t="str">
        <f t="shared" si="10"/>
        <v/>
      </c>
      <c r="AR8" s="16" t="str">
        <f t="shared" si="11"/>
        <v/>
      </c>
      <c r="AW8" s="3" t="s">
        <v>246</v>
      </c>
      <c r="AX8" s="3" t="str">
        <f t="shared" si="12"/>
        <v/>
      </c>
      <c r="AY8" s="3" t="str">
        <f t="shared" si="13"/>
        <v/>
      </c>
      <c r="AZ8" s="3" t="s">
        <v>247</v>
      </c>
      <c r="BA8" s="3"/>
    </row>
    <row r="9" spans="1:53" ht="41.4">
      <c r="A9" t="s">
        <v>261</v>
      </c>
      <c r="B9" t="s">
        <v>262</v>
      </c>
      <c r="C9" s="14">
        <v>23897</v>
      </c>
      <c r="D9" s="15">
        <f t="shared" si="0"/>
        <v>23.896999999999998</v>
      </c>
      <c r="E9" t="s">
        <v>263</v>
      </c>
      <c r="F9" t="s">
        <v>233</v>
      </c>
      <c r="G9" t="s">
        <v>91</v>
      </c>
      <c r="H9" t="s">
        <v>264</v>
      </c>
      <c r="I9" s="3" t="s">
        <v>265</v>
      </c>
      <c r="J9" s="3" t="s">
        <v>266</v>
      </c>
      <c r="M9" t="str">
        <f t="shared" si="1"/>
        <v/>
      </c>
      <c r="O9" s="16"/>
      <c r="P9" s="16" t="str">
        <f>IF(AND(ISNUMBER(O9),O9&lt;&gt;-1,O9&gt;='02_Parameters'!$B$18,O9&lt;='02_Parameters'!$B$19),O9,"")</f>
        <v/>
      </c>
      <c r="Q9" s="16"/>
      <c r="R9" t="str">
        <f>IF(B9&lt;&gt;"Sensor Snapshot","",IF(O9="","Missing",IF(O9=-1,"Sensor failure sentinel (-1)",IF(OR(O9&lt;'02_Parameters'!$B$18,O9&gt;'02_Parameters'!$B$19),"Out of accepted range","Valid"))))</f>
        <v/>
      </c>
      <c r="S9" s="16"/>
      <c r="T9" s="16" t="str">
        <f>IF(AND(ISNUMBER(S9),S9&lt;&gt;-1,S9&gt;='02_Parameters'!$B$20,S9&lt;='02_Parameters'!$B$21),S9,"")</f>
        <v/>
      </c>
      <c r="U9" s="16"/>
      <c r="V9" t="str">
        <f>IF(B9&lt;&gt;"Sensor Snapshot","",IF(S9="","Missing",IF(S9=-1,"Sensor failure sentinel (-1)",IF(OR(S9&lt;'02_Parameters'!$B$20,S9&gt;'02_Parameters'!$B$21),"Out of accepted range","Valid"))))</f>
        <v/>
      </c>
      <c r="W9" s="16">
        <v>33.297600000000003</v>
      </c>
      <c r="X9" s="16">
        <f t="shared" si="2"/>
        <v>33.297600000000003</v>
      </c>
      <c r="Y9" t="str">
        <f t="shared" si="3"/>
        <v>Calibration magnitude</v>
      </c>
      <c r="Z9" s="16"/>
      <c r="AB9" t="str">
        <f>IF(B9&lt;&gt;"Sensor Snapshot","",IF(ISNUMBER(AA9),--(AA9&lt;&gt;0),IF(ISNUMBER(Z9),--(Z9&lt;'02_Parameters'!$B$15),"")))</f>
        <v/>
      </c>
      <c r="AC9" t="str">
        <f>IF(B9&lt;&gt;"Sensor Snapshot","",IF(ISNUMBER(X9),--(X9&gt;='02_Parameters'!$B$16),""))</f>
        <v/>
      </c>
      <c r="AD9">
        <v>0</v>
      </c>
      <c r="AE9" t="str">
        <f t="shared" si="4"/>
        <v/>
      </c>
      <c r="AF9" s="3" t="str">
        <f t="shared" si="5"/>
        <v/>
      </c>
      <c r="AG9" s="16"/>
      <c r="AH9" s="16" t="str">
        <f>IF(B9&lt;&gt;"Sensor Snapshot","",IF(ISNUMBER(AG9),IF(AG9&lt;0,"",IF(AG9&gt;10,AG9/'02_Parameters'!$B$17,AG9)),""))</f>
        <v/>
      </c>
      <c r="AI9" t="str">
        <f t="shared" si="6"/>
        <v/>
      </c>
      <c r="AJ9" t="str">
        <f t="shared" si="7"/>
        <v/>
      </c>
      <c r="AK9" t="str">
        <f t="shared" si="8"/>
        <v/>
      </c>
      <c r="AM9" t="str">
        <f t="shared" si="9"/>
        <v/>
      </c>
      <c r="AN9" t="str">
        <f>IF(B9&lt;&gt;"Sensor Snapshot","",--(N9&gt;='02_Parameters'!$B$13))</f>
        <v/>
      </c>
      <c r="AO9" t="str">
        <f>IF(B9&lt;&gt;"Sensor Snapshot","",--(AND(L9="PUMPING",ISNUMBER(AH9),AH9&lt;='02_Parameters'!$B$10)))</f>
        <v/>
      </c>
      <c r="AP9" s="16">
        <v>500</v>
      </c>
      <c r="AQ9" s="16">
        <f t="shared" si="10"/>
        <v>-466.70240000000001</v>
      </c>
      <c r="AR9" s="16">
        <f t="shared" si="11"/>
        <v>-93.340479999999999</v>
      </c>
      <c r="AS9">
        <v>1</v>
      </c>
      <c r="AT9">
        <v>1</v>
      </c>
      <c r="AU9" t="s">
        <v>125</v>
      </c>
      <c r="AV9" t="s">
        <v>267</v>
      </c>
      <c r="AW9" s="3" t="s">
        <v>268</v>
      </c>
      <c r="AX9" s="3" t="str">
        <f t="shared" si="12"/>
        <v/>
      </c>
      <c r="AY9" s="3" t="str">
        <f t="shared" si="13"/>
        <v/>
      </c>
      <c r="AZ9" s="3" t="s">
        <v>269</v>
      </c>
      <c r="BA9" s="3" t="s">
        <v>270</v>
      </c>
    </row>
    <row r="10" spans="1:53" ht="41.4">
      <c r="A10" t="s">
        <v>271</v>
      </c>
      <c r="B10" t="s">
        <v>262</v>
      </c>
      <c r="C10" s="14">
        <v>24279</v>
      </c>
      <c r="D10" s="15">
        <f t="shared" si="0"/>
        <v>24.279</v>
      </c>
      <c r="E10" t="s">
        <v>263</v>
      </c>
      <c r="F10" t="s">
        <v>3</v>
      </c>
      <c r="G10" t="s">
        <v>91</v>
      </c>
      <c r="H10" t="s">
        <v>264</v>
      </c>
      <c r="I10" s="3" t="s">
        <v>265</v>
      </c>
      <c r="J10" s="3" t="s">
        <v>266</v>
      </c>
      <c r="M10" t="str">
        <f t="shared" si="1"/>
        <v/>
      </c>
      <c r="O10" s="16"/>
      <c r="P10" s="16" t="str">
        <f>IF(AND(ISNUMBER(O10),O10&lt;&gt;-1,O10&gt;='02_Parameters'!$B$18,O10&lt;='02_Parameters'!$B$19),O10,"")</f>
        <v/>
      </c>
      <c r="Q10" s="16"/>
      <c r="R10" t="str">
        <f>IF(B10&lt;&gt;"Sensor Snapshot","",IF(O10="","Missing",IF(O10=-1,"Sensor failure sentinel (-1)",IF(OR(O10&lt;'02_Parameters'!$B$18,O10&gt;'02_Parameters'!$B$19),"Out of accepted range","Valid"))))</f>
        <v/>
      </c>
      <c r="S10" s="16"/>
      <c r="T10" s="16" t="str">
        <f>IF(AND(ISNUMBER(S10),S10&lt;&gt;-1,S10&gt;='02_Parameters'!$B$20,S10&lt;='02_Parameters'!$B$21),S10,"")</f>
        <v/>
      </c>
      <c r="U10" s="16"/>
      <c r="V10" t="str">
        <f>IF(B10&lt;&gt;"Sensor Snapshot","",IF(S10="","Missing",IF(S10=-1,"Sensor failure sentinel (-1)",IF(OR(S10&lt;'02_Parameters'!$B$20,S10&gt;'02_Parameters'!$B$21),"Out of accepted range","Valid"))))</f>
        <v/>
      </c>
      <c r="W10" s="16">
        <v>23.15</v>
      </c>
      <c r="X10" s="16">
        <f t="shared" si="2"/>
        <v>23.15</v>
      </c>
      <c r="Y10" t="str">
        <f t="shared" si="3"/>
        <v>Calibration magnitude</v>
      </c>
      <c r="Z10" s="16"/>
      <c r="AB10" t="str">
        <f>IF(B10&lt;&gt;"Sensor Snapshot","",IF(ISNUMBER(AA10),--(AA10&lt;&gt;0),IF(ISNUMBER(Z10),--(Z10&lt;'02_Parameters'!$B$15),"")))</f>
        <v/>
      </c>
      <c r="AC10" t="str">
        <f>IF(B10&lt;&gt;"Sensor Snapshot","",IF(ISNUMBER(X10),--(X10&gt;='02_Parameters'!$B$16),""))</f>
        <v/>
      </c>
      <c r="AD10">
        <v>0</v>
      </c>
      <c r="AE10" t="str">
        <f t="shared" si="4"/>
        <v/>
      </c>
      <c r="AF10" s="3" t="str">
        <f t="shared" si="5"/>
        <v/>
      </c>
      <c r="AG10" s="16"/>
      <c r="AH10" s="16" t="str">
        <f>IF(B10&lt;&gt;"Sensor Snapshot","",IF(ISNUMBER(AG10),IF(AG10&lt;0,"",IF(AG10&gt;10,AG10/'02_Parameters'!$B$17,AG10)),""))</f>
        <v/>
      </c>
      <c r="AI10" t="str">
        <f t="shared" si="6"/>
        <v/>
      </c>
      <c r="AJ10" t="str">
        <f t="shared" si="7"/>
        <v/>
      </c>
      <c r="AK10" t="str">
        <f t="shared" si="8"/>
        <v/>
      </c>
      <c r="AM10" t="str">
        <f t="shared" si="9"/>
        <v/>
      </c>
      <c r="AN10" t="str">
        <f>IF(B10&lt;&gt;"Sensor Snapshot","",--(N10&gt;='02_Parameters'!$B$13))</f>
        <v/>
      </c>
      <c r="AO10" t="str">
        <f>IF(B10&lt;&gt;"Sensor Snapshot","",--(AND(L10="PUMPING",ISNUMBER(AH10),AH10&lt;='02_Parameters'!$B$10)))</f>
        <v/>
      </c>
      <c r="AP10" s="16">
        <v>500</v>
      </c>
      <c r="AQ10" s="16">
        <f t="shared" si="10"/>
        <v>-476.85</v>
      </c>
      <c r="AR10" s="16">
        <f t="shared" si="11"/>
        <v>-95.37</v>
      </c>
      <c r="AS10">
        <v>1</v>
      </c>
      <c r="AT10">
        <v>2</v>
      </c>
      <c r="AU10" t="s">
        <v>125</v>
      </c>
      <c r="AV10" t="s">
        <v>267</v>
      </c>
      <c r="AW10" s="3" t="s">
        <v>268</v>
      </c>
      <c r="AX10" s="3" t="str">
        <f t="shared" si="12"/>
        <v/>
      </c>
      <c r="AY10" s="3" t="str">
        <f t="shared" si="13"/>
        <v/>
      </c>
      <c r="AZ10" s="3" t="s">
        <v>269</v>
      </c>
      <c r="BA10" s="3" t="s">
        <v>270</v>
      </c>
    </row>
    <row r="11" spans="1:53" ht="41.4">
      <c r="A11" t="s">
        <v>272</v>
      </c>
      <c r="B11" t="s">
        <v>262</v>
      </c>
      <c r="C11" s="14">
        <v>24594</v>
      </c>
      <c r="D11" s="15">
        <f t="shared" si="0"/>
        <v>24.594000000000001</v>
      </c>
      <c r="E11" t="s">
        <v>263</v>
      </c>
      <c r="F11" t="s">
        <v>6</v>
      </c>
      <c r="G11" t="s">
        <v>91</v>
      </c>
      <c r="H11" t="s">
        <v>264</v>
      </c>
      <c r="I11" s="3" t="s">
        <v>265</v>
      </c>
      <c r="J11" s="3" t="s">
        <v>266</v>
      </c>
      <c r="M11" t="str">
        <f t="shared" si="1"/>
        <v/>
      </c>
      <c r="O11" s="16"/>
      <c r="P11" s="16" t="str">
        <f>IF(AND(ISNUMBER(O11),O11&lt;&gt;-1,O11&gt;='02_Parameters'!$B$18,O11&lt;='02_Parameters'!$B$19),O11,"")</f>
        <v/>
      </c>
      <c r="Q11" s="16"/>
      <c r="R11" t="str">
        <f>IF(B11&lt;&gt;"Sensor Snapshot","",IF(O11="","Missing",IF(O11=-1,"Sensor failure sentinel (-1)",IF(OR(O11&lt;'02_Parameters'!$B$18,O11&gt;'02_Parameters'!$B$19),"Out of accepted range","Valid"))))</f>
        <v/>
      </c>
      <c r="S11" s="16"/>
      <c r="T11" s="16" t="str">
        <f>IF(AND(ISNUMBER(S11),S11&lt;&gt;-1,S11&gt;='02_Parameters'!$B$20,S11&lt;='02_Parameters'!$B$21),S11,"")</f>
        <v/>
      </c>
      <c r="U11" s="16"/>
      <c r="V11" t="str">
        <f>IF(B11&lt;&gt;"Sensor Snapshot","",IF(S11="","Missing",IF(S11=-1,"Sensor failure sentinel (-1)",IF(OR(S11&lt;'02_Parameters'!$B$20,S11&gt;'02_Parameters'!$B$21),"Out of accepted range","Valid"))))</f>
        <v/>
      </c>
      <c r="W11" s="16">
        <v>7.6905000000000001</v>
      </c>
      <c r="X11" s="16">
        <f t="shared" si="2"/>
        <v>7.6905000000000001</v>
      </c>
      <c r="Y11" t="str">
        <f t="shared" si="3"/>
        <v>Calibration magnitude</v>
      </c>
      <c r="Z11" s="16"/>
      <c r="AB11" t="str">
        <f>IF(B11&lt;&gt;"Sensor Snapshot","",IF(ISNUMBER(AA11),--(AA11&lt;&gt;0),IF(ISNUMBER(Z11),--(Z11&lt;'02_Parameters'!$B$15),"")))</f>
        <v/>
      </c>
      <c r="AC11" t="str">
        <f>IF(B11&lt;&gt;"Sensor Snapshot","",IF(ISNUMBER(X11),--(X11&gt;='02_Parameters'!$B$16),""))</f>
        <v/>
      </c>
      <c r="AD11">
        <v>0</v>
      </c>
      <c r="AE11" t="str">
        <f t="shared" si="4"/>
        <v/>
      </c>
      <c r="AF11" s="3" t="str">
        <f t="shared" si="5"/>
        <v/>
      </c>
      <c r="AG11" s="16"/>
      <c r="AH11" s="16" t="str">
        <f>IF(B11&lt;&gt;"Sensor Snapshot","",IF(ISNUMBER(AG11),IF(AG11&lt;0,"",IF(AG11&gt;10,AG11/'02_Parameters'!$B$17,AG11)),""))</f>
        <v/>
      </c>
      <c r="AI11" t="str">
        <f t="shared" si="6"/>
        <v/>
      </c>
      <c r="AJ11" t="str">
        <f t="shared" si="7"/>
        <v/>
      </c>
      <c r="AK11" t="str">
        <f t="shared" si="8"/>
        <v/>
      </c>
      <c r="AM11" t="str">
        <f t="shared" si="9"/>
        <v/>
      </c>
      <c r="AN11" t="str">
        <f>IF(B11&lt;&gt;"Sensor Snapshot","",--(N11&gt;='02_Parameters'!$B$13))</f>
        <v/>
      </c>
      <c r="AO11" t="str">
        <f>IF(B11&lt;&gt;"Sensor Snapshot","",--(AND(L11="PUMPING",ISNUMBER(AH11),AH11&lt;='02_Parameters'!$B$10)))</f>
        <v/>
      </c>
      <c r="AP11" s="16">
        <v>500</v>
      </c>
      <c r="AQ11" s="16">
        <f t="shared" si="10"/>
        <v>-492.30950000000001</v>
      </c>
      <c r="AR11" s="16">
        <f t="shared" si="11"/>
        <v>-98.4619</v>
      </c>
      <c r="AS11">
        <v>1</v>
      </c>
      <c r="AT11">
        <v>3</v>
      </c>
      <c r="AU11" t="s">
        <v>125</v>
      </c>
      <c r="AV11" t="s">
        <v>267</v>
      </c>
      <c r="AW11" s="3" t="s">
        <v>268</v>
      </c>
      <c r="AX11" s="3" t="str">
        <f t="shared" si="12"/>
        <v/>
      </c>
      <c r="AY11" s="3" t="str">
        <f t="shared" si="13"/>
        <v/>
      </c>
      <c r="AZ11" s="3" t="s">
        <v>269</v>
      </c>
      <c r="BA11" s="3" t="s">
        <v>270</v>
      </c>
    </row>
    <row r="12" spans="1:53" ht="41.4">
      <c r="A12" t="s">
        <v>273</v>
      </c>
      <c r="B12" t="s">
        <v>262</v>
      </c>
      <c r="C12" s="14">
        <v>24907</v>
      </c>
      <c r="D12" s="15">
        <f t="shared" si="0"/>
        <v>24.907</v>
      </c>
      <c r="E12" t="s">
        <v>263</v>
      </c>
      <c r="F12" t="s">
        <v>9</v>
      </c>
      <c r="G12" t="s">
        <v>91</v>
      </c>
      <c r="H12" t="s">
        <v>264</v>
      </c>
      <c r="I12" s="3" t="s">
        <v>265</v>
      </c>
      <c r="J12" s="3" t="s">
        <v>266</v>
      </c>
      <c r="M12" t="str">
        <f t="shared" si="1"/>
        <v/>
      </c>
      <c r="O12" s="16"/>
      <c r="P12" s="16" t="str">
        <f>IF(AND(ISNUMBER(O12),O12&lt;&gt;-1,O12&gt;='02_Parameters'!$B$18,O12&lt;='02_Parameters'!$B$19),O12,"")</f>
        <v/>
      </c>
      <c r="Q12" s="16"/>
      <c r="R12" t="str">
        <f>IF(B12&lt;&gt;"Sensor Snapshot","",IF(O12="","Missing",IF(O12=-1,"Sensor failure sentinel (-1)",IF(OR(O12&lt;'02_Parameters'!$B$18,O12&gt;'02_Parameters'!$B$19),"Out of accepted range","Valid"))))</f>
        <v/>
      </c>
      <c r="S12" s="16"/>
      <c r="T12" s="16" t="str">
        <f>IF(AND(ISNUMBER(S12),S12&lt;&gt;-1,S12&gt;='02_Parameters'!$B$20,S12&lt;='02_Parameters'!$B$21),S12,"")</f>
        <v/>
      </c>
      <c r="U12" s="16"/>
      <c r="V12" t="str">
        <f>IF(B12&lt;&gt;"Sensor Snapshot","",IF(S12="","Missing",IF(S12=-1,"Sensor failure sentinel (-1)",IF(OR(S12&lt;'02_Parameters'!$B$20,S12&gt;'02_Parameters'!$B$21),"Out of accepted range","Valid"))))</f>
        <v/>
      </c>
      <c r="W12" s="16">
        <v>14.7905</v>
      </c>
      <c r="X12" s="16">
        <f t="shared" si="2"/>
        <v>14.7905</v>
      </c>
      <c r="Y12" t="str">
        <f t="shared" si="3"/>
        <v>Calibration magnitude</v>
      </c>
      <c r="Z12" s="16"/>
      <c r="AB12" t="str">
        <f>IF(B12&lt;&gt;"Sensor Snapshot","",IF(ISNUMBER(AA12),--(AA12&lt;&gt;0),IF(ISNUMBER(Z12),--(Z12&lt;'02_Parameters'!$B$15),"")))</f>
        <v/>
      </c>
      <c r="AC12" t="str">
        <f>IF(B12&lt;&gt;"Sensor Snapshot","",IF(ISNUMBER(X12),--(X12&gt;='02_Parameters'!$B$16),""))</f>
        <v/>
      </c>
      <c r="AD12">
        <v>0</v>
      </c>
      <c r="AE12" t="str">
        <f t="shared" si="4"/>
        <v/>
      </c>
      <c r="AF12" s="3" t="str">
        <f t="shared" si="5"/>
        <v/>
      </c>
      <c r="AG12" s="16"/>
      <c r="AH12" s="16" t="str">
        <f>IF(B12&lt;&gt;"Sensor Snapshot","",IF(ISNUMBER(AG12),IF(AG12&lt;0,"",IF(AG12&gt;10,AG12/'02_Parameters'!$B$17,AG12)),""))</f>
        <v/>
      </c>
      <c r="AI12" t="str">
        <f t="shared" si="6"/>
        <v/>
      </c>
      <c r="AJ12" t="str">
        <f t="shared" si="7"/>
        <v/>
      </c>
      <c r="AK12" t="str">
        <f t="shared" si="8"/>
        <v/>
      </c>
      <c r="AM12" t="str">
        <f t="shared" si="9"/>
        <v/>
      </c>
      <c r="AN12" t="str">
        <f>IF(B12&lt;&gt;"Sensor Snapshot","",--(N12&gt;='02_Parameters'!$B$13))</f>
        <v/>
      </c>
      <c r="AO12" t="str">
        <f>IF(B12&lt;&gt;"Sensor Snapshot","",--(AND(L12="PUMPING",ISNUMBER(AH12),AH12&lt;='02_Parameters'!$B$10)))</f>
        <v/>
      </c>
      <c r="AP12" s="16">
        <v>500</v>
      </c>
      <c r="AQ12" s="16">
        <f t="shared" si="10"/>
        <v>-485.20949999999999</v>
      </c>
      <c r="AR12" s="16">
        <f t="shared" si="11"/>
        <v>-97.041899999999998</v>
      </c>
      <c r="AS12">
        <v>1</v>
      </c>
      <c r="AT12">
        <v>4</v>
      </c>
      <c r="AU12" t="s">
        <v>125</v>
      </c>
      <c r="AV12" t="s">
        <v>267</v>
      </c>
      <c r="AW12" s="3" t="s">
        <v>268</v>
      </c>
      <c r="AX12" s="3" t="str">
        <f t="shared" si="12"/>
        <v/>
      </c>
      <c r="AY12" s="3" t="str">
        <f t="shared" si="13"/>
        <v/>
      </c>
      <c r="AZ12" s="3" t="s">
        <v>269</v>
      </c>
      <c r="BA12" s="3" t="s">
        <v>270</v>
      </c>
    </row>
    <row r="13" spans="1:53" ht="41.4">
      <c r="A13" t="s">
        <v>274</v>
      </c>
      <c r="B13" t="s">
        <v>262</v>
      </c>
      <c r="C13" s="14">
        <v>25223</v>
      </c>
      <c r="D13" s="15">
        <f t="shared" si="0"/>
        <v>25.222999999999999</v>
      </c>
      <c r="E13" t="s">
        <v>263</v>
      </c>
      <c r="F13" t="s">
        <v>12</v>
      </c>
      <c r="G13" t="s">
        <v>91</v>
      </c>
      <c r="H13" t="s">
        <v>264</v>
      </c>
      <c r="I13" s="3" t="s">
        <v>265</v>
      </c>
      <c r="J13" s="3" t="s">
        <v>266</v>
      </c>
      <c r="M13" t="str">
        <f t="shared" si="1"/>
        <v/>
      </c>
      <c r="O13" s="16"/>
      <c r="P13" s="16" t="str">
        <f>IF(AND(ISNUMBER(O13),O13&lt;&gt;-1,O13&gt;='02_Parameters'!$B$18,O13&lt;='02_Parameters'!$B$19),O13,"")</f>
        <v/>
      </c>
      <c r="Q13" s="16"/>
      <c r="R13" t="str">
        <f>IF(B13&lt;&gt;"Sensor Snapshot","",IF(O13="","Missing",IF(O13=-1,"Sensor failure sentinel (-1)",IF(OR(O13&lt;'02_Parameters'!$B$18,O13&gt;'02_Parameters'!$B$19),"Out of accepted range","Valid"))))</f>
        <v/>
      </c>
      <c r="S13" s="16"/>
      <c r="T13" s="16" t="str">
        <f>IF(AND(ISNUMBER(S13),S13&lt;&gt;-1,S13&gt;='02_Parameters'!$B$20,S13&lt;='02_Parameters'!$B$21),S13,"")</f>
        <v/>
      </c>
      <c r="U13" s="16"/>
      <c r="V13" t="str">
        <f>IF(B13&lt;&gt;"Sensor Snapshot","",IF(S13="","Missing",IF(S13=-1,"Sensor failure sentinel (-1)",IF(OR(S13&lt;'02_Parameters'!$B$20,S13&gt;'02_Parameters'!$B$21),"Out of accepted range","Valid"))))</f>
        <v/>
      </c>
      <c r="W13" s="16">
        <v>6.7523999999999997</v>
      </c>
      <c r="X13" s="16">
        <f t="shared" si="2"/>
        <v>6.7523999999999997</v>
      </c>
      <c r="Y13" t="str">
        <f t="shared" si="3"/>
        <v>Calibration magnitude</v>
      </c>
      <c r="Z13" s="16"/>
      <c r="AB13" t="str">
        <f>IF(B13&lt;&gt;"Sensor Snapshot","",IF(ISNUMBER(AA13),--(AA13&lt;&gt;0),IF(ISNUMBER(Z13),--(Z13&lt;'02_Parameters'!$B$15),"")))</f>
        <v/>
      </c>
      <c r="AC13" t="str">
        <f>IF(B13&lt;&gt;"Sensor Snapshot","",IF(ISNUMBER(X13),--(X13&gt;='02_Parameters'!$B$16),""))</f>
        <v/>
      </c>
      <c r="AD13">
        <v>0</v>
      </c>
      <c r="AE13" t="str">
        <f t="shared" si="4"/>
        <v/>
      </c>
      <c r="AF13" s="3" t="str">
        <f t="shared" si="5"/>
        <v/>
      </c>
      <c r="AG13" s="16"/>
      <c r="AH13" s="16" t="str">
        <f>IF(B13&lt;&gt;"Sensor Snapshot","",IF(ISNUMBER(AG13),IF(AG13&lt;0,"",IF(AG13&gt;10,AG13/'02_Parameters'!$B$17,AG13)),""))</f>
        <v/>
      </c>
      <c r="AI13" t="str">
        <f t="shared" si="6"/>
        <v/>
      </c>
      <c r="AJ13" t="str">
        <f t="shared" si="7"/>
        <v/>
      </c>
      <c r="AK13" t="str">
        <f t="shared" si="8"/>
        <v/>
      </c>
      <c r="AM13" t="str">
        <f t="shared" si="9"/>
        <v/>
      </c>
      <c r="AN13" t="str">
        <f>IF(B13&lt;&gt;"Sensor Snapshot","",--(N13&gt;='02_Parameters'!$B$13))</f>
        <v/>
      </c>
      <c r="AO13" t="str">
        <f>IF(B13&lt;&gt;"Sensor Snapshot","",--(AND(L13="PUMPING",ISNUMBER(AH13),AH13&lt;='02_Parameters'!$B$10)))</f>
        <v/>
      </c>
      <c r="AP13" s="16">
        <v>500</v>
      </c>
      <c r="AQ13" s="16">
        <f t="shared" si="10"/>
        <v>-493.24759999999998</v>
      </c>
      <c r="AR13" s="16">
        <f t="shared" si="11"/>
        <v>-98.649519999999995</v>
      </c>
      <c r="AS13">
        <v>1</v>
      </c>
      <c r="AT13">
        <v>5</v>
      </c>
      <c r="AU13" t="s">
        <v>125</v>
      </c>
      <c r="AV13" t="s">
        <v>267</v>
      </c>
      <c r="AW13" s="3" t="s">
        <v>268</v>
      </c>
      <c r="AX13" s="3" t="str">
        <f t="shared" si="12"/>
        <v/>
      </c>
      <c r="AY13" s="3" t="str">
        <f t="shared" si="13"/>
        <v/>
      </c>
      <c r="AZ13" s="3" t="s">
        <v>269</v>
      </c>
      <c r="BA13" s="3" t="s">
        <v>270</v>
      </c>
    </row>
    <row r="14" spans="1:53" ht="41.4">
      <c r="A14" t="s">
        <v>275</v>
      </c>
      <c r="B14" t="s">
        <v>262</v>
      </c>
      <c r="C14" s="14">
        <v>25536</v>
      </c>
      <c r="D14" s="15">
        <f t="shared" si="0"/>
        <v>25.536000000000001</v>
      </c>
      <c r="E14" t="s">
        <v>263</v>
      </c>
      <c r="F14" t="s">
        <v>15</v>
      </c>
      <c r="G14" t="s">
        <v>91</v>
      </c>
      <c r="H14" t="s">
        <v>264</v>
      </c>
      <c r="I14" s="3" t="s">
        <v>265</v>
      </c>
      <c r="J14" s="3" t="s">
        <v>266</v>
      </c>
      <c r="M14" t="str">
        <f t="shared" si="1"/>
        <v/>
      </c>
      <c r="O14" s="16"/>
      <c r="P14" s="16" t="str">
        <f>IF(AND(ISNUMBER(O14),O14&lt;&gt;-1,O14&gt;='02_Parameters'!$B$18,O14&lt;='02_Parameters'!$B$19),O14,"")</f>
        <v/>
      </c>
      <c r="Q14" s="16"/>
      <c r="R14" t="str">
        <f>IF(B14&lt;&gt;"Sensor Snapshot","",IF(O14="","Missing",IF(O14=-1,"Sensor failure sentinel (-1)",IF(OR(O14&lt;'02_Parameters'!$B$18,O14&gt;'02_Parameters'!$B$19),"Out of accepted range","Valid"))))</f>
        <v/>
      </c>
      <c r="S14" s="16"/>
      <c r="T14" s="16" t="str">
        <f>IF(AND(ISNUMBER(S14),S14&lt;&gt;-1,S14&gt;='02_Parameters'!$B$20,S14&lt;='02_Parameters'!$B$21),S14,"")</f>
        <v/>
      </c>
      <c r="U14" s="16"/>
      <c r="V14" t="str">
        <f>IF(B14&lt;&gt;"Sensor Snapshot","",IF(S14="","Missing",IF(S14=-1,"Sensor failure sentinel (-1)",IF(OR(S14&lt;'02_Parameters'!$B$20,S14&gt;'02_Parameters'!$B$21),"Out of accepted range","Valid"))))</f>
        <v/>
      </c>
      <c r="W14" s="16">
        <v>10.588100000000001</v>
      </c>
      <c r="X14" s="16">
        <f t="shared" si="2"/>
        <v>10.588100000000001</v>
      </c>
      <c r="Y14" t="str">
        <f t="shared" si="3"/>
        <v>Calibration magnitude</v>
      </c>
      <c r="Z14" s="16"/>
      <c r="AB14" t="str">
        <f>IF(B14&lt;&gt;"Sensor Snapshot","",IF(ISNUMBER(AA14),--(AA14&lt;&gt;0),IF(ISNUMBER(Z14),--(Z14&lt;'02_Parameters'!$B$15),"")))</f>
        <v/>
      </c>
      <c r="AC14" t="str">
        <f>IF(B14&lt;&gt;"Sensor Snapshot","",IF(ISNUMBER(X14),--(X14&gt;='02_Parameters'!$B$16),""))</f>
        <v/>
      </c>
      <c r="AD14">
        <v>0</v>
      </c>
      <c r="AE14" t="str">
        <f t="shared" si="4"/>
        <v/>
      </c>
      <c r="AF14" s="3" t="str">
        <f t="shared" si="5"/>
        <v/>
      </c>
      <c r="AG14" s="16"/>
      <c r="AH14" s="16" t="str">
        <f>IF(B14&lt;&gt;"Sensor Snapshot","",IF(ISNUMBER(AG14),IF(AG14&lt;0,"",IF(AG14&gt;10,AG14/'02_Parameters'!$B$17,AG14)),""))</f>
        <v/>
      </c>
      <c r="AI14" t="str">
        <f t="shared" si="6"/>
        <v/>
      </c>
      <c r="AJ14" t="str">
        <f t="shared" si="7"/>
        <v/>
      </c>
      <c r="AK14" t="str">
        <f t="shared" si="8"/>
        <v/>
      </c>
      <c r="AM14" t="str">
        <f t="shared" si="9"/>
        <v/>
      </c>
      <c r="AN14" t="str">
        <f>IF(B14&lt;&gt;"Sensor Snapshot","",--(N14&gt;='02_Parameters'!$B$13))</f>
        <v/>
      </c>
      <c r="AO14" t="str">
        <f>IF(B14&lt;&gt;"Sensor Snapshot","",--(AND(L14="PUMPING",ISNUMBER(AH14),AH14&lt;='02_Parameters'!$B$10)))</f>
        <v/>
      </c>
      <c r="AP14" s="16">
        <v>1000</v>
      </c>
      <c r="AQ14" s="16">
        <f t="shared" si="10"/>
        <v>-989.41189999999995</v>
      </c>
      <c r="AR14" s="16">
        <f t="shared" si="11"/>
        <v>-98.941189999999992</v>
      </c>
      <c r="AS14">
        <v>2</v>
      </c>
      <c r="AT14">
        <v>1</v>
      </c>
      <c r="AU14" t="s">
        <v>125</v>
      </c>
      <c r="AV14" t="s">
        <v>267</v>
      </c>
      <c r="AW14" s="3" t="s">
        <v>268</v>
      </c>
      <c r="AX14" s="3" t="str">
        <f t="shared" si="12"/>
        <v/>
      </c>
      <c r="AY14" s="3" t="str">
        <f t="shared" si="13"/>
        <v/>
      </c>
      <c r="AZ14" s="3" t="s">
        <v>269</v>
      </c>
      <c r="BA14" s="3" t="s">
        <v>270</v>
      </c>
    </row>
    <row r="15" spans="1:53" ht="41.4">
      <c r="A15" t="s">
        <v>276</v>
      </c>
      <c r="B15" t="s">
        <v>262</v>
      </c>
      <c r="C15" s="14">
        <v>25852</v>
      </c>
      <c r="D15" s="15">
        <f t="shared" si="0"/>
        <v>25.852</v>
      </c>
      <c r="E15" t="s">
        <v>263</v>
      </c>
      <c r="F15" t="s">
        <v>18</v>
      </c>
      <c r="G15" t="s">
        <v>91</v>
      </c>
      <c r="H15" t="s">
        <v>264</v>
      </c>
      <c r="I15" s="3" t="s">
        <v>265</v>
      </c>
      <c r="J15" s="3" t="s">
        <v>266</v>
      </c>
      <c r="M15" t="str">
        <f t="shared" si="1"/>
        <v/>
      </c>
      <c r="O15" s="16"/>
      <c r="P15" s="16" t="str">
        <f>IF(AND(ISNUMBER(O15),O15&lt;&gt;-1,O15&gt;='02_Parameters'!$B$18,O15&lt;='02_Parameters'!$B$19),O15,"")</f>
        <v/>
      </c>
      <c r="Q15" s="16"/>
      <c r="R15" t="str">
        <f>IF(B15&lt;&gt;"Sensor Snapshot","",IF(O15="","Missing",IF(O15=-1,"Sensor failure sentinel (-1)",IF(OR(O15&lt;'02_Parameters'!$B$18,O15&gt;'02_Parameters'!$B$19),"Out of accepted range","Valid"))))</f>
        <v/>
      </c>
      <c r="S15" s="16"/>
      <c r="T15" s="16" t="str">
        <f>IF(AND(ISNUMBER(S15),S15&lt;&gt;-1,S15&gt;='02_Parameters'!$B$20,S15&lt;='02_Parameters'!$B$21),S15,"")</f>
        <v/>
      </c>
      <c r="U15" s="16"/>
      <c r="V15" t="str">
        <f>IF(B15&lt;&gt;"Sensor Snapshot","",IF(S15="","Missing",IF(S15=-1,"Sensor failure sentinel (-1)",IF(OR(S15&lt;'02_Parameters'!$B$20,S15&gt;'02_Parameters'!$B$21),"Out of accepted range","Valid"))))</f>
        <v/>
      </c>
      <c r="W15" s="16">
        <v>12.7286</v>
      </c>
      <c r="X15" s="16">
        <f t="shared" si="2"/>
        <v>12.7286</v>
      </c>
      <c r="Y15" t="str">
        <f t="shared" si="3"/>
        <v>Calibration magnitude</v>
      </c>
      <c r="Z15" s="16"/>
      <c r="AB15" t="str">
        <f>IF(B15&lt;&gt;"Sensor Snapshot","",IF(ISNUMBER(AA15),--(AA15&lt;&gt;0),IF(ISNUMBER(Z15),--(Z15&lt;'02_Parameters'!$B$15),"")))</f>
        <v/>
      </c>
      <c r="AC15" t="str">
        <f>IF(B15&lt;&gt;"Sensor Snapshot","",IF(ISNUMBER(X15),--(X15&gt;='02_Parameters'!$B$16),""))</f>
        <v/>
      </c>
      <c r="AD15">
        <v>0</v>
      </c>
      <c r="AE15" t="str">
        <f t="shared" si="4"/>
        <v/>
      </c>
      <c r="AF15" s="3" t="str">
        <f t="shared" si="5"/>
        <v/>
      </c>
      <c r="AG15" s="16"/>
      <c r="AH15" s="16" t="str">
        <f>IF(B15&lt;&gt;"Sensor Snapshot","",IF(ISNUMBER(AG15),IF(AG15&lt;0,"",IF(AG15&gt;10,AG15/'02_Parameters'!$B$17,AG15)),""))</f>
        <v/>
      </c>
      <c r="AI15" t="str">
        <f t="shared" si="6"/>
        <v/>
      </c>
      <c r="AJ15" t="str">
        <f t="shared" si="7"/>
        <v/>
      </c>
      <c r="AK15" t="str">
        <f t="shared" si="8"/>
        <v/>
      </c>
      <c r="AM15" t="str">
        <f t="shared" si="9"/>
        <v/>
      </c>
      <c r="AN15" t="str">
        <f>IF(B15&lt;&gt;"Sensor Snapshot","",--(N15&gt;='02_Parameters'!$B$13))</f>
        <v/>
      </c>
      <c r="AO15" t="str">
        <f>IF(B15&lt;&gt;"Sensor Snapshot","",--(AND(L15="PUMPING",ISNUMBER(AH15),AH15&lt;='02_Parameters'!$B$10)))</f>
        <v/>
      </c>
      <c r="AP15" s="16">
        <v>1000</v>
      </c>
      <c r="AQ15" s="16">
        <f t="shared" si="10"/>
        <v>-987.27139999999997</v>
      </c>
      <c r="AR15" s="16">
        <f t="shared" si="11"/>
        <v>-98.727140000000006</v>
      </c>
      <c r="AS15">
        <v>2</v>
      </c>
      <c r="AT15">
        <v>2</v>
      </c>
      <c r="AU15" t="s">
        <v>125</v>
      </c>
      <c r="AV15" t="s">
        <v>267</v>
      </c>
      <c r="AW15" s="3" t="s">
        <v>268</v>
      </c>
      <c r="AX15" s="3" t="str">
        <f t="shared" si="12"/>
        <v/>
      </c>
      <c r="AY15" s="3" t="str">
        <f t="shared" si="13"/>
        <v/>
      </c>
      <c r="AZ15" s="3" t="s">
        <v>269</v>
      </c>
      <c r="BA15" s="3" t="s">
        <v>270</v>
      </c>
    </row>
    <row r="16" spans="1:53" ht="41.4">
      <c r="A16" t="s">
        <v>277</v>
      </c>
      <c r="B16" t="s">
        <v>262</v>
      </c>
      <c r="C16" s="14">
        <v>26169</v>
      </c>
      <c r="D16" s="15">
        <f t="shared" si="0"/>
        <v>26.169</v>
      </c>
      <c r="E16" t="s">
        <v>263</v>
      </c>
      <c r="F16" t="s">
        <v>278</v>
      </c>
      <c r="G16" t="s">
        <v>91</v>
      </c>
      <c r="H16" t="s">
        <v>264</v>
      </c>
      <c r="I16" s="3" t="s">
        <v>265</v>
      </c>
      <c r="J16" s="3" t="s">
        <v>266</v>
      </c>
      <c r="M16" t="str">
        <f t="shared" si="1"/>
        <v/>
      </c>
      <c r="O16" s="16"/>
      <c r="P16" s="16" t="str">
        <f>IF(AND(ISNUMBER(O16),O16&lt;&gt;-1,O16&gt;='02_Parameters'!$B$18,O16&lt;='02_Parameters'!$B$19),O16,"")</f>
        <v/>
      </c>
      <c r="Q16" s="16"/>
      <c r="R16" t="str">
        <f>IF(B16&lt;&gt;"Sensor Snapshot","",IF(O16="","Missing",IF(O16=-1,"Sensor failure sentinel (-1)",IF(OR(O16&lt;'02_Parameters'!$B$18,O16&gt;'02_Parameters'!$B$19),"Out of accepted range","Valid"))))</f>
        <v/>
      </c>
      <c r="S16" s="16"/>
      <c r="T16" s="16" t="str">
        <f>IF(AND(ISNUMBER(S16),S16&lt;&gt;-1,S16&gt;='02_Parameters'!$B$20,S16&lt;='02_Parameters'!$B$21),S16,"")</f>
        <v/>
      </c>
      <c r="U16" s="16"/>
      <c r="V16" t="str">
        <f>IF(B16&lt;&gt;"Sensor Snapshot","",IF(S16="","Missing",IF(S16=-1,"Sensor failure sentinel (-1)",IF(OR(S16&lt;'02_Parameters'!$B$20,S16&gt;'02_Parameters'!$B$21),"Out of accepted range","Valid"))))</f>
        <v/>
      </c>
      <c r="W16" s="16">
        <v>-1.7786</v>
      </c>
      <c r="X16" s="16">
        <f t="shared" si="2"/>
        <v>1.7786</v>
      </c>
      <c r="Y16" t="str">
        <f t="shared" si="3"/>
        <v>Calibration magnitude</v>
      </c>
      <c r="Z16" s="16"/>
      <c r="AB16" t="str">
        <f>IF(B16&lt;&gt;"Sensor Snapshot","",IF(ISNUMBER(AA16),--(AA16&lt;&gt;0),IF(ISNUMBER(Z16),--(Z16&lt;'02_Parameters'!$B$15),"")))</f>
        <v/>
      </c>
      <c r="AC16" t="str">
        <f>IF(B16&lt;&gt;"Sensor Snapshot","",IF(ISNUMBER(X16),--(X16&gt;='02_Parameters'!$B$16),""))</f>
        <v/>
      </c>
      <c r="AD16">
        <v>0</v>
      </c>
      <c r="AE16" t="str">
        <f t="shared" si="4"/>
        <v/>
      </c>
      <c r="AF16" s="3" t="str">
        <f t="shared" si="5"/>
        <v/>
      </c>
      <c r="AG16" s="16"/>
      <c r="AH16" s="16" t="str">
        <f>IF(B16&lt;&gt;"Sensor Snapshot","",IF(ISNUMBER(AG16),IF(AG16&lt;0,"",IF(AG16&gt;10,AG16/'02_Parameters'!$B$17,AG16)),""))</f>
        <v/>
      </c>
      <c r="AI16" t="str">
        <f t="shared" si="6"/>
        <v/>
      </c>
      <c r="AJ16" t="str">
        <f t="shared" si="7"/>
        <v/>
      </c>
      <c r="AK16" t="str">
        <f t="shared" si="8"/>
        <v/>
      </c>
      <c r="AM16" t="str">
        <f t="shared" si="9"/>
        <v/>
      </c>
      <c r="AN16" t="str">
        <f>IF(B16&lt;&gt;"Sensor Snapshot","",--(N16&gt;='02_Parameters'!$B$13))</f>
        <v/>
      </c>
      <c r="AO16" t="str">
        <f>IF(B16&lt;&gt;"Sensor Snapshot","",--(AND(L16="PUMPING",ISNUMBER(AH16),AH16&lt;='02_Parameters'!$B$10)))</f>
        <v/>
      </c>
      <c r="AP16" s="16">
        <v>1000</v>
      </c>
      <c r="AQ16" s="16">
        <f t="shared" si="10"/>
        <v>-998.22140000000002</v>
      </c>
      <c r="AR16" s="16">
        <f t="shared" si="11"/>
        <v>-99.822140000000005</v>
      </c>
      <c r="AS16">
        <v>2</v>
      </c>
      <c r="AT16">
        <v>3</v>
      </c>
      <c r="AU16" t="s">
        <v>125</v>
      </c>
      <c r="AV16" t="s">
        <v>267</v>
      </c>
      <c r="AW16" s="3" t="s">
        <v>268</v>
      </c>
      <c r="AX16" s="3" t="str">
        <f t="shared" si="12"/>
        <v/>
      </c>
      <c r="AY16" s="3" t="str">
        <f t="shared" si="13"/>
        <v/>
      </c>
      <c r="AZ16" s="3" t="s">
        <v>269</v>
      </c>
      <c r="BA16" s="3" t="s">
        <v>270</v>
      </c>
    </row>
    <row r="17" spans="1:53" ht="41.4">
      <c r="A17" t="s">
        <v>279</v>
      </c>
      <c r="B17" t="s">
        <v>262</v>
      </c>
      <c r="C17" s="14">
        <v>26487</v>
      </c>
      <c r="D17" s="15">
        <f t="shared" si="0"/>
        <v>26.486999999999998</v>
      </c>
      <c r="E17" t="s">
        <v>263</v>
      </c>
      <c r="F17" t="s">
        <v>280</v>
      </c>
      <c r="G17" t="s">
        <v>91</v>
      </c>
      <c r="H17" t="s">
        <v>264</v>
      </c>
      <c r="I17" s="3" t="s">
        <v>265</v>
      </c>
      <c r="J17" s="3" t="s">
        <v>266</v>
      </c>
      <c r="M17" t="str">
        <f t="shared" si="1"/>
        <v/>
      </c>
      <c r="O17" s="16"/>
      <c r="P17" s="16" t="str">
        <f>IF(AND(ISNUMBER(O17),O17&lt;&gt;-1,O17&gt;='02_Parameters'!$B$18,O17&lt;='02_Parameters'!$B$19),O17,"")</f>
        <v/>
      </c>
      <c r="Q17" s="16"/>
      <c r="R17" t="str">
        <f>IF(B17&lt;&gt;"Sensor Snapshot","",IF(O17="","Missing",IF(O17=-1,"Sensor failure sentinel (-1)",IF(OR(O17&lt;'02_Parameters'!$B$18,O17&gt;'02_Parameters'!$B$19),"Out of accepted range","Valid"))))</f>
        <v/>
      </c>
      <c r="S17" s="16"/>
      <c r="T17" s="16" t="str">
        <f>IF(AND(ISNUMBER(S17),S17&lt;&gt;-1,S17&gt;='02_Parameters'!$B$20,S17&lt;='02_Parameters'!$B$21),S17,"")</f>
        <v/>
      </c>
      <c r="U17" s="16"/>
      <c r="V17" t="str">
        <f>IF(B17&lt;&gt;"Sensor Snapshot","",IF(S17="","Missing",IF(S17=-1,"Sensor failure sentinel (-1)",IF(OR(S17&lt;'02_Parameters'!$B$20,S17&gt;'02_Parameters'!$B$21),"Out of accepted range","Valid"))))</f>
        <v/>
      </c>
      <c r="W17" s="16">
        <v>-2.8142999999999998</v>
      </c>
      <c r="X17" s="16">
        <f t="shared" si="2"/>
        <v>2.8142999999999998</v>
      </c>
      <c r="Y17" t="str">
        <f t="shared" si="3"/>
        <v>Calibration magnitude</v>
      </c>
      <c r="Z17" s="16"/>
      <c r="AB17" t="str">
        <f>IF(B17&lt;&gt;"Sensor Snapshot","",IF(ISNUMBER(AA17),--(AA17&lt;&gt;0),IF(ISNUMBER(Z17),--(Z17&lt;'02_Parameters'!$B$15),"")))</f>
        <v/>
      </c>
      <c r="AC17" t="str">
        <f>IF(B17&lt;&gt;"Sensor Snapshot","",IF(ISNUMBER(X17),--(X17&gt;='02_Parameters'!$B$16),""))</f>
        <v/>
      </c>
      <c r="AD17">
        <v>0</v>
      </c>
      <c r="AE17" t="str">
        <f t="shared" si="4"/>
        <v/>
      </c>
      <c r="AF17" s="3" t="str">
        <f t="shared" si="5"/>
        <v/>
      </c>
      <c r="AG17" s="16"/>
      <c r="AH17" s="16" t="str">
        <f>IF(B17&lt;&gt;"Sensor Snapshot","",IF(ISNUMBER(AG17),IF(AG17&lt;0,"",IF(AG17&gt;10,AG17/'02_Parameters'!$B$17,AG17)),""))</f>
        <v/>
      </c>
      <c r="AI17" t="str">
        <f t="shared" si="6"/>
        <v/>
      </c>
      <c r="AJ17" t="str">
        <f t="shared" si="7"/>
        <v/>
      </c>
      <c r="AK17" t="str">
        <f t="shared" si="8"/>
        <v/>
      </c>
      <c r="AM17" t="str">
        <f t="shared" si="9"/>
        <v/>
      </c>
      <c r="AN17" t="str">
        <f>IF(B17&lt;&gt;"Sensor Snapshot","",--(N17&gt;='02_Parameters'!$B$13))</f>
        <v/>
      </c>
      <c r="AO17" t="str">
        <f>IF(B17&lt;&gt;"Sensor Snapshot","",--(AND(L17="PUMPING",ISNUMBER(AH17),AH17&lt;='02_Parameters'!$B$10)))</f>
        <v/>
      </c>
      <c r="AP17" s="16">
        <v>1000</v>
      </c>
      <c r="AQ17" s="16">
        <f t="shared" si="10"/>
        <v>-997.1857</v>
      </c>
      <c r="AR17" s="16">
        <f t="shared" si="11"/>
        <v>-99.71857</v>
      </c>
      <c r="AS17">
        <v>2</v>
      </c>
      <c r="AT17">
        <v>4</v>
      </c>
      <c r="AU17" t="s">
        <v>125</v>
      </c>
      <c r="AV17" t="s">
        <v>267</v>
      </c>
      <c r="AW17" s="3" t="s">
        <v>268</v>
      </c>
      <c r="AX17" s="3" t="str">
        <f t="shared" si="12"/>
        <v/>
      </c>
      <c r="AY17" s="3" t="str">
        <f t="shared" si="13"/>
        <v/>
      </c>
      <c r="AZ17" s="3" t="s">
        <v>269</v>
      </c>
      <c r="BA17" s="3" t="s">
        <v>270</v>
      </c>
    </row>
    <row r="18" spans="1:53" ht="41.4">
      <c r="A18" t="s">
        <v>281</v>
      </c>
      <c r="B18" t="s">
        <v>262</v>
      </c>
      <c r="C18" s="14">
        <v>26806</v>
      </c>
      <c r="D18" s="15">
        <f t="shared" si="0"/>
        <v>26.806000000000001</v>
      </c>
      <c r="E18" t="s">
        <v>263</v>
      </c>
      <c r="F18" t="s">
        <v>282</v>
      </c>
      <c r="G18" t="s">
        <v>91</v>
      </c>
      <c r="H18" t="s">
        <v>264</v>
      </c>
      <c r="I18" s="3" t="s">
        <v>265</v>
      </c>
      <c r="J18" s="3" t="s">
        <v>266</v>
      </c>
      <c r="M18" t="str">
        <f t="shared" si="1"/>
        <v/>
      </c>
      <c r="O18" s="16"/>
      <c r="P18" s="16" t="str">
        <f>IF(AND(ISNUMBER(O18),O18&lt;&gt;-1,O18&gt;='02_Parameters'!$B$18,O18&lt;='02_Parameters'!$B$19),O18,"")</f>
        <v/>
      </c>
      <c r="Q18" s="16"/>
      <c r="R18" t="str">
        <f>IF(B18&lt;&gt;"Sensor Snapshot","",IF(O18="","Missing",IF(O18=-1,"Sensor failure sentinel (-1)",IF(OR(O18&lt;'02_Parameters'!$B$18,O18&gt;'02_Parameters'!$B$19),"Out of accepted range","Valid"))))</f>
        <v/>
      </c>
      <c r="S18" s="16"/>
      <c r="T18" s="16" t="str">
        <f>IF(AND(ISNUMBER(S18),S18&lt;&gt;-1,S18&gt;='02_Parameters'!$B$20,S18&lt;='02_Parameters'!$B$21),S18,"")</f>
        <v/>
      </c>
      <c r="U18" s="16"/>
      <c r="V18" t="str">
        <f>IF(B18&lt;&gt;"Sensor Snapshot","",IF(S18="","Missing",IF(S18=-1,"Sensor failure sentinel (-1)",IF(OR(S18&lt;'02_Parameters'!$B$20,S18&gt;'02_Parameters'!$B$21),"Out of accepted range","Valid"))))</f>
        <v/>
      </c>
      <c r="W18" s="16">
        <v>-3.0857000000000001</v>
      </c>
      <c r="X18" s="16">
        <f t="shared" si="2"/>
        <v>3.0857000000000001</v>
      </c>
      <c r="Y18" t="str">
        <f t="shared" si="3"/>
        <v>Calibration magnitude</v>
      </c>
      <c r="Z18" s="16"/>
      <c r="AB18" t="str">
        <f>IF(B18&lt;&gt;"Sensor Snapshot","",IF(ISNUMBER(AA18),--(AA18&lt;&gt;0),IF(ISNUMBER(Z18),--(Z18&lt;'02_Parameters'!$B$15),"")))</f>
        <v/>
      </c>
      <c r="AC18" t="str">
        <f>IF(B18&lt;&gt;"Sensor Snapshot","",IF(ISNUMBER(X18),--(X18&gt;='02_Parameters'!$B$16),""))</f>
        <v/>
      </c>
      <c r="AD18">
        <v>0</v>
      </c>
      <c r="AE18" t="str">
        <f t="shared" si="4"/>
        <v/>
      </c>
      <c r="AF18" s="3" t="str">
        <f t="shared" si="5"/>
        <v/>
      </c>
      <c r="AG18" s="16"/>
      <c r="AH18" s="16" t="str">
        <f>IF(B18&lt;&gt;"Sensor Snapshot","",IF(ISNUMBER(AG18),IF(AG18&lt;0,"",IF(AG18&gt;10,AG18/'02_Parameters'!$B$17,AG18)),""))</f>
        <v/>
      </c>
      <c r="AI18" t="str">
        <f t="shared" si="6"/>
        <v/>
      </c>
      <c r="AJ18" t="str">
        <f t="shared" si="7"/>
        <v/>
      </c>
      <c r="AK18" t="str">
        <f t="shared" si="8"/>
        <v/>
      </c>
      <c r="AM18" t="str">
        <f t="shared" si="9"/>
        <v/>
      </c>
      <c r="AN18" t="str">
        <f>IF(B18&lt;&gt;"Sensor Snapshot","",--(N18&gt;='02_Parameters'!$B$13))</f>
        <v/>
      </c>
      <c r="AO18" t="str">
        <f>IF(B18&lt;&gt;"Sensor Snapshot","",--(AND(L18="PUMPING",ISNUMBER(AH18),AH18&lt;='02_Parameters'!$B$10)))</f>
        <v/>
      </c>
      <c r="AP18" s="16">
        <v>1000</v>
      </c>
      <c r="AQ18" s="16">
        <f t="shared" si="10"/>
        <v>-996.91430000000003</v>
      </c>
      <c r="AR18" s="16">
        <f t="shared" si="11"/>
        <v>-99.691429999999997</v>
      </c>
      <c r="AS18">
        <v>2</v>
      </c>
      <c r="AT18">
        <v>5</v>
      </c>
      <c r="AU18" t="s">
        <v>125</v>
      </c>
      <c r="AV18" t="s">
        <v>267</v>
      </c>
      <c r="AW18" s="3" t="s">
        <v>268</v>
      </c>
      <c r="AX18" s="3" t="str">
        <f t="shared" si="12"/>
        <v/>
      </c>
      <c r="AY18" s="3" t="str">
        <f t="shared" si="13"/>
        <v/>
      </c>
      <c r="AZ18" s="3" t="s">
        <v>269</v>
      </c>
      <c r="BA18" s="3" t="s">
        <v>270</v>
      </c>
    </row>
    <row r="19" spans="1:53" ht="41.4">
      <c r="A19" t="s">
        <v>283</v>
      </c>
      <c r="B19" t="s">
        <v>262</v>
      </c>
      <c r="C19" s="14">
        <v>27124</v>
      </c>
      <c r="D19" s="15">
        <f t="shared" si="0"/>
        <v>27.123999999999999</v>
      </c>
      <c r="E19" t="s">
        <v>263</v>
      </c>
      <c r="F19" t="s">
        <v>284</v>
      </c>
      <c r="G19" t="s">
        <v>91</v>
      </c>
      <c r="H19" t="s">
        <v>264</v>
      </c>
      <c r="I19" s="3" t="s">
        <v>265</v>
      </c>
      <c r="J19" s="3" t="s">
        <v>266</v>
      </c>
      <c r="M19" t="str">
        <f t="shared" si="1"/>
        <v/>
      </c>
      <c r="O19" s="16"/>
      <c r="P19" s="16" t="str">
        <f>IF(AND(ISNUMBER(O19),O19&lt;&gt;-1,O19&gt;='02_Parameters'!$B$18,O19&lt;='02_Parameters'!$B$19),O19,"")</f>
        <v/>
      </c>
      <c r="Q19" s="16"/>
      <c r="R19" t="str">
        <f>IF(B19&lt;&gt;"Sensor Snapshot","",IF(O19="","Missing",IF(O19=-1,"Sensor failure sentinel (-1)",IF(OR(O19&lt;'02_Parameters'!$B$18,O19&gt;'02_Parameters'!$B$19),"Out of accepted range","Valid"))))</f>
        <v/>
      </c>
      <c r="S19" s="16"/>
      <c r="T19" s="16" t="str">
        <f>IF(AND(ISNUMBER(S19),S19&lt;&gt;-1,S19&gt;='02_Parameters'!$B$20,S19&lt;='02_Parameters'!$B$21),S19,"")</f>
        <v/>
      </c>
      <c r="U19" s="16"/>
      <c r="V19" t="str">
        <f>IF(B19&lt;&gt;"Sensor Snapshot","",IF(S19="","Missing",IF(S19=-1,"Sensor failure sentinel (-1)",IF(OR(S19&lt;'02_Parameters'!$B$20,S19&gt;'02_Parameters'!$B$21),"Out of accepted range","Valid"))))</f>
        <v/>
      </c>
      <c r="W19" s="16">
        <v>-3.1166999999999998</v>
      </c>
      <c r="X19" s="16">
        <f t="shared" si="2"/>
        <v>3.1166999999999998</v>
      </c>
      <c r="Y19" t="str">
        <f t="shared" si="3"/>
        <v>Calibration magnitude</v>
      </c>
      <c r="Z19" s="16"/>
      <c r="AB19" t="str">
        <f>IF(B19&lt;&gt;"Sensor Snapshot","",IF(ISNUMBER(AA19),--(AA19&lt;&gt;0),IF(ISNUMBER(Z19),--(Z19&lt;'02_Parameters'!$B$15),"")))</f>
        <v/>
      </c>
      <c r="AC19" t="str">
        <f>IF(B19&lt;&gt;"Sensor Snapshot","",IF(ISNUMBER(X19),--(X19&gt;='02_Parameters'!$B$16),""))</f>
        <v/>
      </c>
      <c r="AD19">
        <v>0</v>
      </c>
      <c r="AE19" t="str">
        <f t="shared" si="4"/>
        <v/>
      </c>
      <c r="AF19" s="3" t="str">
        <f t="shared" si="5"/>
        <v/>
      </c>
      <c r="AG19" s="16"/>
      <c r="AH19" s="16" t="str">
        <f>IF(B19&lt;&gt;"Sensor Snapshot","",IF(ISNUMBER(AG19),IF(AG19&lt;0,"",IF(AG19&gt;10,AG19/'02_Parameters'!$B$17,AG19)),""))</f>
        <v/>
      </c>
      <c r="AI19" t="str">
        <f t="shared" si="6"/>
        <v/>
      </c>
      <c r="AJ19" t="str">
        <f t="shared" si="7"/>
        <v/>
      </c>
      <c r="AK19" t="str">
        <f t="shared" si="8"/>
        <v/>
      </c>
      <c r="AM19" t="str">
        <f t="shared" si="9"/>
        <v/>
      </c>
      <c r="AN19" t="str">
        <f>IF(B19&lt;&gt;"Sensor Snapshot","",--(N19&gt;='02_Parameters'!$B$13))</f>
        <v/>
      </c>
      <c r="AO19" t="str">
        <f>IF(B19&lt;&gt;"Sensor Snapshot","",--(AND(L19="PUMPING",ISNUMBER(AH19),AH19&lt;='02_Parameters'!$B$10)))</f>
        <v/>
      </c>
      <c r="AP19" s="16">
        <v>2000</v>
      </c>
      <c r="AQ19" s="16">
        <f t="shared" si="10"/>
        <v>-1996.8833</v>
      </c>
      <c r="AR19" s="16">
        <f t="shared" si="11"/>
        <v>-99.84416499999999</v>
      </c>
      <c r="AS19">
        <v>3</v>
      </c>
      <c r="AT19">
        <v>1</v>
      </c>
      <c r="AU19" t="s">
        <v>125</v>
      </c>
      <c r="AV19" t="s">
        <v>267</v>
      </c>
      <c r="AW19" s="3" t="s">
        <v>268</v>
      </c>
      <c r="AX19" s="3" t="str">
        <f t="shared" si="12"/>
        <v/>
      </c>
      <c r="AY19" s="3" t="str">
        <f t="shared" si="13"/>
        <v/>
      </c>
      <c r="AZ19" s="3" t="s">
        <v>269</v>
      </c>
      <c r="BA19" s="3" t="s">
        <v>270</v>
      </c>
    </row>
    <row r="20" spans="1:53" ht="41.4">
      <c r="A20" t="s">
        <v>285</v>
      </c>
      <c r="B20" t="s">
        <v>262</v>
      </c>
      <c r="C20" s="14">
        <v>27444</v>
      </c>
      <c r="D20" s="15">
        <f t="shared" si="0"/>
        <v>27.443999999999999</v>
      </c>
      <c r="E20" t="s">
        <v>263</v>
      </c>
      <c r="F20" t="s">
        <v>286</v>
      </c>
      <c r="G20" t="s">
        <v>91</v>
      </c>
      <c r="H20" t="s">
        <v>264</v>
      </c>
      <c r="I20" s="3" t="s">
        <v>265</v>
      </c>
      <c r="J20" s="3" t="s">
        <v>266</v>
      </c>
      <c r="M20" t="str">
        <f t="shared" si="1"/>
        <v/>
      </c>
      <c r="O20" s="16"/>
      <c r="P20" s="16" t="str">
        <f>IF(AND(ISNUMBER(O20),O20&lt;&gt;-1,O20&gt;='02_Parameters'!$B$18,O20&lt;='02_Parameters'!$B$19),O20,"")</f>
        <v/>
      </c>
      <c r="Q20" s="16"/>
      <c r="R20" t="str">
        <f>IF(B20&lt;&gt;"Sensor Snapshot","",IF(O20="","Missing",IF(O20=-1,"Sensor failure sentinel (-1)",IF(OR(O20&lt;'02_Parameters'!$B$18,O20&gt;'02_Parameters'!$B$19),"Out of accepted range","Valid"))))</f>
        <v/>
      </c>
      <c r="S20" s="16"/>
      <c r="T20" s="16" t="str">
        <f>IF(AND(ISNUMBER(S20),S20&lt;&gt;-1,S20&gt;='02_Parameters'!$B$20,S20&lt;='02_Parameters'!$B$21),S20,"")</f>
        <v/>
      </c>
      <c r="U20" s="16"/>
      <c r="V20" t="str">
        <f>IF(B20&lt;&gt;"Sensor Snapshot","",IF(S20="","Missing",IF(S20=-1,"Sensor failure sentinel (-1)",IF(OR(S20&lt;'02_Parameters'!$B$20,S20&gt;'02_Parameters'!$B$21),"Out of accepted range","Valid"))))</f>
        <v/>
      </c>
      <c r="W20" s="16">
        <v>-3.0095000000000001</v>
      </c>
      <c r="X20" s="16">
        <f t="shared" si="2"/>
        <v>3.0095000000000001</v>
      </c>
      <c r="Y20" t="str">
        <f t="shared" si="3"/>
        <v>Calibration magnitude</v>
      </c>
      <c r="Z20" s="16"/>
      <c r="AB20" t="str">
        <f>IF(B20&lt;&gt;"Sensor Snapshot","",IF(ISNUMBER(AA20),--(AA20&lt;&gt;0),IF(ISNUMBER(Z20),--(Z20&lt;'02_Parameters'!$B$15),"")))</f>
        <v/>
      </c>
      <c r="AC20" t="str">
        <f>IF(B20&lt;&gt;"Sensor Snapshot","",IF(ISNUMBER(X20),--(X20&gt;='02_Parameters'!$B$16),""))</f>
        <v/>
      </c>
      <c r="AD20">
        <v>0</v>
      </c>
      <c r="AE20" t="str">
        <f t="shared" si="4"/>
        <v/>
      </c>
      <c r="AF20" s="3" t="str">
        <f t="shared" si="5"/>
        <v/>
      </c>
      <c r="AG20" s="16"/>
      <c r="AH20" s="16" t="str">
        <f>IF(B20&lt;&gt;"Sensor Snapshot","",IF(ISNUMBER(AG20),IF(AG20&lt;0,"",IF(AG20&gt;10,AG20/'02_Parameters'!$B$17,AG20)),""))</f>
        <v/>
      </c>
      <c r="AI20" t="str">
        <f t="shared" si="6"/>
        <v/>
      </c>
      <c r="AJ20" t="str">
        <f t="shared" si="7"/>
        <v/>
      </c>
      <c r="AK20" t="str">
        <f t="shared" si="8"/>
        <v/>
      </c>
      <c r="AM20" t="str">
        <f t="shared" si="9"/>
        <v/>
      </c>
      <c r="AN20" t="str">
        <f>IF(B20&lt;&gt;"Sensor Snapshot","",--(N20&gt;='02_Parameters'!$B$13))</f>
        <v/>
      </c>
      <c r="AO20" t="str">
        <f>IF(B20&lt;&gt;"Sensor Snapshot","",--(AND(L20="PUMPING",ISNUMBER(AH20),AH20&lt;='02_Parameters'!$B$10)))</f>
        <v/>
      </c>
      <c r="AP20" s="16">
        <v>2000</v>
      </c>
      <c r="AQ20" s="16">
        <f t="shared" si="10"/>
        <v>-1996.9905000000001</v>
      </c>
      <c r="AR20" s="16">
        <f t="shared" si="11"/>
        <v>-99.849525</v>
      </c>
      <c r="AS20">
        <v>3</v>
      </c>
      <c r="AT20">
        <v>2</v>
      </c>
      <c r="AU20" t="s">
        <v>125</v>
      </c>
      <c r="AV20" t="s">
        <v>267</v>
      </c>
      <c r="AW20" s="3" t="s">
        <v>268</v>
      </c>
      <c r="AX20" s="3" t="str">
        <f t="shared" si="12"/>
        <v/>
      </c>
      <c r="AY20" s="3" t="str">
        <f t="shared" si="13"/>
        <v/>
      </c>
      <c r="AZ20" s="3" t="s">
        <v>269</v>
      </c>
      <c r="BA20" s="3" t="s">
        <v>270</v>
      </c>
    </row>
    <row r="21" spans="1:53" ht="41.4">
      <c r="A21" t="s">
        <v>287</v>
      </c>
      <c r="B21" t="s">
        <v>262</v>
      </c>
      <c r="C21" s="14">
        <v>27763</v>
      </c>
      <c r="D21" s="15">
        <f t="shared" si="0"/>
        <v>27.763000000000002</v>
      </c>
      <c r="E21" t="s">
        <v>263</v>
      </c>
      <c r="F21" t="s">
        <v>288</v>
      </c>
      <c r="G21" t="s">
        <v>91</v>
      </c>
      <c r="H21" t="s">
        <v>264</v>
      </c>
      <c r="I21" s="3" t="s">
        <v>265</v>
      </c>
      <c r="J21" s="3" t="s">
        <v>266</v>
      </c>
      <c r="M21" t="str">
        <f t="shared" si="1"/>
        <v/>
      </c>
      <c r="O21" s="16"/>
      <c r="P21" s="16" t="str">
        <f>IF(AND(ISNUMBER(O21),O21&lt;&gt;-1,O21&gt;='02_Parameters'!$B$18,O21&lt;='02_Parameters'!$B$19),O21,"")</f>
        <v/>
      </c>
      <c r="Q21" s="16"/>
      <c r="R21" t="str">
        <f>IF(B21&lt;&gt;"Sensor Snapshot","",IF(O21="","Missing",IF(O21=-1,"Sensor failure sentinel (-1)",IF(OR(O21&lt;'02_Parameters'!$B$18,O21&gt;'02_Parameters'!$B$19),"Out of accepted range","Valid"))))</f>
        <v/>
      </c>
      <c r="S21" s="16"/>
      <c r="T21" s="16" t="str">
        <f>IF(AND(ISNUMBER(S21),S21&lt;&gt;-1,S21&gt;='02_Parameters'!$B$20,S21&lt;='02_Parameters'!$B$21),S21,"")</f>
        <v/>
      </c>
      <c r="U21" s="16"/>
      <c r="V21" t="str">
        <f>IF(B21&lt;&gt;"Sensor Snapshot","",IF(S21="","Missing",IF(S21=-1,"Sensor failure sentinel (-1)",IF(OR(S21&lt;'02_Parameters'!$B$20,S21&gt;'02_Parameters'!$B$21),"Out of accepted range","Valid"))))</f>
        <v/>
      </c>
      <c r="W21" s="16">
        <v>-2.5143</v>
      </c>
      <c r="X21" s="16">
        <f t="shared" si="2"/>
        <v>2.5143</v>
      </c>
      <c r="Y21" t="str">
        <f t="shared" si="3"/>
        <v>Calibration magnitude</v>
      </c>
      <c r="Z21" s="16"/>
      <c r="AB21" t="str">
        <f>IF(B21&lt;&gt;"Sensor Snapshot","",IF(ISNUMBER(AA21),--(AA21&lt;&gt;0),IF(ISNUMBER(Z21),--(Z21&lt;'02_Parameters'!$B$15),"")))</f>
        <v/>
      </c>
      <c r="AC21" t="str">
        <f>IF(B21&lt;&gt;"Sensor Snapshot","",IF(ISNUMBER(X21),--(X21&gt;='02_Parameters'!$B$16),""))</f>
        <v/>
      </c>
      <c r="AD21">
        <v>0</v>
      </c>
      <c r="AE21" t="str">
        <f t="shared" si="4"/>
        <v/>
      </c>
      <c r="AF21" s="3" t="str">
        <f t="shared" si="5"/>
        <v/>
      </c>
      <c r="AG21" s="16"/>
      <c r="AH21" s="16" t="str">
        <f>IF(B21&lt;&gt;"Sensor Snapshot","",IF(ISNUMBER(AG21),IF(AG21&lt;0,"",IF(AG21&gt;10,AG21/'02_Parameters'!$B$17,AG21)),""))</f>
        <v/>
      </c>
      <c r="AI21" t="str">
        <f t="shared" si="6"/>
        <v/>
      </c>
      <c r="AJ21" t="str">
        <f t="shared" si="7"/>
        <v/>
      </c>
      <c r="AK21" t="str">
        <f t="shared" si="8"/>
        <v/>
      </c>
      <c r="AM21" t="str">
        <f t="shared" si="9"/>
        <v/>
      </c>
      <c r="AN21" t="str">
        <f>IF(B21&lt;&gt;"Sensor Snapshot","",--(N21&gt;='02_Parameters'!$B$13))</f>
        <v/>
      </c>
      <c r="AO21" t="str">
        <f>IF(B21&lt;&gt;"Sensor Snapshot","",--(AND(L21="PUMPING",ISNUMBER(AH21),AH21&lt;='02_Parameters'!$B$10)))</f>
        <v/>
      </c>
      <c r="AP21" s="16">
        <v>2000</v>
      </c>
      <c r="AQ21" s="16">
        <f t="shared" si="10"/>
        <v>-1997.4857</v>
      </c>
      <c r="AR21" s="16">
        <f t="shared" si="11"/>
        <v>-99.874285</v>
      </c>
      <c r="AS21">
        <v>3</v>
      </c>
      <c r="AT21">
        <v>3</v>
      </c>
      <c r="AU21" t="s">
        <v>125</v>
      </c>
      <c r="AV21" t="s">
        <v>267</v>
      </c>
      <c r="AW21" s="3" t="s">
        <v>268</v>
      </c>
      <c r="AX21" s="3" t="str">
        <f t="shared" si="12"/>
        <v/>
      </c>
      <c r="AY21" s="3" t="str">
        <f t="shared" si="13"/>
        <v/>
      </c>
      <c r="AZ21" s="3" t="s">
        <v>269</v>
      </c>
      <c r="BA21" s="3" t="s">
        <v>270</v>
      </c>
    </row>
    <row r="22" spans="1:53" ht="41.4">
      <c r="A22" t="s">
        <v>289</v>
      </c>
      <c r="B22" t="s">
        <v>262</v>
      </c>
      <c r="C22" s="14">
        <v>28083</v>
      </c>
      <c r="D22" s="15">
        <f t="shared" si="0"/>
        <v>28.082999999999998</v>
      </c>
      <c r="E22" t="s">
        <v>263</v>
      </c>
      <c r="F22" t="s">
        <v>290</v>
      </c>
      <c r="G22" t="s">
        <v>91</v>
      </c>
      <c r="H22" t="s">
        <v>264</v>
      </c>
      <c r="I22" s="3" t="s">
        <v>265</v>
      </c>
      <c r="J22" s="3" t="s">
        <v>266</v>
      </c>
      <c r="M22" t="str">
        <f t="shared" si="1"/>
        <v/>
      </c>
      <c r="O22" s="16"/>
      <c r="P22" s="16" t="str">
        <f>IF(AND(ISNUMBER(O22),O22&lt;&gt;-1,O22&gt;='02_Parameters'!$B$18,O22&lt;='02_Parameters'!$B$19),O22,"")</f>
        <v/>
      </c>
      <c r="Q22" s="16"/>
      <c r="R22" t="str">
        <f>IF(B22&lt;&gt;"Sensor Snapshot","",IF(O22="","Missing",IF(O22=-1,"Sensor failure sentinel (-1)",IF(OR(O22&lt;'02_Parameters'!$B$18,O22&gt;'02_Parameters'!$B$19),"Out of accepted range","Valid"))))</f>
        <v/>
      </c>
      <c r="S22" s="16"/>
      <c r="T22" s="16" t="str">
        <f>IF(AND(ISNUMBER(S22),S22&lt;&gt;-1,S22&gt;='02_Parameters'!$B$20,S22&lt;='02_Parameters'!$B$21),S22,"")</f>
        <v/>
      </c>
      <c r="U22" s="16"/>
      <c r="V22" t="str">
        <f>IF(B22&lt;&gt;"Sensor Snapshot","",IF(S22="","Missing",IF(S22=-1,"Sensor failure sentinel (-1)",IF(OR(S22&lt;'02_Parameters'!$B$20,S22&gt;'02_Parameters'!$B$21),"Out of accepted range","Valid"))))</f>
        <v/>
      </c>
      <c r="W22" s="16">
        <v>-2.5832999999999999</v>
      </c>
      <c r="X22" s="16">
        <f t="shared" si="2"/>
        <v>2.5832999999999999</v>
      </c>
      <c r="Y22" t="str">
        <f t="shared" si="3"/>
        <v>Calibration magnitude</v>
      </c>
      <c r="Z22" s="16"/>
      <c r="AB22" t="str">
        <f>IF(B22&lt;&gt;"Sensor Snapshot","",IF(ISNUMBER(AA22),--(AA22&lt;&gt;0),IF(ISNUMBER(Z22),--(Z22&lt;'02_Parameters'!$B$15),"")))</f>
        <v/>
      </c>
      <c r="AC22" t="str">
        <f>IF(B22&lt;&gt;"Sensor Snapshot","",IF(ISNUMBER(X22),--(X22&gt;='02_Parameters'!$B$16),""))</f>
        <v/>
      </c>
      <c r="AD22">
        <v>0</v>
      </c>
      <c r="AE22" t="str">
        <f t="shared" si="4"/>
        <v/>
      </c>
      <c r="AF22" s="3" t="str">
        <f t="shared" si="5"/>
        <v/>
      </c>
      <c r="AG22" s="16"/>
      <c r="AH22" s="16" t="str">
        <f>IF(B22&lt;&gt;"Sensor Snapshot","",IF(ISNUMBER(AG22),IF(AG22&lt;0,"",IF(AG22&gt;10,AG22/'02_Parameters'!$B$17,AG22)),""))</f>
        <v/>
      </c>
      <c r="AI22" t="str">
        <f t="shared" si="6"/>
        <v/>
      </c>
      <c r="AJ22" t="str">
        <f t="shared" si="7"/>
        <v/>
      </c>
      <c r="AK22" t="str">
        <f t="shared" si="8"/>
        <v/>
      </c>
      <c r="AM22" t="str">
        <f t="shared" si="9"/>
        <v/>
      </c>
      <c r="AN22" t="str">
        <f>IF(B22&lt;&gt;"Sensor Snapshot","",--(N22&gt;='02_Parameters'!$B$13))</f>
        <v/>
      </c>
      <c r="AO22" t="str">
        <f>IF(B22&lt;&gt;"Sensor Snapshot","",--(AND(L22="PUMPING",ISNUMBER(AH22),AH22&lt;='02_Parameters'!$B$10)))</f>
        <v/>
      </c>
      <c r="AP22" s="16">
        <v>2000</v>
      </c>
      <c r="AQ22" s="16">
        <f t="shared" si="10"/>
        <v>-1997.4167</v>
      </c>
      <c r="AR22" s="16">
        <f t="shared" si="11"/>
        <v>-99.870835</v>
      </c>
      <c r="AS22">
        <v>3</v>
      </c>
      <c r="AT22">
        <v>4</v>
      </c>
      <c r="AU22" t="s">
        <v>125</v>
      </c>
      <c r="AV22" t="s">
        <v>267</v>
      </c>
      <c r="AW22" s="3" t="s">
        <v>268</v>
      </c>
      <c r="AX22" s="3" t="str">
        <f t="shared" si="12"/>
        <v/>
      </c>
      <c r="AY22" s="3" t="str">
        <f t="shared" si="13"/>
        <v/>
      </c>
      <c r="AZ22" s="3" t="s">
        <v>269</v>
      </c>
      <c r="BA22" s="3" t="s">
        <v>270</v>
      </c>
    </row>
    <row r="23" spans="1:53" ht="41.4">
      <c r="A23" t="s">
        <v>291</v>
      </c>
      <c r="B23" t="s">
        <v>262</v>
      </c>
      <c r="C23" s="14">
        <v>28402</v>
      </c>
      <c r="D23" s="15">
        <f t="shared" si="0"/>
        <v>28.402000000000001</v>
      </c>
      <c r="E23" t="s">
        <v>263</v>
      </c>
      <c r="F23" t="s">
        <v>292</v>
      </c>
      <c r="G23" t="s">
        <v>91</v>
      </c>
      <c r="H23" t="s">
        <v>264</v>
      </c>
      <c r="I23" s="3" t="s">
        <v>265</v>
      </c>
      <c r="J23" s="3" t="s">
        <v>266</v>
      </c>
      <c r="M23" t="str">
        <f t="shared" si="1"/>
        <v/>
      </c>
      <c r="O23" s="16"/>
      <c r="P23" s="16" t="str">
        <f>IF(AND(ISNUMBER(O23),O23&lt;&gt;-1,O23&gt;='02_Parameters'!$B$18,O23&lt;='02_Parameters'!$B$19),O23,"")</f>
        <v/>
      </c>
      <c r="Q23" s="16"/>
      <c r="R23" t="str">
        <f>IF(B23&lt;&gt;"Sensor Snapshot","",IF(O23="","Missing",IF(O23=-1,"Sensor failure sentinel (-1)",IF(OR(O23&lt;'02_Parameters'!$B$18,O23&gt;'02_Parameters'!$B$19),"Out of accepted range","Valid"))))</f>
        <v/>
      </c>
      <c r="S23" s="16"/>
      <c r="T23" s="16" t="str">
        <f>IF(AND(ISNUMBER(S23),S23&lt;&gt;-1,S23&gt;='02_Parameters'!$B$20,S23&lt;='02_Parameters'!$B$21),S23,"")</f>
        <v/>
      </c>
      <c r="U23" s="16"/>
      <c r="V23" t="str">
        <f>IF(B23&lt;&gt;"Sensor Snapshot","",IF(S23="","Missing",IF(S23=-1,"Sensor failure sentinel (-1)",IF(OR(S23&lt;'02_Parameters'!$B$20,S23&gt;'02_Parameters'!$B$21),"Out of accepted range","Valid"))))</f>
        <v/>
      </c>
      <c r="W23" s="16">
        <v>-2.581</v>
      </c>
      <c r="X23" s="16">
        <f t="shared" si="2"/>
        <v>2.581</v>
      </c>
      <c r="Y23" t="str">
        <f t="shared" si="3"/>
        <v>Calibration magnitude</v>
      </c>
      <c r="Z23" s="16"/>
      <c r="AB23" t="str">
        <f>IF(B23&lt;&gt;"Sensor Snapshot","",IF(ISNUMBER(AA23),--(AA23&lt;&gt;0),IF(ISNUMBER(Z23),--(Z23&lt;'02_Parameters'!$B$15),"")))</f>
        <v/>
      </c>
      <c r="AC23" t="str">
        <f>IF(B23&lt;&gt;"Sensor Snapshot","",IF(ISNUMBER(X23),--(X23&gt;='02_Parameters'!$B$16),""))</f>
        <v/>
      </c>
      <c r="AD23">
        <v>0</v>
      </c>
      <c r="AE23" t="str">
        <f t="shared" si="4"/>
        <v/>
      </c>
      <c r="AF23" s="3" t="str">
        <f t="shared" si="5"/>
        <v/>
      </c>
      <c r="AG23" s="16"/>
      <c r="AH23" s="16" t="str">
        <f>IF(B23&lt;&gt;"Sensor Snapshot","",IF(ISNUMBER(AG23),IF(AG23&lt;0,"",IF(AG23&gt;10,AG23/'02_Parameters'!$B$17,AG23)),""))</f>
        <v/>
      </c>
      <c r="AI23" t="str">
        <f t="shared" si="6"/>
        <v/>
      </c>
      <c r="AJ23" t="str">
        <f t="shared" si="7"/>
        <v/>
      </c>
      <c r="AK23" t="str">
        <f t="shared" si="8"/>
        <v/>
      </c>
      <c r="AM23" t="str">
        <f t="shared" si="9"/>
        <v/>
      </c>
      <c r="AN23" t="str">
        <f>IF(B23&lt;&gt;"Sensor Snapshot","",--(N23&gt;='02_Parameters'!$B$13))</f>
        <v/>
      </c>
      <c r="AO23" t="str">
        <f>IF(B23&lt;&gt;"Sensor Snapshot","",--(AND(L23="PUMPING",ISNUMBER(AH23),AH23&lt;='02_Parameters'!$B$10)))</f>
        <v/>
      </c>
      <c r="AP23" s="16">
        <v>2000</v>
      </c>
      <c r="AQ23" s="16">
        <f t="shared" si="10"/>
        <v>-1997.4190000000001</v>
      </c>
      <c r="AR23" s="16">
        <f t="shared" si="11"/>
        <v>-99.870950000000008</v>
      </c>
      <c r="AS23">
        <v>3</v>
      </c>
      <c r="AT23">
        <v>5</v>
      </c>
      <c r="AU23" t="s">
        <v>125</v>
      </c>
      <c r="AV23" t="s">
        <v>267</v>
      </c>
      <c r="AW23" s="3" t="s">
        <v>268</v>
      </c>
      <c r="AX23" s="3" t="str">
        <f t="shared" si="12"/>
        <v/>
      </c>
      <c r="AY23" s="3" t="str">
        <f t="shared" si="13"/>
        <v/>
      </c>
      <c r="AZ23" s="3" t="s">
        <v>269</v>
      </c>
      <c r="BA23" s="3" t="s">
        <v>270</v>
      </c>
    </row>
    <row r="24" spans="1:53" ht="27.6">
      <c r="A24" t="s">
        <v>293</v>
      </c>
      <c r="B24" t="s">
        <v>231</v>
      </c>
      <c r="C24" s="14">
        <v>28853</v>
      </c>
      <c r="D24" s="15">
        <f t="shared" si="0"/>
        <v>28.853000000000002</v>
      </c>
      <c r="E24" t="s">
        <v>232</v>
      </c>
      <c r="F24" t="s">
        <v>6</v>
      </c>
      <c r="G24" t="s">
        <v>234</v>
      </c>
      <c r="H24" t="s">
        <v>235</v>
      </c>
      <c r="I24" s="3"/>
      <c r="J24" s="3"/>
      <c r="M24" t="str">
        <f t="shared" si="1"/>
        <v/>
      </c>
      <c r="O24" s="16">
        <v>21.9</v>
      </c>
      <c r="P24" s="16">
        <f>IF(AND(ISNUMBER(O24),O24&lt;&gt;-1,O24&gt;='02_Parameters'!$B$18,O24&lt;='02_Parameters'!$B$19),O24,"")</f>
        <v>21.9</v>
      </c>
      <c r="Q24" s="16">
        <v>21.9</v>
      </c>
      <c r="R24" t="str">
        <f>IF(B24&lt;&gt;"Sensor Snapshot","",IF(O24="","Missing",IF(O24=-1,"Sensor failure sentinel (-1)",IF(OR(O24&lt;'02_Parameters'!$B$18,O24&gt;'02_Parameters'!$B$19),"Out of accepted range","Valid"))))</f>
        <v>Valid</v>
      </c>
      <c r="S24" s="16">
        <v>69.2</v>
      </c>
      <c r="T24" s="16">
        <f>IF(AND(ISNUMBER(S24),S24&lt;&gt;-1,S24&gt;='02_Parameters'!$B$20,S24&lt;='02_Parameters'!$B$21),S24,"")</f>
        <v>69.2</v>
      </c>
      <c r="U24" s="16">
        <v>69.2</v>
      </c>
      <c r="V24" t="str">
        <f>IF(B24&lt;&gt;"Sensor Snapshot","",IF(S24="","Missing",IF(S24=-1,"Sensor failure sentinel (-1)",IF(OR(S24&lt;'02_Parameters'!$B$20,S24&gt;'02_Parameters'!$B$21),"Out of accepted range","Valid"))))</f>
        <v>Valid</v>
      </c>
      <c r="W24" s="16">
        <v>-2.2595000000000001</v>
      </c>
      <c r="X24" s="16">
        <f t="shared" si="2"/>
        <v>2.2595000000000001</v>
      </c>
      <c r="Y24" t="str">
        <f t="shared" si="3"/>
        <v>Sign corrected to positive</v>
      </c>
      <c r="Z24" s="16">
        <v>48</v>
      </c>
      <c r="AB24">
        <f>IF(B24&lt;&gt;"Sensor Snapshot","",IF(ISNUMBER(AA24),--(AA24&lt;&gt;0),IF(ISNUMBER(Z24),--(Z24&lt;'02_Parameters'!$B$15),"")))</f>
        <v>1</v>
      </c>
      <c r="AC24">
        <f>IF(B24&lt;&gt;"Sensor Snapshot","",IF(ISNUMBER(X24),--(X24&gt;='02_Parameters'!$B$16),""))</f>
        <v>0</v>
      </c>
      <c r="AD24">
        <v>0</v>
      </c>
      <c r="AE24">
        <f t="shared" si="4"/>
        <v>0</v>
      </c>
      <c r="AF24" s="3" t="str">
        <f t="shared" si="5"/>
        <v>Partial detection only</v>
      </c>
      <c r="AG24" s="16">
        <v>0</v>
      </c>
      <c r="AH24" s="16">
        <f>IF(B24&lt;&gt;"Sensor Snapshot","",IF(ISNUMBER(AG24),IF(AG24&lt;0,"",IF(AG24&gt;10,AG24/'02_Parameters'!$B$17,AG24)),""))</f>
        <v>0</v>
      </c>
      <c r="AI24" t="str">
        <f t="shared" si="6"/>
        <v>Valid</v>
      </c>
      <c r="AJ24">
        <f t="shared" si="7"/>
        <v>0</v>
      </c>
      <c r="AK24">
        <f t="shared" si="8"/>
        <v>0</v>
      </c>
      <c r="AM24">
        <f t="shared" si="9"/>
        <v>0</v>
      </c>
      <c r="AN24">
        <f>IF(B24&lt;&gt;"Sensor Snapshot","",--(N24&gt;='02_Parameters'!$B$13))</f>
        <v>0</v>
      </c>
      <c r="AO24">
        <f>IF(B24&lt;&gt;"Sensor Snapshot","",--(AND(L24="PUMPING",ISNUMBER(AH24),AH24&lt;='02_Parameters'!$B$10)))</f>
        <v>0</v>
      </c>
      <c r="AP24" s="16"/>
      <c r="AQ24" s="16" t="str">
        <f t="shared" si="10"/>
        <v/>
      </c>
      <c r="AR24" s="16" t="str">
        <f t="shared" si="11"/>
        <v/>
      </c>
      <c r="AU24" t="s">
        <v>236</v>
      </c>
      <c r="AV24" t="s">
        <v>237</v>
      </c>
      <c r="AW24" s="3" t="s">
        <v>238</v>
      </c>
      <c r="AX24" s="3">
        <f t="shared" si="12"/>
        <v>100</v>
      </c>
      <c r="AY24" s="3" t="str">
        <f t="shared" si="13"/>
        <v>A</v>
      </c>
      <c r="AZ24" s="3" t="s">
        <v>239</v>
      </c>
      <c r="BA24" s="3" t="s">
        <v>240</v>
      </c>
    </row>
    <row r="25" spans="1:53" ht="27.6">
      <c r="A25" t="s">
        <v>294</v>
      </c>
      <c r="B25" t="s">
        <v>242</v>
      </c>
      <c r="C25" s="14">
        <v>29068</v>
      </c>
      <c r="D25" s="15">
        <f t="shared" si="0"/>
        <v>29.068000000000001</v>
      </c>
      <c r="E25" t="s">
        <v>232</v>
      </c>
      <c r="G25" t="s">
        <v>157</v>
      </c>
      <c r="H25" t="s">
        <v>243</v>
      </c>
      <c r="I25" s="3" t="s">
        <v>244</v>
      </c>
      <c r="J25" s="3" t="s">
        <v>245</v>
      </c>
      <c r="M25" t="str">
        <f t="shared" si="1"/>
        <v/>
      </c>
      <c r="O25" s="16"/>
      <c r="P25" s="16" t="str">
        <f>IF(AND(ISNUMBER(O25),O25&lt;&gt;-1,O25&gt;='02_Parameters'!$B$18,O25&lt;='02_Parameters'!$B$19),O25,"")</f>
        <v/>
      </c>
      <c r="Q25" s="16"/>
      <c r="R25" t="str">
        <f>IF(B25&lt;&gt;"Sensor Snapshot","",IF(O25="","Missing",IF(O25=-1,"Sensor failure sentinel (-1)",IF(OR(O25&lt;'02_Parameters'!$B$18,O25&gt;'02_Parameters'!$B$19),"Out of accepted range","Valid"))))</f>
        <v/>
      </c>
      <c r="S25" s="16"/>
      <c r="T25" s="16" t="str">
        <f>IF(AND(ISNUMBER(S25),S25&lt;&gt;-1,S25&gt;='02_Parameters'!$B$20,S25&lt;='02_Parameters'!$B$21),S25,"")</f>
        <v/>
      </c>
      <c r="U25" s="16"/>
      <c r="V25" t="str">
        <f>IF(B25&lt;&gt;"Sensor Snapshot","",IF(S25="","Missing",IF(S25=-1,"Sensor failure sentinel (-1)",IF(OR(S25&lt;'02_Parameters'!$B$20,S25&gt;'02_Parameters'!$B$21),"Out of accepted range","Valid"))))</f>
        <v/>
      </c>
      <c r="W25" s="16"/>
      <c r="X25" s="16" t="str">
        <f t="shared" si="2"/>
        <v/>
      </c>
      <c r="Y25" t="str">
        <f t="shared" si="3"/>
        <v/>
      </c>
      <c r="Z25" s="16"/>
      <c r="AB25" t="str">
        <f>IF(B25&lt;&gt;"Sensor Snapshot","",IF(ISNUMBER(AA25),--(AA25&lt;&gt;0),IF(ISNUMBER(Z25),--(Z25&lt;'02_Parameters'!$B$15),"")))</f>
        <v/>
      </c>
      <c r="AC25" t="str">
        <f>IF(B25&lt;&gt;"Sensor Snapshot","",IF(ISNUMBER(X25),--(X25&gt;='02_Parameters'!$B$16),""))</f>
        <v/>
      </c>
      <c r="AD25">
        <v>0</v>
      </c>
      <c r="AE25" t="str">
        <f t="shared" si="4"/>
        <v/>
      </c>
      <c r="AF25" s="3" t="str">
        <f t="shared" si="5"/>
        <v/>
      </c>
      <c r="AG25" s="16"/>
      <c r="AH25" s="16" t="str">
        <f>IF(B25&lt;&gt;"Sensor Snapshot","",IF(ISNUMBER(AG25),IF(AG25&lt;0,"",IF(AG25&gt;10,AG25/'02_Parameters'!$B$17,AG25)),""))</f>
        <v/>
      </c>
      <c r="AI25" t="str">
        <f t="shared" si="6"/>
        <v/>
      </c>
      <c r="AJ25" t="str">
        <f t="shared" si="7"/>
        <v/>
      </c>
      <c r="AK25" t="str">
        <f t="shared" si="8"/>
        <v/>
      </c>
      <c r="AL25">
        <v>1</v>
      </c>
      <c r="AM25" t="str">
        <f t="shared" si="9"/>
        <v/>
      </c>
      <c r="AN25" t="str">
        <f>IF(B25&lt;&gt;"Sensor Snapshot","",--(N25&gt;='02_Parameters'!$B$13))</f>
        <v/>
      </c>
      <c r="AO25" t="str">
        <f>IF(B25&lt;&gt;"Sensor Snapshot","",--(AND(L25="PUMPING",ISNUMBER(AH25),AH25&lt;='02_Parameters'!$B$10)))</f>
        <v/>
      </c>
      <c r="AP25" s="16"/>
      <c r="AQ25" s="16" t="str">
        <f t="shared" si="10"/>
        <v/>
      </c>
      <c r="AR25" s="16" t="str">
        <f t="shared" si="11"/>
        <v/>
      </c>
      <c r="AW25" s="3" t="s">
        <v>246</v>
      </c>
      <c r="AX25" s="3" t="str">
        <f t="shared" si="12"/>
        <v/>
      </c>
      <c r="AY25" s="3" t="str">
        <f t="shared" si="13"/>
        <v/>
      </c>
      <c r="AZ25" s="3" t="s">
        <v>247</v>
      </c>
      <c r="BA25" s="3"/>
    </row>
    <row r="26" spans="1:53" ht="27.6">
      <c r="A26" t="s">
        <v>295</v>
      </c>
      <c r="B26" t="s">
        <v>242</v>
      </c>
      <c r="C26" s="14">
        <v>29112</v>
      </c>
      <c r="D26" s="15">
        <f t="shared" si="0"/>
        <v>29.111999999999998</v>
      </c>
      <c r="E26" t="s">
        <v>232</v>
      </c>
      <c r="G26" t="s">
        <v>91</v>
      </c>
      <c r="H26" t="s">
        <v>249</v>
      </c>
      <c r="I26" s="3" t="s">
        <v>250</v>
      </c>
      <c r="J26" s="3" t="s">
        <v>251</v>
      </c>
      <c r="M26" t="str">
        <f t="shared" si="1"/>
        <v/>
      </c>
      <c r="O26" s="16"/>
      <c r="P26" s="16" t="str">
        <f>IF(AND(ISNUMBER(O26),O26&lt;&gt;-1,O26&gt;='02_Parameters'!$B$18,O26&lt;='02_Parameters'!$B$19),O26,"")</f>
        <v/>
      </c>
      <c r="Q26" s="16"/>
      <c r="R26" t="str">
        <f>IF(B26&lt;&gt;"Sensor Snapshot","",IF(O26="","Missing",IF(O26=-1,"Sensor failure sentinel (-1)",IF(OR(O26&lt;'02_Parameters'!$B$18,O26&gt;'02_Parameters'!$B$19),"Out of accepted range","Valid"))))</f>
        <v/>
      </c>
      <c r="S26" s="16"/>
      <c r="T26" s="16" t="str">
        <f>IF(AND(ISNUMBER(S26),S26&lt;&gt;-1,S26&gt;='02_Parameters'!$B$20,S26&lt;='02_Parameters'!$B$21),S26,"")</f>
        <v/>
      </c>
      <c r="U26" s="16"/>
      <c r="V26" t="str">
        <f>IF(B26&lt;&gt;"Sensor Snapshot","",IF(S26="","Missing",IF(S26=-1,"Sensor failure sentinel (-1)",IF(OR(S26&lt;'02_Parameters'!$B$20,S26&gt;'02_Parameters'!$B$21),"Out of accepted range","Valid"))))</f>
        <v/>
      </c>
      <c r="W26" s="16"/>
      <c r="X26" s="16" t="str">
        <f t="shared" si="2"/>
        <v/>
      </c>
      <c r="Y26" t="str">
        <f t="shared" si="3"/>
        <v/>
      </c>
      <c r="Z26" s="16"/>
      <c r="AB26" t="str">
        <f>IF(B26&lt;&gt;"Sensor Snapshot","",IF(ISNUMBER(AA26),--(AA26&lt;&gt;0),IF(ISNUMBER(Z26),--(Z26&lt;'02_Parameters'!$B$15),"")))</f>
        <v/>
      </c>
      <c r="AC26" t="str">
        <f>IF(B26&lt;&gt;"Sensor Snapshot","",IF(ISNUMBER(X26),--(X26&gt;='02_Parameters'!$B$16),""))</f>
        <v/>
      </c>
      <c r="AD26">
        <v>0</v>
      </c>
      <c r="AE26" t="str">
        <f t="shared" si="4"/>
        <v/>
      </c>
      <c r="AF26" s="3" t="str">
        <f t="shared" si="5"/>
        <v/>
      </c>
      <c r="AG26" s="16"/>
      <c r="AH26" s="16" t="str">
        <f>IF(B26&lt;&gt;"Sensor Snapshot","",IF(ISNUMBER(AG26),IF(AG26&lt;0,"",IF(AG26&gt;10,AG26/'02_Parameters'!$B$17,AG26)),""))</f>
        <v/>
      </c>
      <c r="AI26" t="str">
        <f t="shared" si="6"/>
        <v/>
      </c>
      <c r="AJ26" t="str">
        <f t="shared" si="7"/>
        <v/>
      </c>
      <c r="AK26" t="str">
        <f t="shared" si="8"/>
        <v/>
      </c>
      <c r="AM26" t="str">
        <f t="shared" si="9"/>
        <v/>
      </c>
      <c r="AN26" t="str">
        <f>IF(B26&lt;&gt;"Sensor Snapshot","",--(N26&gt;='02_Parameters'!$B$13))</f>
        <v/>
      </c>
      <c r="AO26" t="str">
        <f>IF(B26&lt;&gt;"Sensor Snapshot","",--(AND(L26="PUMPING",ISNUMBER(AH26),AH26&lt;='02_Parameters'!$B$10)))</f>
        <v/>
      </c>
      <c r="AP26" s="16"/>
      <c r="AQ26" s="16" t="str">
        <f t="shared" si="10"/>
        <v/>
      </c>
      <c r="AR26" s="16" t="str">
        <f t="shared" si="11"/>
        <v/>
      </c>
      <c r="AW26" s="3" t="s">
        <v>246</v>
      </c>
      <c r="AX26" s="3" t="str">
        <f t="shared" si="12"/>
        <v/>
      </c>
      <c r="AY26" s="3" t="str">
        <f t="shared" si="13"/>
        <v/>
      </c>
      <c r="AZ26" s="3" t="s">
        <v>252</v>
      </c>
      <c r="BA26" s="3"/>
    </row>
    <row r="27" spans="1:53" ht="27.6">
      <c r="A27" t="s">
        <v>296</v>
      </c>
      <c r="B27" t="s">
        <v>242</v>
      </c>
      <c r="C27" s="14">
        <v>29177</v>
      </c>
      <c r="D27" s="15">
        <f t="shared" si="0"/>
        <v>29.177</v>
      </c>
      <c r="E27" t="s">
        <v>232</v>
      </c>
      <c r="G27" t="s">
        <v>91</v>
      </c>
      <c r="H27" t="s">
        <v>249</v>
      </c>
      <c r="I27" s="3" t="s">
        <v>254</v>
      </c>
      <c r="J27" s="3" t="s">
        <v>255</v>
      </c>
      <c r="M27" t="str">
        <f t="shared" si="1"/>
        <v/>
      </c>
      <c r="O27" s="16"/>
      <c r="P27" s="16" t="str">
        <f>IF(AND(ISNUMBER(O27),O27&lt;&gt;-1,O27&gt;='02_Parameters'!$B$18,O27&lt;='02_Parameters'!$B$19),O27,"")</f>
        <v/>
      </c>
      <c r="Q27" s="16"/>
      <c r="R27" t="str">
        <f>IF(B27&lt;&gt;"Sensor Snapshot","",IF(O27="","Missing",IF(O27=-1,"Sensor failure sentinel (-1)",IF(OR(O27&lt;'02_Parameters'!$B$18,O27&gt;'02_Parameters'!$B$19),"Out of accepted range","Valid"))))</f>
        <v/>
      </c>
      <c r="S27" s="16"/>
      <c r="T27" s="16" t="str">
        <f>IF(AND(ISNUMBER(S27),S27&lt;&gt;-1,S27&gt;='02_Parameters'!$B$20,S27&lt;='02_Parameters'!$B$21),S27,"")</f>
        <v/>
      </c>
      <c r="U27" s="16"/>
      <c r="V27" t="str">
        <f>IF(B27&lt;&gt;"Sensor Snapshot","",IF(S27="","Missing",IF(S27=-1,"Sensor failure sentinel (-1)",IF(OR(S27&lt;'02_Parameters'!$B$20,S27&gt;'02_Parameters'!$B$21),"Out of accepted range","Valid"))))</f>
        <v/>
      </c>
      <c r="W27" s="16"/>
      <c r="X27" s="16" t="str">
        <f t="shared" si="2"/>
        <v/>
      </c>
      <c r="Y27" t="str">
        <f t="shared" si="3"/>
        <v/>
      </c>
      <c r="Z27" s="16"/>
      <c r="AB27" t="str">
        <f>IF(B27&lt;&gt;"Sensor Snapshot","",IF(ISNUMBER(AA27),--(AA27&lt;&gt;0),IF(ISNUMBER(Z27),--(Z27&lt;'02_Parameters'!$B$15),"")))</f>
        <v/>
      </c>
      <c r="AC27" t="str">
        <f>IF(B27&lt;&gt;"Sensor Snapshot","",IF(ISNUMBER(X27),--(X27&gt;='02_Parameters'!$B$16),""))</f>
        <v/>
      </c>
      <c r="AD27">
        <v>0</v>
      </c>
      <c r="AE27" t="str">
        <f t="shared" si="4"/>
        <v/>
      </c>
      <c r="AF27" s="3" t="str">
        <f t="shared" si="5"/>
        <v/>
      </c>
      <c r="AG27" s="16"/>
      <c r="AH27" s="16" t="str">
        <f>IF(B27&lt;&gt;"Sensor Snapshot","",IF(ISNUMBER(AG27),IF(AG27&lt;0,"",IF(AG27&gt;10,AG27/'02_Parameters'!$B$17,AG27)),""))</f>
        <v/>
      </c>
      <c r="AI27" t="str">
        <f t="shared" si="6"/>
        <v/>
      </c>
      <c r="AJ27" t="str">
        <f t="shared" si="7"/>
        <v/>
      </c>
      <c r="AK27" t="str">
        <f t="shared" si="8"/>
        <v/>
      </c>
      <c r="AM27" t="str">
        <f t="shared" si="9"/>
        <v/>
      </c>
      <c r="AN27" t="str">
        <f>IF(B27&lt;&gt;"Sensor Snapshot","",--(N27&gt;='02_Parameters'!$B$13))</f>
        <v/>
      </c>
      <c r="AO27" t="str">
        <f>IF(B27&lt;&gt;"Sensor Snapshot","",--(AND(L27="PUMPING",ISNUMBER(AH27),AH27&lt;='02_Parameters'!$B$10)))</f>
        <v/>
      </c>
      <c r="AP27" s="16"/>
      <c r="AQ27" s="16" t="str">
        <f t="shared" si="10"/>
        <v/>
      </c>
      <c r="AR27" s="16" t="str">
        <f t="shared" si="11"/>
        <v/>
      </c>
      <c r="AW27" s="3" t="s">
        <v>246</v>
      </c>
      <c r="AX27" s="3" t="str">
        <f t="shared" si="12"/>
        <v/>
      </c>
      <c r="AY27" s="3" t="str">
        <f t="shared" si="13"/>
        <v/>
      </c>
      <c r="AZ27" s="3" t="s">
        <v>247</v>
      </c>
      <c r="BA27" s="3"/>
    </row>
    <row r="28" spans="1:53" ht="27.6">
      <c r="A28" t="s">
        <v>297</v>
      </c>
      <c r="B28" t="s">
        <v>231</v>
      </c>
      <c r="C28" s="14">
        <v>44397</v>
      </c>
      <c r="D28" s="15">
        <f t="shared" si="0"/>
        <v>44.396999999999998</v>
      </c>
      <c r="E28" t="s">
        <v>232</v>
      </c>
      <c r="F28" t="s">
        <v>9</v>
      </c>
      <c r="G28" t="s">
        <v>234</v>
      </c>
      <c r="H28" t="s">
        <v>235</v>
      </c>
      <c r="I28" s="3"/>
      <c r="J28" s="3"/>
      <c r="M28" t="str">
        <f t="shared" si="1"/>
        <v/>
      </c>
      <c r="O28" s="16">
        <v>21.9</v>
      </c>
      <c r="P28" s="16">
        <f>IF(AND(ISNUMBER(O28),O28&lt;&gt;-1,O28&gt;='02_Parameters'!$B$18,O28&lt;='02_Parameters'!$B$19),O28,"")</f>
        <v>21.9</v>
      </c>
      <c r="Q28" s="16">
        <v>21.9</v>
      </c>
      <c r="R28" t="str">
        <f>IF(B28&lt;&gt;"Sensor Snapshot","",IF(O28="","Missing",IF(O28=-1,"Sensor failure sentinel (-1)",IF(OR(O28&lt;'02_Parameters'!$B$18,O28&gt;'02_Parameters'!$B$19),"Out of accepted range","Valid"))))</f>
        <v>Valid</v>
      </c>
      <c r="S28" s="16">
        <v>69.099999999999994</v>
      </c>
      <c r="T28" s="16">
        <f>IF(AND(ISNUMBER(S28),S28&lt;&gt;-1,S28&gt;='02_Parameters'!$B$20,S28&lt;='02_Parameters'!$B$21),S28,"")</f>
        <v>69.099999999999994</v>
      </c>
      <c r="U28" s="16">
        <v>69.099999999999994</v>
      </c>
      <c r="V28" t="str">
        <f>IF(B28&lt;&gt;"Sensor Snapshot","",IF(S28="","Missing",IF(S28=-1,"Sensor failure sentinel (-1)",IF(OR(S28&lt;'02_Parameters'!$B$20,S28&gt;'02_Parameters'!$B$21),"Out of accepted range","Valid"))))</f>
        <v>Valid</v>
      </c>
      <c r="W28" s="16">
        <v>23.845199999999998</v>
      </c>
      <c r="X28" s="16">
        <f t="shared" si="2"/>
        <v>23.845199999999998</v>
      </c>
      <c r="Y28" t="str">
        <f t="shared" si="3"/>
        <v>Valid</v>
      </c>
      <c r="Z28" s="16">
        <v>839</v>
      </c>
      <c r="AB28">
        <f>IF(B28&lt;&gt;"Sensor Snapshot","",IF(ISNUMBER(AA28),--(AA28&lt;&gt;0),IF(ISNUMBER(Z28),--(Z28&lt;'02_Parameters'!$B$15),"")))</f>
        <v>0</v>
      </c>
      <c r="AC28">
        <f>IF(B28&lt;&gt;"Sensor Snapshot","",IF(ISNUMBER(X28),--(X28&gt;='02_Parameters'!$B$16),""))</f>
        <v>1</v>
      </c>
      <c r="AD28">
        <v>0</v>
      </c>
      <c r="AE28">
        <f t="shared" si="4"/>
        <v>0</v>
      </c>
      <c r="AF28" s="3" t="str">
        <f t="shared" si="5"/>
        <v>Partial detection only</v>
      </c>
      <c r="AG28" s="16">
        <v>0</v>
      </c>
      <c r="AH28" s="16">
        <f>IF(B28&lt;&gt;"Sensor Snapshot","",IF(ISNUMBER(AG28),IF(AG28&lt;0,"",IF(AG28&gt;10,AG28/'02_Parameters'!$B$17,AG28)),""))</f>
        <v>0</v>
      </c>
      <c r="AI28" t="str">
        <f t="shared" si="6"/>
        <v>Valid</v>
      </c>
      <c r="AJ28">
        <f t="shared" si="7"/>
        <v>0</v>
      </c>
      <c r="AK28">
        <f t="shared" si="8"/>
        <v>0</v>
      </c>
      <c r="AM28">
        <f t="shared" si="9"/>
        <v>0</v>
      </c>
      <c r="AN28">
        <f>IF(B28&lt;&gt;"Sensor Snapshot","",--(N28&gt;='02_Parameters'!$B$13))</f>
        <v>0</v>
      </c>
      <c r="AO28">
        <f>IF(B28&lt;&gt;"Sensor Snapshot","",--(AND(L28="PUMPING",ISNUMBER(AH28),AH28&lt;='02_Parameters'!$B$10)))</f>
        <v>0</v>
      </c>
      <c r="AP28" s="16"/>
      <c r="AQ28" s="16" t="str">
        <f t="shared" si="10"/>
        <v/>
      </c>
      <c r="AR28" s="16" t="str">
        <f t="shared" si="11"/>
        <v/>
      </c>
      <c r="AU28" t="s">
        <v>236</v>
      </c>
      <c r="AV28" t="s">
        <v>237</v>
      </c>
      <c r="AW28" s="3" t="s">
        <v>257</v>
      </c>
      <c r="AX28" s="3">
        <f t="shared" si="12"/>
        <v>100</v>
      </c>
      <c r="AY28" s="3" t="str">
        <f t="shared" si="13"/>
        <v>A</v>
      </c>
      <c r="AZ28" s="3" t="s">
        <v>239</v>
      </c>
      <c r="BA28" s="3" t="s">
        <v>240</v>
      </c>
    </row>
    <row r="29" spans="1:53" ht="27.6">
      <c r="A29" t="s">
        <v>298</v>
      </c>
      <c r="B29" t="s">
        <v>242</v>
      </c>
      <c r="C29" s="14">
        <v>44615</v>
      </c>
      <c r="D29" s="15">
        <f t="shared" si="0"/>
        <v>44.615000000000002</v>
      </c>
      <c r="E29" t="s">
        <v>232</v>
      </c>
      <c r="G29" t="s">
        <v>157</v>
      </c>
      <c r="H29" t="s">
        <v>243</v>
      </c>
      <c r="I29" s="3" t="s">
        <v>259</v>
      </c>
      <c r="J29" s="3" t="s">
        <v>260</v>
      </c>
      <c r="M29" t="str">
        <f t="shared" si="1"/>
        <v/>
      </c>
      <c r="O29" s="16"/>
      <c r="P29" s="16" t="str">
        <f>IF(AND(ISNUMBER(O29),O29&lt;&gt;-1,O29&gt;='02_Parameters'!$B$18,O29&lt;='02_Parameters'!$B$19),O29,"")</f>
        <v/>
      </c>
      <c r="Q29" s="16"/>
      <c r="R29" t="str">
        <f>IF(B29&lt;&gt;"Sensor Snapshot","",IF(O29="","Missing",IF(O29=-1,"Sensor failure sentinel (-1)",IF(OR(O29&lt;'02_Parameters'!$B$18,O29&gt;'02_Parameters'!$B$19),"Out of accepted range","Valid"))))</f>
        <v/>
      </c>
      <c r="S29" s="16"/>
      <c r="T29" s="16" t="str">
        <f>IF(AND(ISNUMBER(S29),S29&lt;&gt;-1,S29&gt;='02_Parameters'!$B$20,S29&lt;='02_Parameters'!$B$21),S29,"")</f>
        <v/>
      </c>
      <c r="U29" s="16"/>
      <c r="V29" t="str">
        <f>IF(B29&lt;&gt;"Sensor Snapshot","",IF(S29="","Missing",IF(S29=-1,"Sensor failure sentinel (-1)",IF(OR(S29&lt;'02_Parameters'!$B$20,S29&gt;'02_Parameters'!$B$21),"Out of accepted range","Valid"))))</f>
        <v/>
      </c>
      <c r="W29" s="16"/>
      <c r="X29" s="16" t="str">
        <f t="shared" si="2"/>
        <v/>
      </c>
      <c r="Y29" t="str">
        <f t="shared" si="3"/>
        <v/>
      </c>
      <c r="Z29" s="16"/>
      <c r="AB29" t="str">
        <f>IF(B29&lt;&gt;"Sensor Snapshot","",IF(ISNUMBER(AA29),--(AA29&lt;&gt;0),IF(ISNUMBER(Z29),--(Z29&lt;'02_Parameters'!$B$15),"")))</f>
        <v/>
      </c>
      <c r="AC29" t="str">
        <f>IF(B29&lt;&gt;"Sensor Snapshot","",IF(ISNUMBER(X29),--(X29&gt;='02_Parameters'!$B$16),""))</f>
        <v/>
      </c>
      <c r="AD29">
        <v>0</v>
      </c>
      <c r="AE29" t="str">
        <f t="shared" si="4"/>
        <v/>
      </c>
      <c r="AF29" s="3" t="str">
        <f t="shared" si="5"/>
        <v/>
      </c>
      <c r="AG29" s="16"/>
      <c r="AH29" s="16" t="str">
        <f>IF(B29&lt;&gt;"Sensor Snapshot","",IF(ISNUMBER(AG29),IF(AG29&lt;0,"",IF(AG29&gt;10,AG29/'02_Parameters'!$B$17,AG29)),""))</f>
        <v/>
      </c>
      <c r="AI29" t="str">
        <f t="shared" si="6"/>
        <v/>
      </c>
      <c r="AJ29" t="str">
        <f t="shared" si="7"/>
        <v/>
      </c>
      <c r="AK29" t="str">
        <f t="shared" si="8"/>
        <v/>
      </c>
      <c r="AL29">
        <v>0</v>
      </c>
      <c r="AM29" t="str">
        <f t="shared" si="9"/>
        <v/>
      </c>
      <c r="AN29" t="str">
        <f>IF(B29&lt;&gt;"Sensor Snapshot","",--(N29&gt;='02_Parameters'!$B$13))</f>
        <v/>
      </c>
      <c r="AO29" t="str">
        <f>IF(B29&lt;&gt;"Sensor Snapshot","",--(AND(L29="PUMPING",ISNUMBER(AH29),AH29&lt;='02_Parameters'!$B$10)))</f>
        <v/>
      </c>
      <c r="AP29" s="16"/>
      <c r="AQ29" s="16" t="str">
        <f t="shared" si="10"/>
        <v/>
      </c>
      <c r="AR29" s="16" t="str">
        <f t="shared" si="11"/>
        <v/>
      </c>
      <c r="AW29" s="3" t="s">
        <v>246</v>
      </c>
      <c r="AX29" s="3" t="str">
        <f t="shared" si="12"/>
        <v/>
      </c>
      <c r="AY29" s="3" t="str">
        <f t="shared" si="13"/>
        <v/>
      </c>
      <c r="AZ29" s="3" t="s">
        <v>247</v>
      </c>
      <c r="BA29" s="3"/>
    </row>
    <row r="30" spans="1:53" ht="27.6">
      <c r="A30" t="s">
        <v>299</v>
      </c>
      <c r="B30" t="s">
        <v>242</v>
      </c>
      <c r="C30" s="14">
        <v>44655</v>
      </c>
      <c r="D30" s="15">
        <f t="shared" si="0"/>
        <v>44.655000000000001</v>
      </c>
      <c r="E30" t="s">
        <v>232</v>
      </c>
      <c r="G30" t="s">
        <v>91</v>
      </c>
      <c r="H30" t="s">
        <v>249</v>
      </c>
      <c r="I30" s="3" t="s">
        <v>250</v>
      </c>
      <c r="J30" s="3" t="s">
        <v>251</v>
      </c>
      <c r="M30" t="str">
        <f t="shared" si="1"/>
        <v/>
      </c>
      <c r="O30" s="16"/>
      <c r="P30" s="16" t="str">
        <f>IF(AND(ISNUMBER(O30),O30&lt;&gt;-1,O30&gt;='02_Parameters'!$B$18,O30&lt;='02_Parameters'!$B$19),O30,"")</f>
        <v/>
      </c>
      <c r="Q30" s="16"/>
      <c r="R30" t="str">
        <f>IF(B30&lt;&gt;"Sensor Snapshot","",IF(O30="","Missing",IF(O30=-1,"Sensor failure sentinel (-1)",IF(OR(O30&lt;'02_Parameters'!$B$18,O30&gt;'02_Parameters'!$B$19),"Out of accepted range","Valid"))))</f>
        <v/>
      </c>
      <c r="S30" s="16"/>
      <c r="T30" s="16" t="str">
        <f>IF(AND(ISNUMBER(S30),S30&lt;&gt;-1,S30&gt;='02_Parameters'!$B$20,S30&lt;='02_Parameters'!$B$21),S30,"")</f>
        <v/>
      </c>
      <c r="U30" s="16"/>
      <c r="V30" t="str">
        <f>IF(B30&lt;&gt;"Sensor Snapshot","",IF(S30="","Missing",IF(S30=-1,"Sensor failure sentinel (-1)",IF(OR(S30&lt;'02_Parameters'!$B$20,S30&gt;'02_Parameters'!$B$21),"Out of accepted range","Valid"))))</f>
        <v/>
      </c>
      <c r="W30" s="16"/>
      <c r="X30" s="16" t="str">
        <f t="shared" si="2"/>
        <v/>
      </c>
      <c r="Y30" t="str">
        <f t="shared" si="3"/>
        <v/>
      </c>
      <c r="Z30" s="16"/>
      <c r="AB30" t="str">
        <f>IF(B30&lt;&gt;"Sensor Snapshot","",IF(ISNUMBER(AA30),--(AA30&lt;&gt;0),IF(ISNUMBER(Z30),--(Z30&lt;'02_Parameters'!$B$15),"")))</f>
        <v/>
      </c>
      <c r="AC30" t="str">
        <f>IF(B30&lt;&gt;"Sensor Snapshot","",IF(ISNUMBER(X30),--(X30&gt;='02_Parameters'!$B$16),""))</f>
        <v/>
      </c>
      <c r="AD30">
        <v>0</v>
      </c>
      <c r="AE30" t="str">
        <f t="shared" si="4"/>
        <v/>
      </c>
      <c r="AF30" s="3" t="str">
        <f t="shared" si="5"/>
        <v/>
      </c>
      <c r="AG30" s="16"/>
      <c r="AH30" s="16" t="str">
        <f>IF(B30&lt;&gt;"Sensor Snapshot","",IF(ISNUMBER(AG30),IF(AG30&lt;0,"",IF(AG30&gt;10,AG30/'02_Parameters'!$B$17,AG30)),""))</f>
        <v/>
      </c>
      <c r="AI30" t="str">
        <f t="shared" si="6"/>
        <v/>
      </c>
      <c r="AJ30" t="str">
        <f t="shared" si="7"/>
        <v/>
      </c>
      <c r="AK30" t="str">
        <f t="shared" si="8"/>
        <v/>
      </c>
      <c r="AM30" t="str">
        <f t="shared" si="9"/>
        <v/>
      </c>
      <c r="AN30" t="str">
        <f>IF(B30&lt;&gt;"Sensor Snapshot","",--(N30&gt;='02_Parameters'!$B$13))</f>
        <v/>
      </c>
      <c r="AO30" t="str">
        <f>IF(B30&lt;&gt;"Sensor Snapshot","",--(AND(L30="PUMPING",ISNUMBER(AH30),AH30&lt;='02_Parameters'!$B$10)))</f>
        <v/>
      </c>
      <c r="AP30" s="16"/>
      <c r="AQ30" s="16" t="str">
        <f t="shared" si="10"/>
        <v/>
      </c>
      <c r="AR30" s="16" t="str">
        <f t="shared" si="11"/>
        <v/>
      </c>
      <c r="AW30" s="3" t="s">
        <v>246</v>
      </c>
      <c r="AX30" s="3" t="str">
        <f t="shared" si="12"/>
        <v/>
      </c>
      <c r="AY30" s="3" t="str">
        <f t="shared" si="13"/>
        <v/>
      </c>
      <c r="AZ30" s="3" t="s">
        <v>252</v>
      </c>
      <c r="BA30" s="3"/>
    </row>
    <row r="31" spans="1:53" ht="27.6">
      <c r="A31" t="s">
        <v>300</v>
      </c>
      <c r="B31" t="s">
        <v>242</v>
      </c>
      <c r="C31" s="14">
        <v>44725</v>
      </c>
      <c r="D31" s="15">
        <f t="shared" si="0"/>
        <v>44.725000000000001</v>
      </c>
      <c r="E31" t="s">
        <v>232</v>
      </c>
      <c r="G31" t="s">
        <v>91</v>
      </c>
      <c r="H31" t="s">
        <v>249</v>
      </c>
      <c r="I31" s="3" t="s">
        <v>254</v>
      </c>
      <c r="J31" s="3" t="s">
        <v>255</v>
      </c>
      <c r="M31" t="str">
        <f t="shared" si="1"/>
        <v/>
      </c>
      <c r="O31" s="16"/>
      <c r="P31" s="16" t="str">
        <f>IF(AND(ISNUMBER(O31),O31&lt;&gt;-1,O31&gt;='02_Parameters'!$B$18,O31&lt;='02_Parameters'!$B$19),O31,"")</f>
        <v/>
      </c>
      <c r="Q31" s="16"/>
      <c r="R31" t="str">
        <f>IF(B31&lt;&gt;"Sensor Snapshot","",IF(O31="","Missing",IF(O31=-1,"Sensor failure sentinel (-1)",IF(OR(O31&lt;'02_Parameters'!$B$18,O31&gt;'02_Parameters'!$B$19),"Out of accepted range","Valid"))))</f>
        <v/>
      </c>
      <c r="S31" s="16"/>
      <c r="T31" s="16" t="str">
        <f>IF(AND(ISNUMBER(S31),S31&lt;&gt;-1,S31&gt;='02_Parameters'!$B$20,S31&lt;='02_Parameters'!$B$21),S31,"")</f>
        <v/>
      </c>
      <c r="U31" s="16"/>
      <c r="V31" t="str">
        <f>IF(B31&lt;&gt;"Sensor Snapshot","",IF(S31="","Missing",IF(S31=-1,"Sensor failure sentinel (-1)",IF(OR(S31&lt;'02_Parameters'!$B$20,S31&gt;'02_Parameters'!$B$21),"Out of accepted range","Valid"))))</f>
        <v/>
      </c>
      <c r="W31" s="16"/>
      <c r="X31" s="16" t="str">
        <f t="shared" si="2"/>
        <v/>
      </c>
      <c r="Y31" t="str">
        <f t="shared" si="3"/>
        <v/>
      </c>
      <c r="Z31" s="16"/>
      <c r="AB31" t="str">
        <f>IF(B31&lt;&gt;"Sensor Snapshot","",IF(ISNUMBER(AA31),--(AA31&lt;&gt;0),IF(ISNUMBER(Z31),--(Z31&lt;'02_Parameters'!$B$15),"")))</f>
        <v/>
      </c>
      <c r="AC31" t="str">
        <f>IF(B31&lt;&gt;"Sensor Snapshot","",IF(ISNUMBER(X31),--(X31&gt;='02_Parameters'!$B$16),""))</f>
        <v/>
      </c>
      <c r="AD31">
        <v>0</v>
      </c>
      <c r="AE31" t="str">
        <f t="shared" si="4"/>
        <v/>
      </c>
      <c r="AF31" s="3" t="str">
        <f t="shared" si="5"/>
        <v/>
      </c>
      <c r="AG31" s="16"/>
      <c r="AH31" s="16" t="str">
        <f>IF(B31&lt;&gt;"Sensor Snapshot","",IF(ISNUMBER(AG31),IF(AG31&lt;0,"",IF(AG31&gt;10,AG31/'02_Parameters'!$B$17,AG31)),""))</f>
        <v/>
      </c>
      <c r="AI31" t="str">
        <f t="shared" si="6"/>
        <v/>
      </c>
      <c r="AJ31" t="str">
        <f t="shared" si="7"/>
        <v/>
      </c>
      <c r="AK31" t="str">
        <f t="shared" si="8"/>
        <v/>
      </c>
      <c r="AM31" t="str">
        <f t="shared" si="9"/>
        <v/>
      </c>
      <c r="AN31" t="str">
        <f>IF(B31&lt;&gt;"Sensor Snapshot","",--(N31&gt;='02_Parameters'!$B$13))</f>
        <v/>
      </c>
      <c r="AO31" t="str">
        <f>IF(B31&lt;&gt;"Sensor Snapshot","",--(AND(L31="PUMPING",ISNUMBER(AH31),AH31&lt;='02_Parameters'!$B$10)))</f>
        <v/>
      </c>
      <c r="AP31" s="16"/>
      <c r="AQ31" s="16" t="str">
        <f t="shared" si="10"/>
        <v/>
      </c>
      <c r="AR31" s="16" t="str">
        <f t="shared" si="11"/>
        <v/>
      </c>
      <c r="AW31" s="3" t="s">
        <v>246</v>
      </c>
      <c r="AX31" s="3" t="str">
        <f t="shared" si="12"/>
        <v/>
      </c>
      <c r="AY31" s="3" t="str">
        <f t="shared" si="13"/>
        <v/>
      </c>
      <c r="AZ31" s="3" t="s">
        <v>247</v>
      </c>
      <c r="BA31" s="3"/>
    </row>
    <row r="32" spans="1:53" ht="27.6">
      <c r="A32" t="s">
        <v>301</v>
      </c>
      <c r="B32" t="s">
        <v>231</v>
      </c>
      <c r="C32" s="14">
        <v>59953</v>
      </c>
      <c r="D32" s="15">
        <f t="shared" si="0"/>
        <v>59.953000000000003</v>
      </c>
      <c r="E32" t="s">
        <v>232</v>
      </c>
      <c r="F32" t="s">
        <v>12</v>
      </c>
      <c r="G32" t="s">
        <v>234</v>
      </c>
      <c r="H32" t="s">
        <v>235</v>
      </c>
      <c r="I32" s="3"/>
      <c r="J32" s="3"/>
      <c r="M32" t="str">
        <f t="shared" si="1"/>
        <v/>
      </c>
      <c r="O32" s="16">
        <v>22.5</v>
      </c>
      <c r="P32" s="16">
        <f>IF(AND(ISNUMBER(O32),O32&lt;&gt;-1,O32&gt;='02_Parameters'!$B$18,O32&lt;='02_Parameters'!$B$19),O32,"")</f>
        <v>22.5</v>
      </c>
      <c r="Q32" s="16">
        <v>22.5</v>
      </c>
      <c r="R32" t="str">
        <f>IF(B32&lt;&gt;"Sensor Snapshot","",IF(O32="","Missing",IF(O32=-1,"Sensor failure sentinel (-1)",IF(OR(O32&lt;'02_Parameters'!$B$18,O32&gt;'02_Parameters'!$B$19),"Out of accepted range","Valid"))))</f>
        <v>Valid</v>
      </c>
      <c r="S32" s="16">
        <v>81</v>
      </c>
      <c r="T32" s="16">
        <f>IF(AND(ISNUMBER(S32),S32&lt;&gt;-1,S32&gt;='02_Parameters'!$B$20,S32&lt;='02_Parameters'!$B$21),S32,"")</f>
        <v>81</v>
      </c>
      <c r="U32" s="16">
        <v>81</v>
      </c>
      <c r="V32" t="str">
        <f>IF(B32&lt;&gt;"Sensor Snapshot","",IF(S32="","Missing",IF(S32=-1,"Sensor failure sentinel (-1)",IF(OR(S32&lt;'02_Parameters'!$B$20,S32&gt;'02_Parameters'!$B$21),"Out of accepted range","Valid"))))</f>
        <v>Valid</v>
      </c>
      <c r="W32" s="16">
        <v>-2.3119000000000001</v>
      </c>
      <c r="X32" s="16">
        <f t="shared" si="2"/>
        <v>2.3119000000000001</v>
      </c>
      <c r="Y32" t="str">
        <f t="shared" si="3"/>
        <v>Sign corrected to positive</v>
      </c>
      <c r="Z32" s="16">
        <v>865</v>
      </c>
      <c r="AB32">
        <f>IF(B32&lt;&gt;"Sensor Snapshot","",IF(ISNUMBER(AA32),--(AA32&lt;&gt;0),IF(ISNUMBER(Z32),--(Z32&lt;'02_Parameters'!$B$15),"")))</f>
        <v>0</v>
      </c>
      <c r="AC32">
        <f>IF(B32&lt;&gt;"Sensor Snapshot","",IF(ISNUMBER(X32),--(X32&gt;='02_Parameters'!$B$16),""))</f>
        <v>0</v>
      </c>
      <c r="AD32">
        <v>0</v>
      </c>
      <c r="AE32">
        <f t="shared" si="4"/>
        <v>0</v>
      </c>
      <c r="AF32" s="3" t="str">
        <f t="shared" si="5"/>
        <v>No detection</v>
      </c>
      <c r="AG32" s="16">
        <v>0</v>
      </c>
      <c r="AH32" s="16">
        <f>IF(B32&lt;&gt;"Sensor Snapshot","",IF(ISNUMBER(AG32),IF(AG32&lt;0,"",IF(AG32&gt;10,AG32/'02_Parameters'!$B$17,AG32)),""))</f>
        <v>0</v>
      </c>
      <c r="AI32" t="str">
        <f t="shared" si="6"/>
        <v>Valid</v>
      </c>
      <c r="AJ32">
        <f t="shared" si="7"/>
        <v>0</v>
      </c>
      <c r="AK32">
        <f t="shared" si="8"/>
        <v>0</v>
      </c>
      <c r="AM32">
        <f t="shared" si="9"/>
        <v>0</v>
      </c>
      <c r="AN32">
        <f>IF(B32&lt;&gt;"Sensor Snapshot","",--(N32&gt;='02_Parameters'!$B$13))</f>
        <v>0</v>
      </c>
      <c r="AO32">
        <f>IF(B32&lt;&gt;"Sensor Snapshot","",--(AND(L32="PUMPING",ISNUMBER(AH32),AH32&lt;='02_Parameters'!$B$10)))</f>
        <v>0</v>
      </c>
      <c r="AP32" s="16"/>
      <c r="AQ32" s="16" t="str">
        <f t="shared" si="10"/>
        <v/>
      </c>
      <c r="AR32" s="16" t="str">
        <f t="shared" si="11"/>
        <v/>
      </c>
      <c r="AU32" t="s">
        <v>236</v>
      </c>
      <c r="AV32" t="s">
        <v>237</v>
      </c>
      <c r="AW32" s="3" t="s">
        <v>238</v>
      </c>
      <c r="AX32" s="3">
        <f t="shared" si="12"/>
        <v>100</v>
      </c>
      <c r="AY32" s="3" t="str">
        <f t="shared" si="13"/>
        <v>A</v>
      </c>
      <c r="AZ32" s="3" t="s">
        <v>239</v>
      </c>
      <c r="BA32" s="3" t="s">
        <v>240</v>
      </c>
    </row>
    <row r="33" spans="1:53" ht="27.6">
      <c r="A33" t="s">
        <v>302</v>
      </c>
      <c r="B33" t="s">
        <v>242</v>
      </c>
      <c r="C33" s="14">
        <v>60171</v>
      </c>
      <c r="D33" s="15">
        <f t="shared" si="0"/>
        <v>60.170999999999999</v>
      </c>
      <c r="E33" t="s">
        <v>232</v>
      </c>
      <c r="G33" t="s">
        <v>157</v>
      </c>
      <c r="H33" t="s">
        <v>243</v>
      </c>
      <c r="I33" s="3" t="s">
        <v>244</v>
      </c>
      <c r="J33" s="3" t="s">
        <v>245</v>
      </c>
      <c r="M33" t="str">
        <f t="shared" si="1"/>
        <v/>
      </c>
      <c r="O33" s="16"/>
      <c r="P33" s="16" t="str">
        <f>IF(AND(ISNUMBER(O33),O33&lt;&gt;-1,O33&gt;='02_Parameters'!$B$18,O33&lt;='02_Parameters'!$B$19),O33,"")</f>
        <v/>
      </c>
      <c r="Q33" s="16"/>
      <c r="R33" t="str">
        <f>IF(B33&lt;&gt;"Sensor Snapshot","",IF(O33="","Missing",IF(O33=-1,"Sensor failure sentinel (-1)",IF(OR(O33&lt;'02_Parameters'!$B$18,O33&gt;'02_Parameters'!$B$19),"Out of accepted range","Valid"))))</f>
        <v/>
      </c>
      <c r="S33" s="16"/>
      <c r="T33" s="16" t="str">
        <f>IF(AND(ISNUMBER(S33),S33&lt;&gt;-1,S33&gt;='02_Parameters'!$B$20,S33&lt;='02_Parameters'!$B$21),S33,"")</f>
        <v/>
      </c>
      <c r="U33" s="16"/>
      <c r="V33" t="str">
        <f>IF(B33&lt;&gt;"Sensor Snapshot","",IF(S33="","Missing",IF(S33=-1,"Sensor failure sentinel (-1)",IF(OR(S33&lt;'02_Parameters'!$B$20,S33&gt;'02_Parameters'!$B$21),"Out of accepted range","Valid"))))</f>
        <v/>
      </c>
      <c r="W33" s="16"/>
      <c r="X33" s="16" t="str">
        <f t="shared" si="2"/>
        <v/>
      </c>
      <c r="Y33" t="str">
        <f t="shared" si="3"/>
        <v/>
      </c>
      <c r="Z33" s="16"/>
      <c r="AB33" t="str">
        <f>IF(B33&lt;&gt;"Sensor Snapshot","",IF(ISNUMBER(AA33),--(AA33&lt;&gt;0),IF(ISNUMBER(Z33),--(Z33&lt;'02_Parameters'!$B$15),"")))</f>
        <v/>
      </c>
      <c r="AC33" t="str">
        <f>IF(B33&lt;&gt;"Sensor Snapshot","",IF(ISNUMBER(X33),--(X33&gt;='02_Parameters'!$B$16),""))</f>
        <v/>
      </c>
      <c r="AD33">
        <v>0</v>
      </c>
      <c r="AE33" t="str">
        <f t="shared" si="4"/>
        <v/>
      </c>
      <c r="AF33" s="3" t="str">
        <f t="shared" si="5"/>
        <v/>
      </c>
      <c r="AG33" s="16"/>
      <c r="AH33" s="16" t="str">
        <f>IF(B33&lt;&gt;"Sensor Snapshot","",IF(ISNUMBER(AG33),IF(AG33&lt;0,"",IF(AG33&gt;10,AG33/'02_Parameters'!$B$17,AG33)),""))</f>
        <v/>
      </c>
      <c r="AI33" t="str">
        <f t="shared" si="6"/>
        <v/>
      </c>
      <c r="AJ33" t="str">
        <f t="shared" si="7"/>
        <v/>
      </c>
      <c r="AK33" t="str">
        <f t="shared" si="8"/>
        <v/>
      </c>
      <c r="AL33">
        <v>1</v>
      </c>
      <c r="AM33" t="str">
        <f t="shared" si="9"/>
        <v/>
      </c>
      <c r="AN33" t="str">
        <f>IF(B33&lt;&gt;"Sensor Snapshot","",--(N33&gt;='02_Parameters'!$B$13))</f>
        <v/>
      </c>
      <c r="AO33" t="str">
        <f>IF(B33&lt;&gt;"Sensor Snapshot","",--(AND(L33="PUMPING",ISNUMBER(AH33),AH33&lt;='02_Parameters'!$B$10)))</f>
        <v/>
      </c>
      <c r="AP33" s="16"/>
      <c r="AQ33" s="16" t="str">
        <f t="shared" si="10"/>
        <v/>
      </c>
      <c r="AR33" s="16" t="str">
        <f t="shared" si="11"/>
        <v/>
      </c>
      <c r="AW33" s="3" t="s">
        <v>246</v>
      </c>
      <c r="AX33" s="3" t="str">
        <f t="shared" si="12"/>
        <v/>
      </c>
      <c r="AY33" s="3" t="str">
        <f t="shared" si="13"/>
        <v/>
      </c>
      <c r="AZ33" s="3" t="s">
        <v>247</v>
      </c>
      <c r="BA33" s="3"/>
    </row>
    <row r="34" spans="1:53" ht="27.6">
      <c r="A34" t="s">
        <v>303</v>
      </c>
      <c r="B34" t="s">
        <v>242</v>
      </c>
      <c r="C34" s="14">
        <v>60223</v>
      </c>
      <c r="D34" s="15">
        <f t="shared" si="0"/>
        <v>60.222999999999999</v>
      </c>
      <c r="E34" t="s">
        <v>232</v>
      </c>
      <c r="G34" t="s">
        <v>157</v>
      </c>
      <c r="H34" t="s">
        <v>304</v>
      </c>
      <c r="I34" s="3" t="s">
        <v>305</v>
      </c>
      <c r="J34" s="3" t="s">
        <v>306</v>
      </c>
      <c r="M34" t="str">
        <f t="shared" si="1"/>
        <v/>
      </c>
      <c r="O34" s="16"/>
      <c r="P34" s="16" t="str">
        <f>IF(AND(ISNUMBER(O34),O34&lt;&gt;-1,O34&gt;='02_Parameters'!$B$18,O34&lt;='02_Parameters'!$B$19),O34,"")</f>
        <v/>
      </c>
      <c r="Q34" s="16"/>
      <c r="R34" t="str">
        <f>IF(B34&lt;&gt;"Sensor Snapshot","",IF(O34="","Missing",IF(O34=-1,"Sensor failure sentinel (-1)",IF(OR(O34&lt;'02_Parameters'!$B$18,O34&gt;'02_Parameters'!$B$19),"Out of accepted range","Valid"))))</f>
        <v/>
      </c>
      <c r="S34" s="16"/>
      <c r="T34" s="16" t="str">
        <f>IF(AND(ISNUMBER(S34),S34&lt;&gt;-1,S34&gt;='02_Parameters'!$B$20,S34&lt;='02_Parameters'!$B$21),S34,"")</f>
        <v/>
      </c>
      <c r="U34" s="16"/>
      <c r="V34" t="str">
        <f>IF(B34&lt;&gt;"Sensor Snapshot","",IF(S34="","Missing",IF(S34=-1,"Sensor failure sentinel (-1)",IF(OR(S34&lt;'02_Parameters'!$B$20,S34&gt;'02_Parameters'!$B$21),"Out of accepted range","Valid"))))</f>
        <v/>
      </c>
      <c r="W34" s="16"/>
      <c r="X34" s="16" t="str">
        <f t="shared" si="2"/>
        <v/>
      </c>
      <c r="Y34" t="str">
        <f t="shared" si="3"/>
        <v/>
      </c>
      <c r="Z34" s="16"/>
      <c r="AB34" t="str">
        <f>IF(B34&lt;&gt;"Sensor Snapshot","",IF(ISNUMBER(AA34),--(AA34&lt;&gt;0),IF(ISNUMBER(Z34),--(Z34&lt;'02_Parameters'!$B$15),"")))</f>
        <v/>
      </c>
      <c r="AC34" t="str">
        <f>IF(B34&lt;&gt;"Sensor Snapshot","",IF(ISNUMBER(X34),--(X34&gt;='02_Parameters'!$B$16),""))</f>
        <v/>
      </c>
      <c r="AD34">
        <v>0</v>
      </c>
      <c r="AE34" t="str">
        <f t="shared" si="4"/>
        <v/>
      </c>
      <c r="AF34" s="3" t="str">
        <f t="shared" si="5"/>
        <v/>
      </c>
      <c r="AG34" s="16"/>
      <c r="AH34" s="16" t="str">
        <f>IF(B34&lt;&gt;"Sensor Snapshot","",IF(ISNUMBER(AG34),IF(AG34&lt;0,"",IF(AG34&gt;10,AG34/'02_Parameters'!$B$17,AG34)),""))</f>
        <v/>
      </c>
      <c r="AI34" t="str">
        <f t="shared" si="6"/>
        <v/>
      </c>
      <c r="AJ34" t="str">
        <f t="shared" si="7"/>
        <v/>
      </c>
      <c r="AK34" t="str">
        <f t="shared" si="8"/>
        <v/>
      </c>
      <c r="AM34" t="str">
        <f t="shared" si="9"/>
        <v/>
      </c>
      <c r="AN34" t="str">
        <f>IF(B34&lt;&gt;"Sensor Snapshot","",--(N34&gt;='02_Parameters'!$B$13))</f>
        <v/>
      </c>
      <c r="AO34" t="str">
        <f>IF(B34&lt;&gt;"Sensor Snapshot","",--(AND(L34="PUMPING",ISNUMBER(AH34),AH34&lt;='02_Parameters'!$B$10)))</f>
        <v/>
      </c>
      <c r="AP34" s="16"/>
      <c r="AQ34" s="16" t="str">
        <f t="shared" si="10"/>
        <v/>
      </c>
      <c r="AR34" s="16" t="str">
        <f t="shared" si="11"/>
        <v/>
      </c>
      <c r="AW34" s="3" t="s">
        <v>246</v>
      </c>
      <c r="AX34" s="3" t="str">
        <f t="shared" si="12"/>
        <v/>
      </c>
      <c r="AY34" s="3" t="str">
        <f t="shared" si="13"/>
        <v/>
      </c>
      <c r="AZ34" s="3" t="s">
        <v>247</v>
      </c>
      <c r="BA34" s="3"/>
    </row>
    <row r="35" spans="1:53" ht="27.6">
      <c r="A35" t="s">
        <v>307</v>
      </c>
      <c r="B35" t="s">
        <v>242</v>
      </c>
      <c r="C35" s="14">
        <v>60258</v>
      </c>
      <c r="D35" s="15">
        <f t="shared" si="0"/>
        <v>60.258000000000003</v>
      </c>
      <c r="E35" t="s">
        <v>232</v>
      </c>
      <c r="G35" t="s">
        <v>91</v>
      </c>
      <c r="H35" t="s">
        <v>249</v>
      </c>
      <c r="I35" s="3" t="s">
        <v>250</v>
      </c>
      <c r="J35" s="3" t="s">
        <v>251</v>
      </c>
      <c r="M35" t="str">
        <f t="shared" si="1"/>
        <v/>
      </c>
      <c r="O35" s="16"/>
      <c r="P35" s="16" t="str">
        <f>IF(AND(ISNUMBER(O35),O35&lt;&gt;-1,O35&gt;='02_Parameters'!$B$18,O35&lt;='02_Parameters'!$B$19),O35,"")</f>
        <v/>
      </c>
      <c r="Q35" s="16"/>
      <c r="R35" t="str">
        <f>IF(B35&lt;&gt;"Sensor Snapshot","",IF(O35="","Missing",IF(O35=-1,"Sensor failure sentinel (-1)",IF(OR(O35&lt;'02_Parameters'!$B$18,O35&gt;'02_Parameters'!$B$19),"Out of accepted range","Valid"))))</f>
        <v/>
      </c>
      <c r="S35" s="16"/>
      <c r="T35" s="16" t="str">
        <f>IF(AND(ISNUMBER(S35),S35&lt;&gt;-1,S35&gt;='02_Parameters'!$B$20,S35&lt;='02_Parameters'!$B$21),S35,"")</f>
        <v/>
      </c>
      <c r="U35" s="16"/>
      <c r="V35" t="str">
        <f>IF(B35&lt;&gt;"Sensor Snapshot","",IF(S35="","Missing",IF(S35=-1,"Sensor failure sentinel (-1)",IF(OR(S35&lt;'02_Parameters'!$B$20,S35&gt;'02_Parameters'!$B$21),"Out of accepted range","Valid"))))</f>
        <v/>
      </c>
      <c r="W35" s="16"/>
      <c r="X35" s="16" t="str">
        <f t="shared" si="2"/>
        <v/>
      </c>
      <c r="Y35" t="str">
        <f t="shared" si="3"/>
        <v/>
      </c>
      <c r="Z35" s="16"/>
      <c r="AB35" t="str">
        <f>IF(B35&lt;&gt;"Sensor Snapshot","",IF(ISNUMBER(AA35),--(AA35&lt;&gt;0),IF(ISNUMBER(Z35),--(Z35&lt;'02_Parameters'!$B$15),"")))</f>
        <v/>
      </c>
      <c r="AC35" t="str">
        <f>IF(B35&lt;&gt;"Sensor Snapshot","",IF(ISNUMBER(X35),--(X35&gt;='02_Parameters'!$B$16),""))</f>
        <v/>
      </c>
      <c r="AD35">
        <v>0</v>
      </c>
      <c r="AE35" t="str">
        <f t="shared" si="4"/>
        <v/>
      </c>
      <c r="AF35" s="3" t="str">
        <f t="shared" si="5"/>
        <v/>
      </c>
      <c r="AG35" s="16"/>
      <c r="AH35" s="16" t="str">
        <f>IF(B35&lt;&gt;"Sensor Snapshot","",IF(ISNUMBER(AG35),IF(AG35&lt;0,"",IF(AG35&gt;10,AG35/'02_Parameters'!$B$17,AG35)),""))</f>
        <v/>
      </c>
      <c r="AI35" t="str">
        <f t="shared" si="6"/>
        <v/>
      </c>
      <c r="AJ35" t="str">
        <f t="shared" si="7"/>
        <v/>
      </c>
      <c r="AK35" t="str">
        <f t="shared" si="8"/>
        <v/>
      </c>
      <c r="AM35" t="str">
        <f t="shared" si="9"/>
        <v/>
      </c>
      <c r="AN35" t="str">
        <f>IF(B35&lt;&gt;"Sensor Snapshot","",--(N35&gt;='02_Parameters'!$B$13))</f>
        <v/>
      </c>
      <c r="AO35" t="str">
        <f>IF(B35&lt;&gt;"Sensor Snapshot","",--(AND(L35="PUMPING",ISNUMBER(AH35),AH35&lt;='02_Parameters'!$B$10)))</f>
        <v/>
      </c>
      <c r="AP35" s="16"/>
      <c r="AQ35" s="16" t="str">
        <f t="shared" si="10"/>
        <v/>
      </c>
      <c r="AR35" s="16" t="str">
        <f t="shared" si="11"/>
        <v/>
      </c>
      <c r="AW35" s="3" t="s">
        <v>246</v>
      </c>
      <c r="AX35" s="3" t="str">
        <f t="shared" si="12"/>
        <v/>
      </c>
      <c r="AY35" s="3" t="str">
        <f t="shared" si="13"/>
        <v/>
      </c>
      <c r="AZ35" s="3" t="s">
        <v>252</v>
      </c>
      <c r="BA35" s="3"/>
    </row>
    <row r="36" spans="1:53" ht="27.6">
      <c r="A36" t="s">
        <v>308</v>
      </c>
      <c r="B36" t="s">
        <v>242</v>
      </c>
      <c r="C36" s="14">
        <v>60327</v>
      </c>
      <c r="D36" s="15">
        <f t="shared" si="0"/>
        <v>60.326999999999998</v>
      </c>
      <c r="E36" t="s">
        <v>232</v>
      </c>
      <c r="G36" t="s">
        <v>91</v>
      </c>
      <c r="H36" t="s">
        <v>249</v>
      </c>
      <c r="I36" s="3" t="s">
        <v>254</v>
      </c>
      <c r="J36" s="3" t="s">
        <v>255</v>
      </c>
      <c r="M36" t="str">
        <f t="shared" si="1"/>
        <v/>
      </c>
      <c r="O36" s="16"/>
      <c r="P36" s="16" t="str">
        <f>IF(AND(ISNUMBER(O36),O36&lt;&gt;-1,O36&gt;='02_Parameters'!$B$18,O36&lt;='02_Parameters'!$B$19),O36,"")</f>
        <v/>
      </c>
      <c r="Q36" s="16"/>
      <c r="R36" t="str">
        <f>IF(B36&lt;&gt;"Sensor Snapshot","",IF(O36="","Missing",IF(O36=-1,"Sensor failure sentinel (-1)",IF(OR(O36&lt;'02_Parameters'!$B$18,O36&gt;'02_Parameters'!$B$19),"Out of accepted range","Valid"))))</f>
        <v/>
      </c>
      <c r="S36" s="16"/>
      <c r="T36" s="16" t="str">
        <f>IF(AND(ISNUMBER(S36),S36&lt;&gt;-1,S36&gt;='02_Parameters'!$B$20,S36&lt;='02_Parameters'!$B$21),S36,"")</f>
        <v/>
      </c>
      <c r="U36" s="16"/>
      <c r="V36" t="str">
        <f>IF(B36&lt;&gt;"Sensor Snapshot","",IF(S36="","Missing",IF(S36=-1,"Sensor failure sentinel (-1)",IF(OR(S36&lt;'02_Parameters'!$B$20,S36&gt;'02_Parameters'!$B$21),"Out of accepted range","Valid"))))</f>
        <v/>
      </c>
      <c r="W36" s="16"/>
      <c r="X36" s="16" t="str">
        <f t="shared" si="2"/>
        <v/>
      </c>
      <c r="Y36" t="str">
        <f t="shared" si="3"/>
        <v/>
      </c>
      <c r="Z36" s="16"/>
      <c r="AB36" t="str">
        <f>IF(B36&lt;&gt;"Sensor Snapshot","",IF(ISNUMBER(AA36),--(AA36&lt;&gt;0),IF(ISNUMBER(Z36),--(Z36&lt;'02_Parameters'!$B$15),"")))</f>
        <v/>
      </c>
      <c r="AC36" t="str">
        <f>IF(B36&lt;&gt;"Sensor Snapshot","",IF(ISNUMBER(X36),--(X36&gt;='02_Parameters'!$B$16),""))</f>
        <v/>
      </c>
      <c r="AD36">
        <v>0</v>
      </c>
      <c r="AE36" t="str">
        <f t="shared" si="4"/>
        <v/>
      </c>
      <c r="AF36" s="3" t="str">
        <f t="shared" si="5"/>
        <v/>
      </c>
      <c r="AG36" s="16"/>
      <c r="AH36" s="16" t="str">
        <f>IF(B36&lt;&gt;"Sensor Snapshot","",IF(ISNUMBER(AG36),IF(AG36&lt;0,"",IF(AG36&gt;10,AG36/'02_Parameters'!$B$17,AG36)),""))</f>
        <v/>
      </c>
      <c r="AI36" t="str">
        <f t="shared" si="6"/>
        <v/>
      </c>
      <c r="AJ36" t="str">
        <f t="shared" si="7"/>
        <v/>
      </c>
      <c r="AK36" t="str">
        <f t="shared" si="8"/>
        <v/>
      </c>
      <c r="AM36" t="str">
        <f t="shared" si="9"/>
        <v/>
      </c>
      <c r="AN36" t="str">
        <f>IF(B36&lt;&gt;"Sensor Snapshot","",--(N36&gt;='02_Parameters'!$B$13))</f>
        <v/>
      </c>
      <c r="AO36" t="str">
        <f>IF(B36&lt;&gt;"Sensor Snapshot","",--(AND(L36="PUMPING",ISNUMBER(AH36),AH36&lt;='02_Parameters'!$B$10)))</f>
        <v/>
      </c>
      <c r="AP36" s="16"/>
      <c r="AQ36" s="16" t="str">
        <f t="shared" si="10"/>
        <v/>
      </c>
      <c r="AR36" s="16" t="str">
        <f t="shared" si="11"/>
        <v/>
      </c>
      <c r="AW36" s="3" t="s">
        <v>246</v>
      </c>
      <c r="AX36" s="3" t="str">
        <f t="shared" si="12"/>
        <v/>
      </c>
      <c r="AY36" s="3" t="str">
        <f t="shared" si="13"/>
        <v/>
      </c>
      <c r="AZ36" s="3" t="s">
        <v>247</v>
      </c>
      <c r="BA36" s="3"/>
    </row>
    <row r="37" spans="1:53" ht="27.6">
      <c r="A37" t="s">
        <v>309</v>
      </c>
      <c r="B37" t="s">
        <v>242</v>
      </c>
      <c r="C37" s="14">
        <v>70537</v>
      </c>
      <c r="D37" s="15">
        <f t="shared" si="0"/>
        <v>70.537000000000006</v>
      </c>
      <c r="E37" t="s">
        <v>232</v>
      </c>
      <c r="G37" t="s">
        <v>91</v>
      </c>
      <c r="H37" t="s">
        <v>249</v>
      </c>
      <c r="I37" s="3" t="s">
        <v>310</v>
      </c>
      <c r="J37" s="3" t="s">
        <v>311</v>
      </c>
      <c r="M37" t="str">
        <f t="shared" si="1"/>
        <v/>
      </c>
      <c r="O37" s="16"/>
      <c r="P37" s="16" t="str">
        <f>IF(AND(ISNUMBER(O37),O37&lt;&gt;-1,O37&gt;='02_Parameters'!$B$18,O37&lt;='02_Parameters'!$B$19),O37,"")</f>
        <v/>
      </c>
      <c r="Q37" s="16"/>
      <c r="R37" t="str">
        <f>IF(B37&lt;&gt;"Sensor Snapshot","",IF(O37="","Missing",IF(O37=-1,"Sensor failure sentinel (-1)",IF(OR(O37&lt;'02_Parameters'!$B$18,O37&gt;'02_Parameters'!$B$19),"Out of accepted range","Valid"))))</f>
        <v/>
      </c>
      <c r="S37" s="16"/>
      <c r="T37" s="16" t="str">
        <f>IF(AND(ISNUMBER(S37),S37&lt;&gt;-1,S37&gt;='02_Parameters'!$B$20,S37&lt;='02_Parameters'!$B$21),S37,"")</f>
        <v/>
      </c>
      <c r="U37" s="16"/>
      <c r="V37" t="str">
        <f>IF(B37&lt;&gt;"Sensor Snapshot","",IF(S37="","Missing",IF(S37=-1,"Sensor failure sentinel (-1)",IF(OR(S37&lt;'02_Parameters'!$B$20,S37&gt;'02_Parameters'!$B$21),"Out of accepted range","Valid"))))</f>
        <v/>
      </c>
      <c r="W37" s="16"/>
      <c r="X37" s="16" t="str">
        <f t="shared" si="2"/>
        <v/>
      </c>
      <c r="Y37" t="str">
        <f t="shared" si="3"/>
        <v/>
      </c>
      <c r="Z37" s="16"/>
      <c r="AB37" t="str">
        <f>IF(B37&lt;&gt;"Sensor Snapshot","",IF(ISNUMBER(AA37),--(AA37&lt;&gt;0),IF(ISNUMBER(Z37),--(Z37&lt;'02_Parameters'!$B$15),"")))</f>
        <v/>
      </c>
      <c r="AC37" t="str">
        <f>IF(B37&lt;&gt;"Sensor Snapshot","",IF(ISNUMBER(X37),--(X37&gt;='02_Parameters'!$B$16),""))</f>
        <v/>
      </c>
      <c r="AD37">
        <v>0</v>
      </c>
      <c r="AE37" t="str">
        <f t="shared" si="4"/>
        <v/>
      </c>
      <c r="AF37" s="3" t="str">
        <f t="shared" si="5"/>
        <v/>
      </c>
      <c r="AG37" s="16"/>
      <c r="AH37" s="16" t="str">
        <f>IF(B37&lt;&gt;"Sensor Snapshot","",IF(ISNUMBER(AG37),IF(AG37&lt;0,"",IF(AG37&gt;10,AG37/'02_Parameters'!$B$17,AG37)),""))</f>
        <v/>
      </c>
      <c r="AI37" t="str">
        <f t="shared" si="6"/>
        <v/>
      </c>
      <c r="AJ37" t="str">
        <f t="shared" si="7"/>
        <v/>
      </c>
      <c r="AK37" t="str">
        <f t="shared" si="8"/>
        <v/>
      </c>
      <c r="AM37" t="str">
        <f t="shared" si="9"/>
        <v/>
      </c>
      <c r="AN37" t="str">
        <f>IF(B37&lt;&gt;"Sensor Snapshot","",--(N37&gt;='02_Parameters'!$B$13))</f>
        <v/>
      </c>
      <c r="AO37" t="str">
        <f>IF(B37&lt;&gt;"Sensor Snapshot","",--(AND(L37="PUMPING",ISNUMBER(AH37),AH37&lt;='02_Parameters'!$B$10)))</f>
        <v/>
      </c>
      <c r="AP37" s="16"/>
      <c r="AQ37" s="16" t="str">
        <f t="shared" si="10"/>
        <v/>
      </c>
      <c r="AR37" s="16" t="str">
        <f t="shared" si="11"/>
        <v/>
      </c>
      <c r="AW37" s="3" t="s">
        <v>246</v>
      </c>
      <c r="AX37" s="3" t="str">
        <f t="shared" si="12"/>
        <v/>
      </c>
      <c r="AY37" s="3" t="str">
        <f t="shared" si="13"/>
        <v/>
      </c>
      <c r="AZ37" s="3" t="s">
        <v>247</v>
      </c>
      <c r="BA37" s="3"/>
    </row>
    <row r="38" spans="1:53" ht="27.6">
      <c r="A38" t="s">
        <v>312</v>
      </c>
      <c r="B38" t="s">
        <v>242</v>
      </c>
      <c r="C38" s="14">
        <v>70549</v>
      </c>
      <c r="D38" s="15">
        <f t="shared" si="0"/>
        <v>70.549000000000007</v>
      </c>
      <c r="E38" t="s">
        <v>232</v>
      </c>
      <c r="G38" t="s">
        <v>91</v>
      </c>
      <c r="H38" t="s">
        <v>249</v>
      </c>
      <c r="I38" s="3" t="s">
        <v>313</v>
      </c>
      <c r="J38" s="3" t="s">
        <v>314</v>
      </c>
      <c r="M38" t="str">
        <f t="shared" si="1"/>
        <v/>
      </c>
      <c r="O38" s="16"/>
      <c r="P38" s="16" t="str">
        <f>IF(AND(ISNUMBER(O38),O38&lt;&gt;-1,O38&gt;='02_Parameters'!$B$18,O38&lt;='02_Parameters'!$B$19),O38,"")</f>
        <v/>
      </c>
      <c r="Q38" s="16"/>
      <c r="R38" t="str">
        <f>IF(B38&lt;&gt;"Sensor Snapshot","",IF(O38="","Missing",IF(O38=-1,"Sensor failure sentinel (-1)",IF(OR(O38&lt;'02_Parameters'!$B$18,O38&gt;'02_Parameters'!$B$19),"Out of accepted range","Valid"))))</f>
        <v/>
      </c>
      <c r="S38" s="16"/>
      <c r="T38" s="16" t="str">
        <f>IF(AND(ISNUMBER(S38),S38&lt;&gt;-1,S38&gt;='02_Parameters'!$B$20,S38&lt;='02_Parameters'!$B$21),S38,"")</f>
        <v/>
      </c>
      <c r="U38" s="16"/>
      <c r="V38" t="str">
        <f>IF(B38&lt;&gt;"Sensor Snapshot","",IF(S38="","Missing",IF(S38=-1,"Sensor failure sentinel (-1)",IF(OR(S38&lt;'02_Parameters'!$B$20,S38&gt;'02_Parameters'!$B$21),"Out of accepted range","Valid"))))</f>
        <v/>
      </c>
      <c r="W38" s="16"/>
      <c r="X38" s="16" t="str">
        <f t="shared" si="2"/>
        <v/>
      </c>
      <c r="Y38" t="str">
        <f t="shared" si="3"/>
        <v/>
      </c>
      <c r="Z38" s="16"/>
      <c r="AB38" t="str">
        <f>IF(B38&lt;&gt;"Sensor Snapshot","",IF(ISNUMBER(AA38),--(AA38&lt;&gt;0),IF(ISNUMBER(Z38),--(Z38&lt;'02_Parameters'!$B$15),"")))</f>
        <v/>
      </c>
      <c r="AC38" t="str">
        <f>IF(B38&lt;&gt;"Sensor Snapshot","",IF(ISNUMBER(X38),--(X38&gt;='02_Parameters'!$B$16),""))</f>
        <v/>
      </c>
      <c r="AD38">
        <v>0</v>
      </c>
      <c r="AE38" t="str">
        <f t="shared" si="4"/>
        <v/>
      </c>
      <c r="AF38" s="3" t="str">
        <f t="shared" si="5"/>
        <v/>
      </c>
      <c r="AG38" s="16"/>
      <c r="AH38" s="16" t="str">
        <f>IF(B38&lt;&gt;"Sensor Snapshot","",IF(ISNUMBER(AG38),IF(AG38&lt;0,"",IF(AG38&gt;10,AG38/'02_Parameters'!$B$17,AG38)),""))</f>
        <v/>
      </c>
      <c r="AI38" t="str">
        <f t="shared" si="6"/>
        <v/>
      </c>
      <c r="AJ38" t="str">
        <f t="shared" si="7"/>
        <v/>
      </c>
      <c r="AK38" t="str">
        <f t="shared" si="8"/>
        <v/>
      </c>
      <c r="AM38" t="str">
        <f t="shared" si="9"/>
        <v/>
      </c>
      <c r="AN38" t="str">
        <f>IF(B38&lt;&gt;"Sensor Snapshot","",--(N38&gt;='02_Parameters'!$B$13))</f>
        <v/>
      </c>
      <c r="AO38" t="str">
        <f>IF(B38&lt;&gt;"Sensor Snapshot","",--(AND(L38="PUMPING",ISNUMBER(AH38),AH38&lt;='02_Parameters'!$B$10)))</f>
        <v/>
      </c>
      <c r="AP38" s="16"/>
      <c r="AQ38" s="16" t="str">
        <f t="shared" si="10"/>
        <v/>
      </c>
      <c r="AR38" s="16" t="str">
        <f t="shared" si="11"/>
        <v/>
      </c>
      <c r="AW38" s="3" t="s">
        <v>246</v>
      </c>
      <c r="AX38" s="3" t="str">
        <f t="shared" si="12"/>
        <v/>
      </c>
      <c r="AY38" s="3" t="str">
        <f t="shared" si="13"/>
        <v/>
      </c>
      <c r="AZ38" s="3" t="s">
        <v>247</v>
      </c>
      <c r="BA38" s="3"/>
    </row>
    <row r="39" spans="1:53" ht="27.6">
      <c r="A39" t="s">
        <v>315</v>
      </c>
      <c r="B39" t="s">
        <v>242</v>
      </c>
      <c r="C39" s="14">
        <v>75574</v>
      </c>
      <c r="D39" s="15">
        <f t="shared" si="0"/>
        <v>75.573999999999998</v>
      </c>
      <c r="E39" t="s">
        <v>232</v>
      </c>
      <c r="G39" t="s">
        <v>91</v>
      </c>
      <c r="H39" t="s">
        <v>249</v>
      </c>
      <c r="I39" s="3" t="s">
        <v>316</v>
      </c>
      <c r="J39" s="3" t="s">
        <v>317</v>
      </c>
      <c r="M39" t="str">
        <f t="shared" si="1"/>
        <v/>
      </c>
      <c r="O39" s="16"/>
      <c r="P39" s="16" t="str">
        <f>IF(AND(ISNUMBER(O39),O39&lt;&gt;-1,O39&gt;='02_Parameters'!$B$18,O39&lt;='02_Parameters'!$B$19),O39,"")</f>
        <v/>
      </c>
      <c r="Q39" s="16"/>
      <c r="R39" t="str">
        <f>IF(B39&lt;&gt;"Sensor Snapshot","",IF(O39="","Missing",IF(O39=-1,"Sensor failure sentinel (-1)",IF(OR(O39&lt;'02_Parameters'!$B$18,O39&gt;'02_Parameters'!$B$19),"Out of accepted range","Valid"))))</f>
        <v/>
      </c>
      <c r="S39" s="16"/>
      <c r="T39" s="16" t="str">
        <f>IF(AND(ISNUMBER(S39),S39&lt;&gt;-1,S39&gt;='02_Parameters'!$B$20,S39&lt;='02_Parameters'!$B$21),S39,"")</f>
        <v/>
      </c>
      <c r="U39" s="16"/>
      <c r="V39" t="str">
        <f>IF(B39&lt;&gt;"Sensor Snapshot","",IF(S39="","Missing",IF(S39=-1,"Sensor failure sentinel (-1)",IF(OR(S39&lt;'02_Parameters'!$B$20,S39&gt;'02_Parameters'!$B$21),"Out of accepted range","Valid"))))</f>
        <v/>
      </c>
      <c r="W39" s="16"/>
      <c r="X39" s="16" t="str">
        <f t="shared" si="2"/>
        <v/>
      </c>
      <c r="Y39" t="str">
        <f t="shared" si="3"/>
        <v/>
      </c>
      <c r="Z39" s="16"/>
      <c r="AB39" t="str">
        <f>IF(B39&lt;&gt;"Sensor Snapshot","",IF(ISNUMBER(AA39),--(AA39&lt;&gt;0),IF(ISNUMBER(Z39),--(Z39&lt;'02_Parameters'!$B$15),"")))</f>
        <v/>
      </c>
      <c r="AC39" t="str">
        <f>IF(B39&lt;&gt;"Sensor Snapshot","",IF(ISNUMBER(X39),--(X39&gt;='02_Parameters'!$B$16),""))</f>
        <v/>
      </c>
      <c r="AD39">
        <v>0</v>
      </c>
      <c r="AE39" t="str">
        <f t="shared" si="4"/>
        <v/>
      </c>
      <c r="AF39" s="3" t="str">
        <f t="shared" si="5"/>
        <v/>
      </c>
      <c r="AG39" s="16"/>
      <c r="AH39" s="16" t="str">
        <f>IF(B39&lt;&gt;"Sensor Snapshot","",IF(ISNUMBER(AG39),IF(AG39&lt;0,"",IF(AG39&gt;10,AG39/'02_Parameters'!$B$17,AG39)),""))</f>
        <v/>
      </c>
      <c r="AI39" t="str">
        <f t="shared" si="6"/>
        <v/>
      </c>
      <c r="AJ39" t="str">
        <f t="shared" si="7"/>
        <v/>
      </c>
      <c r="AK39" t="str">
        <f t="shared" si="8"/>
        <v/>
      </c>
      <c r="AM39" t="str">
        <f t="shared" si="9"/>
        <v/>
      </c>
      <c r="AN39" t="str">
        <f>IF(B39&lt;&gt;"Sensor Snapshot","",--(N39&gt;='02_Parameters'!$B$13))</f>
        <v/>
      </c>
      <c r="AO39" t="str">
        <f>IF(B39&lt;&gt;"Sensor Snapshot","",--(AND(L39="PUMPING",ISNUMBER(AH39),AH39&lt;='02_Parameters'!$B$10)))</f>
        <v/>
      </c>
      <c r="AP39" s="16"/>
      <c r="AQ39" s="16" t="str">
        <f t="shared" si="10"/>
        <v/>
      </c>
      <c r="AR39" s="16" t="str">
        <f t="shared" si="11"/>
        <v/>
      </c>
      <c r="AW39" s="3" t="s">
        <v>246</v>
      </c>
      <c r="AX39" s="3" t="str">
        <f t="shared" si="12"/>
        <v/>
      </c>
      <c r="AY39" s="3" t="str">
        <f t="shared" si="13"/>
        <v/>
      </c>
      <c r="AZ39" s="3" t="s">
        <v>247</v>
      </c>
      <c r="BA39" s="3"/>
    </row>
    <row r="40" spans="1:53" ht="27.6">
      <c r="A40" t="s">
        <v>318</v>
      </c>
      <c r="B40" t="s">
        <v>231</v>
      </c>
      <c r="C40" s="14">
        <v>75777</v>
      </c>
      <c r="D40" s="15">
        <f t="shared" si="0"/>
        <v>75.777000000000001</v>
      </c>
      <c r="E40" t="s">
        <v>232</v>
      </c>
      <c r="F40" t="s">
        <v>15</v>
      </c>
      <c r="G40" t="s">
        <v>234</v>
      </c>
      <c r="H40" t="s">
        <v>235</v>
      </c>
      <c r="I40" s="3"/>
      <c r="J40" s="3"/>
      <c r="M40" t="str">
        <f t="shared" si="1"/>
        <v/>
      </c>
      <c r="O40" s="16">
        <v>23.2</v>
      </c>
      <c r="P40" s="16">
        <f>IF(AND(ISNUMBER(O40),O40&lt;&gt;-1,O40&gt;='02_Parameters'!$B$18,O40&lt;='02_Parameters'!$B$19),O40,"")</f>
        <v>23.2</v>
      </c>
      <c r="Q40" s="16">
        <v>23.2</v>
      </c>
      <c r="R40" t="str">
        <f>IF(B40&lt;&gt;"Sensor Snapshot","",IF(O40="","Missing",IF(O40=-1,"Sensor failure sentinel (-1)",IF(OR(O40&lt;'02_Parameters'!$B$18,O40&gt;'02_Parameters'!$B$19),"Out of accepted range","Valid"))))</f>
        <v>Valid</v>
      </c>
      <c r="S40" s="16">
        <v>86.4</v>
      </c>
      <c r="T40" s="16">
        <f>IF(AND(ISNUMBER(S40),S40&lt;&gt;-1,S40&gt;='02_Parameters'!$B$20,S40&lt;='02_Parameters'!$B$21),S40,"")</f>
        <v>86.4</v>
      </c>
      <c r="U40" s="16">
        <v>86.4</v>
      </c>
      <c r="V40" t="str">
        <f>IF(B40&lt;&gt;"Sensor Snapshot","",IF(S40="","Missing",IF(S40=-1,"Sensor failure sentinel (-1)",IF(OR(S40&lt;'02_Parameters'!$B$20,S40&gt;'02_Parameters'!$B$21),"Out of accepted range","Valid"))))</f>
        <v>Valid</v>
      </c>
      <c r="W40" s="16">
        <v>-1.5713999999999999</v>
      </c>
      <c r="X40" s="16">
        <f t="shared" si="2"/>
        <v>1.5713999999999999</v>
      </c>
      <c r="Y40" t="str">
        <f t="shared" si="3"/>
        <v>Sign corrected to positive</v>
      </c>
      <c r="Z40" s="16">
        <v>820</v>
      </c>
      <c r="AB40">
        <f>IF(B40&lt;&gt;"Sensor Snapshot","",IF(ISNUMBER(AA40),--(AA40&lt;&gt;0),IF(ISNUMBER(Z40),--(Z40&lt;'02_Parameters'!$B$15),"")))</f>
        <v>0</v>
      </c>
      <c r="AC40">
        <f>IF(B40&lt;&gt;"Sensor Snapshot","",IF(ISNUMBER(X40),--(X40&gt;='02_Parameters'!$B$16),""))</f>
        <v>0</v>
      </c>
      <c r="AD40">
        <v>0</v>
      </c>
      <c r="AE40">
        <f t="shared" si="4"/>
        <v>0</v>
      </c>
      <c r="AF40" s="3" t="str">
        <f t="shared" si="5"/>
        <v>No detection</v>
      </c>
      <c r="AG40" s="16">
        <v>0</v>
      </c>
      <c r="AH40" s="16">
        <f>IF(B40&lt;&gt;"Sensor Snapshot","",IF(ISNUMBER(AG40),IF(AG40&lt;0,"",IF(AG40&gt;10,AG40/'02_Parameters'!$B$17,AG40)),""))</f>
        <v>0</v>
      </c>
      <c r="AI40" t="str">
        <f t="shared" si="6"/>
        <v>Valid</v>
      </c>
      <c r="AJ40">
        <f t="shared" si="7"/>
        <v>0</v>
      </c>
      <c r="AK40">
        <f t="shared" si="8"/>
        <v>0</v>
      </c>
      <c r="AM40">
        <f t="shared" si="9"/>
        <v>0</v>
      </c>
      <c r="AN40">
        <f>IF(B40&lt;&gt;"Sensor Snapshot","",--(N40&gt;='02_Parameters'!$B$13))</f>
        <v>0</v>
      </c>
      <c r="AO40">
        <f>IF(B40&lt;&gt;"Sensor Snapshot","",--(AND(L40="PUMPING",ISNUMBER(AH40),AH40&lt;='02_Parameters'!$B$10)))</f>
        <v>0</v>
      </c>
      <c r="AP40" s="16"/>
      <c r="AQ40" s="16" t="str">
        <f t="shared" si="10"/>
        <v/>
      </c>
      <c r="AR40" s="16" t="str">
        <f t="shared" si="11"/>
        <v/>
      </c>
      <c r="AU40" t="s">
        <v>236</v>
      </c>
      <c r="AV40" t="s">
        <v>237</v>
      </c>
      <c r="AW40" s="3" t="s">
        <v>238</v>
      </c>
      <c r="AX40" s="3">
        <f t="shared" si="12"/>
        <v>100</v>
      </c>
      <c r="AY40" s="3" t="str">
        <f t="shared" si="13"/>
        <v>A</v>
      </c>
      <c r="AZ40" s="3" t="s">
        <v>239</v>
      </c>
      <c r="BA40" s="3" t="s">
        <v>240</v>
      </c>
    </row>
    <row r="41" spans="1:53" ht="27.6">
      <c r="A41" t="s">
        <v>319</v>
      </c>
      <c r="B41" t="s">
        <v>242</v>
      </c>
      <c r="C41" s="14">
        <v>75995</v>
      </c>
      <c r="D41" s="15">
        <f t="shared" si="0"/>
        <v>75.995000000000005</v>
      </c>
      <c r="E41" t="s">
        <v>232</v>
      </c>
      <c r="G41" t="s">
        <v>157</v>
      </c>
      <c r="H41" t="s">
        <v>304</v>
      </c>
      <c r="I41" s="3" t="s">
        <v>320</v>
      </c>
      <c r="J41" s="3" t="s">
        <v>321</v>
      </c>
      <c r="M41" t="str">
        <f t="shared" si="1"/>
        <v/>
      </c>
      <c r="O41" s="16"/>
      <c r="P41" s="16" t="str">
        <f>IF(AND(ISNUMBER(O41),O41&lt;&gt;-1,O41&gt;='02_Parameters'!$B$18,O41&lt;='02_Parameters'!$B$19),O41,"")</f>
        <v/>
      </c>
      <c r="Q41" s="16"/>
      <c r="R41" t="str">
        <f>IF(B41&lt;&gt;"Sensor Snapshot","",IF(O41="","Missing",IF(O41=-1,"Sensor failure sentinel (-1)",IF(OR(O41&lt;'02_Parameters'!$B$18,O41&gt;'02_Parameters'!$B$19),"Out of accepted range","Valid"))))</f>
        <v/>
      </c>
      <c r="S41" s="16"/>
      <c r="T41" s="16" t="str">
        <f>IF(AND(ISNUMBER(S41),S41&lt;&gt;-1,S41&gt;='02_Parameters'!$B$20,S41&lt;='02_Parameters'!$B$21),S41,"")</f>
        <v/>
      </c>
      <c r="U41" s="16"/>
      <c r="V41" t="str">
        <f>IF(B41&lt;&gt;"Sensor Snapshot","",IF(S41="","Missing",IF(S41=-1,"Sensor failure sentinel (-1)",IF(OR(S41&lt;'02_Parameters'!$B$20,S41&gt;'02_Parameters'!$B$21),"Out of accepted range","Valid"))))</f>
        <v/>
      </c>
      <c r="W41" s="16"/>
      <c r="X41" s="16" t="str">
        <f t="shared" si="2"/>
        <v/>
      </c>
      <c r="Y41" t="str">
        <f t="shared" si="3"/>
        <v/>
      </c>
      <c r="Z41" s="16"/>
      <c r="AB41" t="str">
        <f>IF(B41&lt;&gt;"Sensor Snapshot","",IF(ISNUMBER(AA41),--(AA41&lt;&gt;0),IF(ISNUMBER(Z41),--(Z41&lt;'02_Parameters'!$B$15),"")))</f>
        <v/>
      </c>
      <c r="AC41" t="str">
        <f>IF(B41&lt;&gt;"Sensor Snapshot","",IF(ISNUMBER(X41),--(X41&gt;='02_Parameters'!$B$16),""))</f>
        <v/>
      </c>
      <c r="AD41">
        <v>0</v>
      </c>
      <c r="AE41" t="str">
        <f t="shared" si="4"/>
        <v/>
      </c>
      <c r="AF41" s="3" t="str">
        <f t="shared" si="5"/>
        <v/>
      </c>
      <c r="AG41" s="16"/>
      <c r="AH41" s="16" t="str">
        <f>IF(B41&lt;&gt;"Sensor Snapshot","",IF(ISNUMBER(AG41),IF(AG41&lt;0,"",IF(AG41&gt;10,AG41/'02_Parameters'!$B$17,AG41)),""))</f>
        <v/>
      </c>
      <c r="AI41" t="str">
        <f t="shared" si="6"/>
        <v/>
      </c>
      <c r="AJ41" t="str">
        <f t="shared" si="7"/>
        <v/>
      </c>
      <c r="AK41" t="str">
        <f t="shared" si="8"/>
        <v/>
      </c>
      <c r="AM41" t="str">
        <f t="shared" si="9"/>
        <v/>
      </c>
      <c r="AN41" t="str">
        <f>IF(B41&lt;&gt;"Sensor Snapshot","",--(N41&gt;='02_Parameters'!$B$13))</f>
        <v/>
      </c>
      <c r="AO41" t="str">
        <f>IF(B41&lt;&gt;"Sensor Snapshot","",--(AND(L41="PUMPING",ISNUMBER(AH41),AH41&lt;='02_Parameters'!$B$10)))</f>
        <v/>
      </c>
      <c r="AP41" s="16"/>
      <c r="AQ41" s="16" t="str">
        <f t="shared" si="10"/>
        <v/>
      </c>
      <c r="AR41" s="16" t="str">
        <f t="shared" si="11"/>
        <v/>
      </c>
      <c r="AW41" s="3" t="s">
        <v>246</v>
      </c>
      <c r="AX41" s="3" t="str">
        <f t="shared" si="12"/>
        <v/>
      </c>
      <c r="AY41" s="3" t="str">
        <f t="shared" si="13"/>
        <v/>
      </c>
      <c r="AZ41" s="3" t="s">
        <v>247</v>
      </c>
      <c r="BA41" s="3"/>
    </row>
    <row r="42" spans="1:53" ht="27.6">
      <c r="A42" t="s">
        <v>322</v>
      </c>
      <c r="B42" t="s">
        <v>242</v>
      </c>
      <c r="C42" s="14">
        <v>76036</v>
      </c>
      <c r="D42" s="15">
        <f t="shared" si="0"/>
        <v>76.036000000000001</v>
      </c>
      <c r="E42" t="s">
        <v>232</v>
      </c>
      <c r="G42" t="s">
        <v>91</v>
      </c>
      <c r="H42" t="s">
        <v>249</v>
      </c>
      <c r="I42" s="3" t="s">
        <v>250</v>
      </c>
      <c r="J42" s="3" t="s">
        <v>251</v>
      </c>
      <c r="M42" t="str">
        <f t="shared" si="1"/>
        <v/>
      </c>
      <c r="O42" s="16"/>
      <c r="P42" s="16" t="str">
        <f>IF(AND(ISNUMBER(O42),O42&lt;&gt;-1,O42&gt;='02_Parameters'!$B$18,O42&lt;='02_Parameters'!$B$19),O42,"")</f>
        <v/>
      </c>
      <c r="Q42" s="16"/>
      <c r="R42" t="str">
        <f>IF(B42&lt;&gt;"Sensor Snapshot","",IF(O42="","Missing",IF(O42=-1,"Sensor failure sentinel (-1)",IF(OR(O42&lt;'02_Parameters'!$B$18,O42&gt;'02_Parameters'!$B$19),"Out of accepted range","Valid"))))</f>
        <v/>
      </c>
      <c r="S42" s="16"/>
      <c r="T42" s="16" t="str">
        <f>IF(AND(ISNUMBER(S42),S42&lt;&gt;-1,S42&gt;='02_Parameters'!$B$20,S42&lt;='02_Parameters'!$B$21),S42,"")</f>
        <v/>
      </c>
      <c r="U42" s="16"/>
      <c r="V42" t="str">
        <f>IF(B42&lt;&gt;"Sensor Snapshot","",IF(S42="","Missing",IF(S42=-1,"Sensor failure sentinel (-1)",IF(OR(S42&lt;'02_Parameters'!$B$20,S42&gt;'02_Parameters'!$B$21),"Out of accepted range","Valid"))))</f>
        <v/>
      </c>
      <c r="W42" s="16"/>
      <c r="X42" s="16" t="str">
        <f t="shared" si="2"/>
        <v/>
      </c>
      <c r="Y42" t="str">
        <f t="shared" si="3"/>
        <v/>
      </c>
      <c r="Z42" s="16"/>
      <c r="AB42" t="str">
        <f>IF(B42&lt;&gt;"Sensor Snapshot","",IF(ISNUMBER(AA42),--(AA42&lt;&gt;0),IF(ISNUMBER(Z42),--(Z42&lt;'02_Parameters'!$B$15),"")))</f>
        <v/>
      </c>
      <c r="AC42" t="str">
        <f>IF(B42&lt;&gt;"Sensor Snapshot","",IF(ISNUMBER(X42),--(X42&gt;='02_Parameters'!$B$16),""))</f>
        <v/>
      </c>
      <c r="AD42">
        <v>0</v>
      </c>
      <c r="AE42" t="str">
        <f t="shared" si="4"/>
        <v/>
      </c>
      <c r="AF42" s="3" t="str">
        <f t="shared" si="5"/>
        <v/>
      </c>
      <c r="AG42" s="16"/>
      <c r="AH42" s="16" t="str">
        <f>IF(B42&lt;&gt;"Sensor Snapshot","",IF(ISNUMBER(AG42),IF(AG42&lt;0,"",IF(AG42&gt;10,AG42/'02_Parameters'!$B$17,AG42)),""))</f>
        <v/>
      </c>
      <c r="AI42" t="str">
        <f t="shared" si="6"/>
        <v/>
      </c>
      <c r="AJ42" t="str">
        <f t="shared" si="7"/>
        <v/>
      </c>
      <c r="AK42" t="str">
        <f t="shared" si="8"/>
        <v/>
      </c>
      <c r="AM42" t="str">
        <f t="shared" si="9"/>
        <v/>
      </c>
      <c r="AN42" t="str">
        <f>IF(B42&lt;&gt;"Sensor Snapshot","",--(N42&gt;='02_Parameters'!$B$13))</f>
        <v/>
      </c>
      <c r="AO42" t="str">
        <f>IF(B42&lt;&gt;"Sensor Snapshot","",--(AND(L42="PUMPING",ISNUMBER(AH42),AH42&lt;='02_Parameters'!$B$10)))</f>
        <v/>
      </c>
      <c r="AP42" s="16"/>
      <c r="AQ42" s="16" t="str">
        <f t="shared" si="10"/>
        <v/>
      </c>
      <c r="AR42" s="16" t="str">
        <f t="shared" si="11"/>
        <v/>
      </c>
      <c r="AW42" s="3" t="s">
        <v>246</v>
      </c>
      <c r="AX42" s="3" t="str">
        <f t="shared" si="12"/>
        <v/>
      </c>
      <c r="AY42" s="3" t="str">
        <f t="shared" si="13"/>
        <v/>
      </c>
      <c r="AZ42" s="3" t="s">
        <v>252</v>
      </c>
      <c r="BA42" s="3"/>
    </row>
    <row r="43" spans="1:53" ht="27.6">
      <c r="A43" t="s">
        <v>323</v>
      </c>
      <c r="B43" t="s">
        <v>242</v>
      </c>
      <c r="C43" s="14">
        <v>76106</v>
      </c>
      <c r="D43" s="15">
        <f t="shared" si="0"/>
        <v>76.105999999999995</v>
      </c>
      <c r="E43" t="s">
        <v>232</v>
      </c>
      <c r="G43" t="s">
        <v>91</v>
      </c>
      <c r="H43" t="s">
        <v>249</v>
      </c>
      <c r="I43" s="3" t="s">
        <v>254</v>
      </c>
      <c r="J43" s="3" t="s">
        <v>255</v>
      </c>
      <c r="M43" t="str">
        <f t="shared" si="1"/>
        <v/>
      </c>
      <c r="O43" s="16"/>
      <c r="P43" s="16" t="str">
        <f>IF(AND(ISNUMBER(O43),O43&lt;&gt;-1,O43&gt;='02_Parameters'!$B$18,O43&lt;='02_Parameters'!$B$19),O43,"")</f>
        <v/>
      </c>
      <c r="Q43" s="16"/>
      <c r="R43" t="str">
        <f>IF(B43&lt;&gt;"Sensor Snapshot","",IF(O43="","Missing",IF(O43=-1,"Sensor failure sentinel (-1)",IF(OR(O43&lt;'02_Parameters'!$B$18,O43&gt;'02_Parameters'!$B$19),"Out of accepted range","Valid"))))</f>
        <v/>
      </c>
      <c r="S43" s="16"/>
      <c r="T43" s="16" t="str">
        <f>IF(AND(ISNUMBER(S43),S43&lt;&gt;-1,S43&gt;='02_Parameters'!$B$20,S43&lt;='02_Parameters'!$B$21),S43,"")</f>
        <v/>
      </c>
      <c r="U43" s="16"/>
      <c r="V43" t="str">
        <f>IF(B43&lt;&gt;"Sensor Snapshot","",IF(S43="","Missing",IF(S43=-1,"Sensor failure sentinel (-1)",IF(OR(S43&lt;'02_Parameters'!$B$20,S43&gt;'02_Parameters'!$B$21),"Out of accepted range","Valid"))))</f>
        <v/>
      </c>
      <c r="W43" s="16"/>
      <c r="X43" s="16" t="str">
        <f t="shared" si="2"/>
        <v/>
      </c>
      <c r="Y43" t="str">
        <f t="shared" si="3"/>
        <v/>
      </c>
      <c r="Z43" s="16"/>
      <c r="AB43" t="str">
        <f>IF(B43&lt;&gt;"Sensor Snapshot","",IF(ISNUMBER(AA43),--(AA43&lt;&gt;0),IF(ISNUMBER(Z43),--(Z43&lt;'02_Parameters'!$B$15),"")))</f>
        <v/>
      </c>
      <c r="AC43" t="str">
        <f>IF(B43&lt;&gt;"Sensor Snapshot","",IF(ISNUMBER(X43),--(X43&gt;='02_Parameters'!$B$16),""))</f>
        <v/>
      </c>
      <c r="AD43">
        <v>0</v>
      </c>
      <c r="AE43" t="str">
        <f t="shared" si="4"/>
        <v/>
      </c>
      <c r="AF43" s="3" t="str">
        <f t="shared" si="5"/>
        <v/>
      </c>
      <c r="AG43" s="16"/>
      <c r="AH43" s="16" t="str">
        <f>IF(B43&lt;&gt;"Sensor Snapshot","",IF(ISNUMBER(AG43),IF(AG43&lt;0,"",IF(AG43&gt;10,AG43/'02_Parameters'!$B$17,AG43)),""))</f>
        <v/>
      </c>
      <c r="AI43" t="str">
        <f t="shared" si="6"/>
        <v/>
      </c>
      <c r="AJ43" t="str">
        <f t="shared" si="7"/>
        <v/>
      </c>
      <c r="AK43" t="str">
        <f t="shared" si="8"/>
        <v/>
      </c>
      <c r="AM43" t="str">
        <f t="shared" si="9"/>
        <v/>
      </c>
      <c r="AN43" t="str">
        <f>IF(B43&lt;&gt;"Sensor Snapshot","",--(N43&gt;='02_Parameters'!$B$13))</f>
        <v/>
      </c>
      <c r="AO43" t="str">
        <f>IF(B43&lt;&gt;"Sensor Snapshot","",--(AND(L43="PUMPING",ISNUMBER(AH43),AH43&lt;='02_Parameters'!$B$10)))</f>
        <v/>
      </c>
      <c r="AP43" s="16"/>
      <c r="AQ43" s="16" t="str">
        <f t="shared" si="10"/>
        <v/>
      </c>
      <c r="AR43" s="16" t="str">
        <f t="shared" si="11"/>
        <v/>
      </c>
      <c r="AW43" s="3" t="s">
        <v>246</v>
      </c>
      <c r="AX43" s="3" t="str">
        <f t="shared" si="12"/>
        <v/>
      </c>
      <c r="AY43" s="3" t="str">
        <f t="shared" si="13"/>
        <v/>
      </c>
      <c r="AZ43" s="3" t="s">
        <v>247</v>
      </c>
      <c r="BA43" s="3"/>
    </row>
    <row r="44" spans="1:53" ht="27.6">
      <c r="A44" t="s">
        <v>324</v>
      </c>
      <c r="B44" t="s">
        <v>231</v>
      </c>
      <c r="C44" s="14">
        <v>91314</v>
      </c>
      <c r="D44" s="15">
        <f t="shared" si="0"/>
        <v>91.313999999999993</v>
      </c>
      <c r="E44" t="s">
        <v>232</v>
      </c>
      <c r="F44" t="s">
        <v>18</v>
      </c>
      <c r="G44" t="s">
        <v>234</v>
      </c>
      <c r="H44" t="s">
        <v>235</v>
      </c>
      <c r="I44" s="3"/>
      <c r="J44" s="3"/>
      <c r="M44" t="str">
        <f t="shared" si="1"/>
        <v/>
      </c>
      <c r="O44" s="16">
        <v>23.1</v>
      </c>
      <c r="P44" s="16">
        <f>IF(AND(ISNUMBER(O44),O44&lt;&gt;-1,O44&gt;='02_Parameters'!$B$18,O44&lt;='02_Parameters'!$B$19),O44,"")</f>
        <v>23.1</v>
      </c>
      <c r="Q44" s="16">
        <v>23.1</v>
      </c>
      <c r="R44" t="str">
        <f>IF(B44&lt;&gt;"Sensor Snapshot","",IF(O44="","Missing",IF(O44=-1,"Sensor failure sentinel (-1)",IF(OR(O44&lt;'02_Parameters'!$B$18,O44&gt;'02_Parameters'!$B$19),"Out of accepted range","Valid"))))</f>
        <v>Valid</v>
      </c>
      <c r="S44" s="16">
        <v>69.400000000000006</v>
      </c>
      <c r="T44" s="16">
        <f>IF(AND(ISNUMBER(S44),S44&lt;&gt;-1,S44&gt;='02_Parameters'!$B$20,S44&lt;='02_Parameters'!$B$21),S44,"")</f>
        <v>69.400000000000006</v>
      </c>
      <c r="U44" s="16">
        <v>69.400000000000006</v>
      </c>
      <c r="V44" t="str">
        <f>IF(B44&lt;&gt;"Sensor Snapshot","",IF(S44="","Missing",IF(S44=-1,"Sensor failure sentinel (-1)",IF(OR(S44&lt;'02_Parameters'!$B$20,S44&gt;'02_Parameters'!$B$21),"Out of accepted range","Valid"))))</f>
        <v>Valid</v>
      </c>
      <c r="W44" s="16">
        <v>-1.7095</v>
      </c>
      <c r="X44" s="16">
        <f t="shared" si="2"/>
        <v>1.7095</v>
      </c>
      <c r="Y44" t="str">
        <f t="shared" si="3"/>
        <v>Sign corrected to positive</v>
      </c>
      <c r="Z44" s="16">
        <v>818</v>
      </c>
      <c r="AB44">
        <f>IF(B44&lt;&gt;"Sensor Snapshot","",IF(ISNUMBER(AA44),--(AA44&lt;&gt;0),IF(ISNUMBER(Z44),--(Z44&lt;'02_Parameters'!$B$15),"")))</f>
        <v>0</v>
      </c>
      <c r="AC44">
        <f>IF(B44&lt;&gt;"Sensor Snapshot","",IF(ISNUMBER(X44),--(X44&gt;='02_Parameters'!$B$16),""))</f>
        <v>0</v>
      </c>
      <c r="AD44">
        <v>0</v>
      </c>
      <c r="AE44">
        <f t="shared" si="4"/>
        <v>0</v>
      </c>
      <c r="AF44" s="3" t="str">
        <f t="shared" si="5"/>
        <v>No detection</v>
      </c>
      <c r="AG44" s="16">
        <v>230.24</v>
      </c>
      <c r="AH44" s="16">
        <f>IF(B44&lt;&gt;"Sensor Snapshot","",IF(ISNUMBER(AG44),IF(AG44&lt;0,"",IF(AG44&gt;10,AG44/'02_Parameters'!$B$17,AG44)),""))</f>
        <v>2.3024</v>
      </c>
      <c r="AI44" t="str">
        <f t="shared" si="6"/>
        <v>Normalized from high-scale log</v>
      </c>
      <c r="AJ44">
        <f t="shared" si="7"/>
        <v>0</v>
      </c>
      <c r="AK44">
        <f t="shared" si="8"/>
        <v>0</v>
      </c>
      <c r="AM44">
        <f t="shared" si="9"/>
        <v>0</v>
      </c>
      <c r="AN44">
        <f>IF(B44&lt;&gt;"Sensor Snapshot","",--(N44&gt;='02_Parameters'!$B$13))</f>
        <v>0</v>
      </c>
      <c r="AO44">
        <f>IF(B44&lt;&gt;"Sensor Snapshot","",--(AND(L44="PUMPING",ISNUMBER(AH44),AH44&lt;='02_Parameters'!$B$10)))</f>
        <v>0</v>
      </c>
      <c r="AP44" s="16"/>
      <c r="AQ44" s="16" t="str">
        <f t="shared" si="10"/>
        <v/>
      </c>
      <c r="AR44" s="16" t="str">
        <f t="shared" si="11"/>
        <v/>
      </c>
      <c r="AU44" t="s">
        <v>236</v>
      </c>
      <c r="AV44" t="s">
        <v>237</v>
      </c>
      <c r="AW44" s="3" t="s">
        <v>325</v>
      </c>
      <c r="AX44" s="3">
        <f t="shared" si="12"/>
        <v>100</v>
      </c>
      <c r="AY44" s="3" t="str">
        <f t="shared" si="13"/>
        <v>A</v>
      </c>
      <c r="AZ44" s="3" t="s">
        <v>239</v>
      </c>
      <c r="BA44" s="3" t="s">
        <v>240</v>
      </c>
    </row>
    <row r="45" spans="1:53" ht="27.6">
      <c r="A45" t="s">
        <v>326</v>
      </c>
      <c r="B45" t="s">
        <v>242</v>
      </c>
      <c r="C45" s="14">
        <v>91536</v>
      </c>
      <c r="D45" s="15">
        <f t="shared" si="0"/>
        <v>91.536000000000001</v>
      </c>
      <c r="E45" t="s">
        <v>232</v>
      </c>
      <c r="G45" t="s">
        <v>157</v>
      </c>
      <c r="H45" t="s">
        <v>243</v>
      </c>
      <c r="I45" s="3" t="s">
        <v>259</v>
      </c>
      <c r="J45" s="3" t="s">
        <v>260</v>
      </c>
      <c r="M45" t="str">
        <f t="shared" si="1"/>
        <v/>
      </c>
      <c r="O45" s="16"/>
      <c r="P45" s="16" t="str">
        <f>IF(AND(ISNUMBER(O45),O45&lt;&gt;-1,O45&gt;='02_Parameters'!$B$18,O45&lt;='02_Parameters'!$B$19),O45,"")</f>
        <v/>
      </c>
      <c r="Q45" s="16"/>
      <c r="R45" t="str">
        <f>IF(B45&lt;&gt;"Sensor Snapshot","",IF(O45="","Missing",IF(O45=-1,"Sensor failure sentinel (-1)",IF(OR(O45&lt;'02_Parameters'!$B$18,O45&gt;'02_Parameters'!$B$19),"Out of accepted range","Valid"))))</f>
        <v/>
      </c>
      <c r="S45" s="16"/>
      <c r="T45" s="16" t="str">
        <f>IF(AND(ISNUMBER(S45),S45&lt;&gt;-1,S45&gt;='02_Parameters'!$B$20,S45&lt;='02_Parameters'!$B$21),S45,"")</f>
        <v/>
      </c>
      <c r="U45" s="16"/>
      <c r="V45" t="str">
        <f>IF(B45&lt;&gt;"Sensor Snapshot","",IF(S45="","Missing",IF(S45=-1,"Sensor failure sentinel (-1)",IF(OR(S45&lt;'02_Parameters'!$B$20,S45&gt;'02_Parameters'!$B$21),"Out of accepted range","Valid"))))</f>
        <v/>
      </c>
      <c r="W45" s="16"/>
      <c r="X45" s="16" t="str">
        <f t="shared" si="2"/>
        <v/>
      </c>
      <c r="Y45" t="str">
        <f t="shared" si="3"/>
        <v/>
      </c>
      <c r="Z45" s="16"/>
      <c r="AB45" t="str">
        <f>IF(B45&lt;&gt;"Sensor Snapshot","",IF(ISNUMBER(AA45),--(AA45&lt;&gt;0),IF(ISNUMBER(Z45),--(Z45&lt;'02_Parameters'!$B$15),"")))</f>
        <v/>
      </c>
      <c r="AC45" t="str">
        <f>IF(B45&lt;&gt;"Sensor Snapshot","",IF(ISNUMBER(X45),--(X45&gt;='02_Parameters'!$B$16),""))</f>
        <v/>
      </c>
      <c r="AD45">
        <v>0</v>
      </c>
      <c r="AE45" t="str">
        <f t="shared" si="4"/>
        <v/>
      </c>
      <c r="AF45" s="3" t="str">
        <f t="shared" si="5"/>
        <v/>
      </c>
      <c r="AG45" s="16"/>
      <c r="AH45" s="16" t="str">
        <f>IF(B45&lt;&gt;"Sensor Snapshot","",IF(ISNUMBER(AG45),IF(AG45&lt;0,"",IF(AG45&gt;10,AG45/'02_Parameters'!$B$17,AG45)),""))</f>
        <v/>
      </c>
      <c r="AI45" t="str">
        <f t="shared" si="6"/>
        <v/>
      </c>
      <c r="AJ45" t="str">
        <f t="shared" si="7"/>
        <v/>
      </c>
      <c r="AK45" t="str">
        <f t="shared" si="8"/>
        <v/>
      </c>
      <c r="AL45">
        <v>0</v>
      </c>
      <c r="AM45" t="str">
        <f t="shared" si="9"/>
        <v/>
      </c>
      <c r="AN45" t="str">
        <f>IF(B45&lt;&gt;"Sensor Snapshot","",--(N45&gt;='02_Parameters'!$B$13))</f>
        <v/>
      </c>
      <c r="AO45" t="str">
        <f>IF(B45&lt;&gt;"Sensor Snapshot","",--(AND(L45="PUMPING",ISNUMBER(AH45),AH45&lt;='02_Parameters'!$B$10)))</f>
        <v/>
      </c>
      <c r="AP45" s="16"/>
      <c r="AQ45" s="16" t="str">
        <f t="shared" si="10"/>
        <v/>
      </c>
      <c r="AR45" s="16" t="str">
        <f t="shared" si="11"/>
        <v/>
      </c>
      <c r="AW45" s="3" t="s">
        <v>246</v>
      </c>
      <c r="AX45" s="3" t="str">
        <f t="shared" si="12"/>
        <v/>
      </c>
      <c r="AY45" s="3" t="str">
        <f t="shared" si="13"/>
        <v/>
      </c>
      <c r="AZ45" s="3" t="s">
        <v>247</v>
      </c>
      <c r="BA45" s="3"/>
    </row>
    <row r="46" spans="1:53" ht="27.6">
      <c r="A46" t="s">
        <v>327</v>
      </c>
      <c r="B46" t="s">
        <v>242</v>
      </c>
      <c r="C46" s="14">
        <v>91576</v>
      </c>
      <c r="D46" s="15">
        <f t="shared" si="0"/>
        <v>91.575999999999993</v>
      </c>
      <c r="E46" t="s">
        <v>232</v>
      </c>
      <c r="G46" t="s">
        <v>91</v>
      </c>
      <c r="H46" t="s">
        <v>249</v>
      </c>
      <c r="I46" s="3" t="s">
        <v>250</v>
      </c>
      <c r="J46" s="3" t="s">
        <v>251</v>
      </c>
      <c r="M46" t="str">
        <f t="shared" si="1"/>
        <v/>
      </c>
      <c r="O46" s="16"/>
      <c r="P46" s="16" t="str">
        <f>IF(AND(ISNUMBER(O46),O46&lt;&gt;-1,O46&gt;='02_Parameters'!$B$18,O46&lt;='02_Parameters'!$B$19),O46,"")</f>
        <v/>
      </c>
      <c r="Q46" s="16"/>
      <c r="R46" t="str">
        <f>IF(B46&lt;&gt;"Sensor Snapshot","",IF(O46="","Missing",IF(O46=-1,"Sensor failure sentinel (-1)",IF(OR(O46&lt;'02_Parameters'!$B$18,O46&gt;'02_Parameters'!$B$19),"Out of accepted range","Valid"))))</f>
        <v/>
      </c>
      <c r="S46" s="16"/>
      <c r="T46" s="16" t="str">
        <f>IF(AND(ISNUMBER(S46),S46&lt;&gt;-1,S46&gt;='02_Parameters'!$B$20,S46&lt;='02_Parameters'!$B$21),S46,"")</f>
        <v/>
      </c>
      <c r="U46" s="16"/>
      <c r="V46" t="str">
        <f>IF(B46&lt;&gt;"Sensor Snapshot","",IF(S46="","Missing",IF(S46=-1,"Sensor failure sentinel (-1)",IF(OR(S46&lt;'02_Parameters'!$B$20,S46&gt;'02_Parameters'!$B$21),"Out of accepted range","Valid"))))</f>
        <v/>
      </c>
      <c r="W46" s="16"/>
      <c r="X46" s="16" t="str">
        <f t="shared" si="2"/>
        <v/>
      </c>
      <c r="Y46" t="str">
        <f t="shared" si="3"/>
        <v/>
      </c>
      <c r="Z46" s="16"/>
      <c r="AB46" t="str">
        <f>IF(B46&lt;&gt;"Sensor Snapshot","",IF(ISNUMBER(AA46),--(AA46&lt;&gt;0),IF(ISNUMBER(Z46),--(Z46&lt;'02_Parameters'!$B$15),"")))</f>
        <v/>
      </c>
      <c r="AC46" t="str">
        <f>IF(B46&lt;&gt;"Sensor Snapshot","",IF(ISNUMBER(X46),--(X46&gt;='02_Parameters'!$B$16),""))</f>
        <v/>
      </c>
      <c r="AD46">
        <v>0</v>
      </c>
      <c r="AE46" t="str">
        <f t="shared" si="4"/>
        <v/>
      </c>
      <c r="AF46" s="3" t="str">
        <f t="shared" si="5"/>
        <v/>
      </c>
      <c r="AG46" s="16"/>
      <c r="AH46" s="16" t="str">
        <f>IF(B46&lt;&gt;"Sensor Snapshot","",IF(ISNUMBER(AG46),IF(AG46&lt;0,"",IF(AG46&gt;10,AG46/'02_Parameters'!$B$17,AG46)),""))</f>
        <v/>
      </c>
      <c r="AI46" t="str">
        <f t="shared" si="6"/>
        <v/>
      </c>
      <c r="AJ46" t="str">
        <f t="shared" si="7"/>
        <v/>
      </c>
      <c r="AK46" t="str">
        <f t="shared" si="8"/>
        <v/>
      </c>
      <c r="AM46" t="str">
        <f t="shared" si="9"/>
        <v/>
      </c>
      <c r="AN46" t="str">
        <f>IF(B46&lt;&gt;"Sensor Snapshot","",--(N46&gt;='02_Parameters'!$B$13))</f>
        <v/>
      </c>
      <c r="AO46" t="str">
        <f>IF(B46&lt;&gt;"Sensor Snapshot","",--(AND(L46="PUMPING",ISNUMBER(AH46),AH46&lt;='02_Parameters'!$B$10)))</f>
        <v/>
      </c>
      <c r="AP46" s="16"/>
      <c r="AQ46" s="16" t="str">
        <f t="shared" si="10"/>
        <v/>
      </c>
      <c r="AR46" s="16" t="str">
        <f t="shared" si="11"/>
        <v/>
      </c>
      <c r="AW46" s="3" t="s">
        <v>246</v>
      </c>
      <c r="AX46" s="3" t="str">
        <f t="shared" si="12"/>
        <v/>
      </c>
      <c r="AY46" s="3" t="str">
        <f t="shared" si="13"/>
        <v/>
      </c>
      <c r="AZ46" s="3" t="s">
        <v>252</v>
      </c>
      <c r="BA46" s="3"/>
    </row>
    <row r="47" spans="1:53" ht="27.6">
      <c r="A47" t="s">
        <v>328</v>
      </c>
      <c r="B47" t="s">
        <v>242</v>
      </c>
      <c r="C47" s="14">
        <v>91645</v>
      </c>
      <c r="D47" s="15">
        <f t="shared" si="0"/>
        <v>91.644999999999996</v>
      </c>
      <c r="E47" t="s">
        <v>232</v>
      </c>
      <c r="G47" t="s">
        <v>91</v>
      </c>
      <c r="H47" t="s">
        <v>249</v>
      </c>
      <c r="I47" s="3" t="s">
        <v>254</v>
      </c>
      <c r="J47" s="3" t="s">
        <v>255</v>
      </c>
      <c r="M47" t="str">
        <f t="shared" si="1"/>
        <v/>
      </c>
      <c r="O47" s="16"/>
      <c r="P47" s="16" t="str">
        <f>IF(AND(ISNUMBER(O47),O47&lt;&gt;-1,O47&gt;='02_Parameters'!$B$18,O47&lt;='02_Parameters'!$B$19),O47,"")</f>
        <v/>
      </c>
      <c r="Q47" s="16"/>
      <c r="R47" t="str">
        <f>IF(B47&lt;&gt;"Sensor Snapshot","",IF(O47="","Missing",IF(O47=-1,"Sensor failure sentinel (-1)",IF(OR(O47&lt;'02_Parameters'!$B$18,O47&gt;'02_Parameters'!$B$19),"Out of accepted range","Valid"))))</f>
        <v/>
      </c>
      <c r="S47" s="16"/>
      <c r="T47" s="16" t="str">
        <f>IF(AND(ISNUMBER(S47),S47&lt;&gt;-1,S47&gt;='02_Parameters'!$B$20,S47&lt;='02_Parameters'!$B$21),S47,"")</f>
        <v/>
      </c>
      <c r="U47" s="16"/>
      <c r="V47" t="str">
        <f>IF(B47&lt;&gt;"Sensor Snapshot","",IF(S47="","Missing",IF(S47=-1,"Sensor failure sentinel (-1)",IF(OR(S47&lt;'02_Parameters'!$B$20,S47&gt;'02_Parameters'!$B$21),"Out of accepted range","Valid"))))</f>
        <v/>
      </c>
      <c r="W47" s="16"/>
      <c r="X47" s="16" t="str">
        <f t="shared" si="2"/>
        <v/>
      </c>
      <c r="Y47" t="str">
        <f t="shared" si="3"/>
        <v/>
      </c>
      <c r="Z47" s="16"/>
      <c r="AB47" t="str">
        <f>IF(B47&lt;&gt;"Sensor Snapshot","",IF(ISNUMBER(AA47),--(AA47&lt;&gt;0),IF(ISNUMBER(Z47),--(Z47&lt;'02_Parameters'!$B$15),"")))</f>
        <v/>
      </c>
      <c r="AC47" t="str">
        <f>IF(B47&lt;&gt;"Sensor Snapshot","",IF(ISNUMBER(X47),--(X47&gt;='02_Parameters'!$B$16),""))</f>
        <v/>
      </c>
      <c r="AD47">
        <v>0</v>
      </c>
      <c r="AE47" t="str">
        <f t="shared" si="4"/>
        <v/>
      </c>
      <c r="AF47" s="3" t="str">
        <f t="shared" si="5"/>
        <v/>
      </c>
      <c r="AG47" s="16"/>
      <c r="AH47" s="16" t="str">
        <f>IF(B47&lt;&gt;"Sensor Snapshot","",IF(ISNUMBER(AG47),IF(AG47&lt;0,"",IF(AG47&gt;10,AG47/'02_Parameters'!$B$17,AG47)),""))</f>
        <v/>
      </c>
      <c r="AI47" t="str">
        <f t="shared" si="6"/>
        <v/>
      </c>
      <c r="AJ47" t="str">
        <f t="shared" si="7"/>
        <v/>
      </c>
      <c r="AK47" t="str">
        <f t="shared" si="8"/>
        <v/>
      </c>
      <c r="AM47" t="str">
        <f t="shared" si="9"/>
        <v/>
      </c>
      <c r="AN47" t="str">
        <f>IF(B47&lt;&gt;"Sensor Snapshot","",--(N47&gt;='02_Parameters'!$B$13))</f>
        <v/>
      </c>
      <c r="AO47" t="str">
        <f>IF(B47&lt;&gt;"Sensor Snapshot","",--(AND(L47="PUMPING",ISNUMBER(AH47),AH47&lt;='02_Parameters'!$B$10)))</f>
        <v/>
      </c>
      <c r="AP47" s="16"/>
      <c r="AQ47" s="16" t="str">
        <f t="shared" si="10"/>
        <v/>
      </c>
      <c r="AR47" s="16" t="str">
        <f t="shared" si="11"/>
        <v/>
      </c>
      <c r="AW47" s="3" t="s">
        <v>246</v>
      </c>
      <c r="AX47" s="3" t="str">
        <f t="shared" si="12"/>
        <v/>
      </c>
      <c r="AY47" s="3" t="str">
        <f t="shared" si="13"/>
        <v/>
      </c>
      <c r="AZ47" s="3" t="s">
        <v>247</v>
      </c>
      <c r="BA47" s="3"/>
    </row>
    <row r="48" spans="1:53" ht="55.2">
      <c r="A48" t="s">
        <v>329</v>
      </c>
      <c r="B48" t="s">
        <v>231</v>
      </c>
      <c r="C48" s="14">
        <v>106849</v>
      </c>
      <c r="D48" s="15">
        <f t="shared" si="0"/>
        <v>106.849</v>
      </c>
      <c r="E48" t="s">
        <v>232</v>
      </c>
      <c r="F48" t="s">
        <v>278</v>
      </c>
      <c r="G48" t="s">
        <v>234</v>
      </c>
      <c r="H48" t="s">
        <v>235</v>
      </c>
      <c r="I48" s="3"/>
      <c r="J48" s="3"/>
      <c r="M48" t="str">
        <f t="shared" si="1"/>
        <v/>
      </c>
      <c r="O48" s="16">
        <v>-12</v>
      </c>
      <c r="P48" s="16" t="str">
        <f>IF(AND(ISNUMBER(O48),O48&lt;&gt;-1,O48&gt;='02_Parameters'!$B$18,O48&lt;='02_Parameters'!$B$19),O48,"")</f>
        <v/>
      </c>
      <c r="Q48" s="16">
        <v>23.1</v>
      </c>
      <c r="R48" t="str">
        <f>IF(B48&lt;&gt;"Sensor Snapshot","",IF(O48="","Missing",IF(O48=-1,"Sensor failure sentinel (-1)",IF(OR(O48&lt;'02_Parameters'!$B$18,O48&gt;'02_Parameters'!$B$19),"Out of accepted range","Valid"))))</f>
        <v>Out of accepted range</v>
      </c>
      <c r="S48" s="16">
        <v>161.30000000000001</v>
      </c>
      <c r="T48" s="16" t="str">
        <f>IF(AND(ISNUMBER(S48),S48&lt;&gt;-1,S48&gt;='02_Parameters'!$B$20,S48&lt;='02_Parameters'!$B$21),S48,"")</f>
        <v/>
      </c>
      <c r="U48" s="16">
        <v>69.400000000000006</v>
      </c>
      <c r="V48" t="str">
        <f>IF(B48&lt;&gt;"Sensor Snapshot","",IF(S48="","Missing",IF(S48=-1,"Sensor failure sentinel (-1)",IF(OR(S48&lt;'02_Parameters'!$B$20,S48&gt;'02_Parameters'!$B$21),"Out of accepted range","Valid"))))</f>
        <v>Out of accepted range</v>
      </c>
      <c r="W48" s="16">
        <v>-1.7428999999999999</v>
      </c>
      <c r="X48" s="16">
        <f t="shared" si="2"/>
        <v>1.7428999999999999</v>
      </c>
      <c r="Y48" t="str">
        <f t="shared" si="3"/>
        <v>Sign corrected to positive</v>
      </c>
      <c r="Z48" s="16">
        <v>113</v>
      </c>
      <c r="AB48">
        <f>IF(B48&lt;&gt;"Sensor Snapshot","",IF(ISNUMBER(AA48),--(AA48&lt;&gt;0),IF(ISNUMBER(Z48),--(Z48&lt;'02_Parameters'!$B$15),"")))</f>
        <v>1</v>
      </c>
      <c r="AC48">
        <f>IF(B48&lt;&gt;"Sensor Snapshot","",IF(ISNUMBER(X48),--(X48&gt;='02_Parameters'!$B$16),""))</f>
        <v>0</v>
      </c>
      <c r="AD48">
        <v>0</v>
      </c>
      <c r="AE48">
        <f t="shared" si="4"/>
        <v>0</v>
      </c>
      <c r="AF48" s="3" t="str">
        <f t="shared" si="5"/>
        <v>Partial detection only</v>
      </c>
      <c r="AG48" s="16">
        <v>266.85329999999999</v>
      </c>
      <c r="AH48" s="16">
        <f>IF(B48&lt;&gt;"Sensor Snapshot","",IF(ISNUMBER(AG48),IF(AG48&lt;0,"",IF(AG48&gt;10,AG48/'02_Parameters'!$B$17,AG48)),""))</f>
        <v>2.668533</v>
      </c>
      <c r="AI48" t="str">
        <f t="shared" si="6"/>
        <v>Normalized from high-scale log</v>
      </c>
      <c r="AJ48">
        <f t="shared" si="7"/>
        <v>0</v>
      </c>
      <c r="AK48">
        <f t="shared" si="8"/>
        <v>0</v>
      </c>
      <c r="AM48">
        <f t="shared" si="9"/>
        <v>0</v>
      </c>
      <c r="AN48">
        <f>IF(B48&lt;&gt;"Sensor Snapshot","",--(N48&gt;='02_Parameters'!$B$13))</f>
        <v>0</v>
      </c>
      <c r="AO48">
        <f>IF(B48&lt;&gt;"Sensor Snapshot","",--(AND(L48="PUMPING",ISNUMBER(AH48),AH48&lt;='02_Parameters'!$B$10)))</f>
        <v>0</v>
      </c>
      <c r="AP48" s="16"/>
      <c r="AQ48" s="16" t="str">
        <f t="shared" si="10"/>
        <v/>
      </c>
      <c r="AR48" s="16" t="str">
        <f t="shared" si="11"/>
        <v/>
      </c>
      <c r="AU48" t="s">
        <v>236</v>
      </c>
      <c r="AV48" t="s">
        <v>237</v>
      </c>
      <c r="AW48" s="3" t="s">
        <v>330</v>
      </c>
      <c r="AX48" s="3">
        <f t="shared" si="12"/>
        <v>60</v>
      </c>
      <c r="AY48" s="3" t="str">
        <f t="shared" si="13"/>
        <v>C</v>
      </c>
      <c r="AZ48" s="3" t="s">
        <v>239</v>
      </c>
      <c r="BA48" s="3" t="s">
        <v>240</v>
      </c>
    </row>
    <row r="49" spans="1:53" ht="27.6">
      <c r="A49" t="s">
        <v>331</v>
      </c>
      <c r="B49" t="s">
        <v>242</v>
      </c>
      <c r="C49" s="14">
        <v>107080</v>
      </c>
      <c r="D49" s="15">
        <f t="shared" si="0"/>
        <v>107.08</v>
      </c>
      <c r="E49" t="s">
        <v>232</v>
      </c>
      <c r="G49" t="s">
        <v>157</v>
      </c>
      <c r="H49" t="s">
        <v>243</v>
      </c>
      <c r="I49" s="3" t="s">
        <v>244</v>
      </c>
      <c r="J49" s="3" t="s">
        <v>245</v>
      </c>
      <c r="M49" t="str">
        <f t="shared" si="1"/>
        <v/>
      </c>
      <c r="O49" s="16"/>
      <c r="P49" s="16" t="str">
        <f>IF(AND(ISNUMBER(O49),O49&lt;&gt;-1,O49&gt;='02_Parameters'!$B$18,O49&lt;='02_Parameters'!$B$19),O49,"")</f>
        <v/>
      </c>
      <c r="Q49" s="16"/>
      <c r="R49" t="str">
        <f>IF(B49&lt;&gt;"Sensor Snapshot","",IF(O49="","Missing",IF(O49=-1,"Sensor failure sentinel (-1)",IF(OR(O49&lt;'02_Parameters'!$B$18,O49&gt;'02_Parameters'!$B$19),"Out of accepted range","Valid"))))</f>
        <v/>
      </c>
      <c r="S49" s="16"/>
      <c r="T49" s="16" t="str">
        <f>IF(AND(ISNUMBER(S49),S49&lt;&gt;-1,S49&gt;='02_Parameters'!$B$20,S49&lt;='02_Parameters'!$B$21),S49,"")</f>
        <v/>
      </c>
      <c r="U49" s="16"/>
      <c r="V49" t="str">
        <f>IF(B49&lt;&gt;"Sensor Snapshot","",IF(S49="","Missing",IF(S49=-1,"Sensor failure sentinel (-1)",IF(OR(S49&lt;'02_Parameters'!$B$20,S49&gt;'02_Parameters'!$B$21),"Out of accepted range","Valid"))))</f>
        <v/>
      </c>
      <c r="W49" s="16"/>
      <c r="X49" s="16" t="str">
        <f t="shared" si="2"/>
        <v/>
      </c>
      <c r="Y49" t="str">
        <f t="shared" si="3"/>
        <v/>
      </c>
      <c r="Z49" s="16"/>
      <c r="AB49" t="str">
        <f>IF(B49&lt;&gt;"Sensor Snapshot","",IF(ISNUMBER(AA49),--(AA49&lt;&gt;0),IF(ISNUMBER(Z49),--(Z49&lt;'02_Parameters'!$B$15),"")))</f>
        <v/>
      </c>
      <c r="AC49" t="str">
        <f>IF(B49&lt;&gt;"Sensor Snapshot","",IF(ISNUMBER(X49),--(X49&gt;='02_Parameters'!$B$16),""))</f>
        <v/>
      </c>
      <c r="AD49">
        <v>0</v>
      </c>
      <c r="AE49" t="str">
        <f t="shared" si="4"/>
        <v/>
      </c>
      <c r="AF49" s="3" t="str">
        <f t="shared" si="5"/>
        <v/>
      </c>
      <c r="AG49" s="16"/>
      <c r="AH49" s="16" t="str">
        <f>IF(B49&lt;&gt;"Sensor Snapshot","",IF(ISNUMBER(AG49),IF(AG49&lt;0,"",IF(AG49&gt;10,AG49/'02_Parameters'!$B$17,AG49)),""))</f>
        <v/>
      </c>
      <c r="AI49" t="str">
        <f t="shared" si="6"/>
        <v/>
      </c>
      <c r="AJ49" t="str">
        <f t="shared" si="7"/>
        <v/>
      </c>
      <c r="AK49" t="str">
        <f t="shared" si="8"/>
        <v/>
      </c>
      <c r="AL49">
        <v>1</v>
      </c>
      <c r="AM49" t="str">
        <f t="shared" si="9"/>
        <v/>
      </c>
      <c r="AN49" t="str">
        <f>IF(B49&lt;&gt;"Sensor Snapshot","",--(N49&gt;='02_Parameters'!$B$13))</f>
        <v/>
      </c>
      <c r="AO49" t="str">
        <f>IF(B49&lt;&gt;"Sensor Snapshot","",--(AND(L49="PUMPING",ISNUMBER(AH49),AH49&lt;='02_Parameters'!$B$10)))</f>
        <v/>
      </c>
      <c r="AP49" s="16"/>
      <c r="AQ49" s="16" t="str">
        <f t="shared" si="10"/>
        <v/>
      </c>
      <c r="AR49" s="16" t="str">
        <f t="shared" si="11"/>
        <v/>
      </c>
      <c r="AW49" s="3" t="s">
        <v>246</v>
      </c>
      <c r="AX49" s="3" t="str">
        <f t="shared" si="12"/>
        <v/>
      </c>
      <c r="AY49" s="3" t="str">
        <f t="shared" si="13"/>
        <v/>
      </c>
      <c r="AZ49" s="3" t="s">
        <v>247</v>
      </c>
      <c r="BA49" s="3"/>
    </row>
    <row r="50" spans="1:53" ht="27.6">
      <c r="A50" t="s">
        <v>332</v>
      </c>
      <c r="B50" t="s">
        <v>242</v>
      </c>
      <c r="C50" s="14">
        <v>107121</v>
      </c>
      <c r="D50" s="15">
        <f t="shared" si="0"/>
        <v>107.121</v>
      </c>
      <c r="E50" t="s">
        <v>232</v>
      </c>
      <c r="G50" t="s">
        <v>91</v>
      </c>
      <c r="H50" t="s">
        <v>249</v>
      </c>
      <c r="I50" s="3" t="s">
        <v>250</v>
      </c>
      <c r="J50" s="3" t="s">
        <v>251</v>
      </c>
      <c r="M50" t="str">
        <f t="shared" si="1"/>
        <v/>
      </c>
      <c r="O50" s="16"/>
      <c r="P50" s="16" t="str">
        <f>IF(AND(ISNUMBER(O50),O50&lt;&gt;-1,O50&gt;='02_Parameters'!$B$18,O50&lt;='02_Parameters'!$B$19),O50,"")</f>
        <v/>
      </c>
      <c r="Q50" s="16"/>
      <c r="R50" t="str">
        <f>IF(B50&lt;&gt;"Sensor Snapshot","",IF(O50="","Missing",IF(O50=-1,"Sensor failure sentinel (-1)",IF(OR(O50&lt;'02_Parameters'!$B$18,O50&gt;'02_Parameters'!$B$19),"Out of accepted range","Valid"))))</f>
        <v/>
      </c>
      <c r="S50" s="16"/>
      <c r="T50" s="16" t="str">
        <f>IF(AND(ISNUMBER(S50),S50&lt;&gt;-1,S50&gt;='02_Parameters'!$B$20,S50&lt;='02_Parameters'!$B$21),S50,"")</f>
        <v/>
      </c>
      <c r="U50" s="16"/>
      <c r="V50" t="str">
        <f>IF(B50&lt;&gt;"Sensor Snapshot","",IF(S50="","Missing",IF(S50=-1,"Sensor failure sentinel (-1)",IF(OR(S50&lt;'02_Parameters'!$B$20,S50&gt;'02_Parameters'!$B$21),"Out of accepted range","Valid"))))</f>
        <v/>
      </c>
      <c r="W50" s="16"/>
      <c r="X50" s="16" t="str">
        <f t="shared" si="2"/>
        <v/>
      </c>
      <c r="Y50" t="str">
        <f t="shared" si="3"/>
        <v/>
      </c>
      <c r="Z50" s="16"/>
      <c r="AB50" t="str">
        <f>IF(B50&lt;&gt;"Sensor Snapshot","",IF(ISNUMBER(AA50),--(AA50&lt;&gt;0),IF(ISNUMBER(Z50),--(Z50&lt;'02_Parameters'!$B$15),"")))</f>
        <v/>
      </c>
      <c r="AC50" t="str">
        <f>IF(B50&lt;&gt;"Sensor Snapshot","",IF(ISNUMBER(X50),--(X50&gt;='02_Parameters'!$B$16),""))</f>
        <v/>
      </c>
      <c r="AD50">
        <v>0</v>
      </c>
      <c r="AE50" t="str">
        <f t="shared" si="4"/>
        <v/>
      </c>
      <c r="AF50" s="3" t="str">
        <f t="shared" si="5"/>
        <v/>
      </c>
      <c r="AG50" s="16"/>
      <c r="AH50" s="16" t="str">
        <f>IF(B50&lt;&gt;"Sensor Snapshot","",IF(ISNUMBER(AG50),IF(AG50&lt;0,"",IF(AG50&gt;10,AG50/'02_Parameters'!$B$17,AG50)),""))</f>
        <v/>
      </c>
      <c r="AI50" t="str">
        <f t="shared" si="6"/>
        <v/>
      </c>
      <c r="AJ50" t="str">
        <f t="shared" si="7"/>
        <v/>
      </c>
      <c r="AK50" t="str">
        <f t="shared" si="8"/>
        <v/>
      </c>
      <c r="AM50" t="str">
        <f t="shared" si="9"/>
        <v/>
      </c>
      <c r="AN50" t="str">
        <f>IF(B50&lt;&gt;"Sensor Snapshot","",--(N50&gt;='02_Parameters'!$B$13))</f>
        <v/>
      </c>
      <c r="AO50" t="str">
        <f>IF(B50&lt;&gt;"Sensor Snapshot","",--(AND(L50="PUMPING",ISNUMBER(AH50),AH50&lt;='02_Parameters'!$B$10)))</f>
        <v/>
      </c>
      <c r="AP50" s="16"/>
      <c r="AQ50" s="16" t="str">
        <f t="shared" si="10"/>
        <v/>
      </c>
      <c r="AR50" s="16" t="str">
        <f t="shared" si="11"/>
        <v/>
      </c>
      <c r="AW50" s="3" t="s">
        <v>246</v>
      </c>
      <c r="AX50" s="3" t="str">
        <f t="shared" si="12"/>
        <v/>
      </c>
      <c r="AY50" s="3" t="str">
        <f t="shared" si="13"/>
        <v/>
      </c>
      <c r="AZ50" s="3" t="s">
        <v>252</v>
      </c>
      <c r="BA50" s="3"/>
    </row>
    <row r="51" spans="1:53" ht="27.6">
      <c r="A51" t="s">
        <v>333</v>
      </c>
      <c r="B51" t="s">
        <v>242</v>
      </c>
      <c r="C51" s="14">
        <v>107192</v>
      </c>
      <c r="D51" s="15">
        <f t="shared" si="0"/>
        <v>107.19199999999999</v>
      </c>
      <c r="E51" t="s">
        <v>232</v>
      </c>
      <c r="G51" t="s">
        <v>91</v>
      </c>
      <c r="H51" t="s">
        <v>249</v>
      </c>
      <c r="I51" s="3" t="s">
        <v>254</v>
      </c>
      <c r="J51" s="3" t="s">
        <v>255</v>
      </c>
      <c r="M51" t="str">
        <f t="shared" si="1"/>
        <v/>
      </c>
      <c r="O51" s="16"/>
      <c r="P51" s="16" t="str">
        <f>IF(AND(ISNUMBER(O51),O51&lt;&gt;-1,O51&gt;='02_Parameters'!$B$18,O51&lt;='02_Parameters'!$B$19),O51,"")</f>
        <v/>
      </c>
      <c r="Q51" s="16"/>
      <c r="R51" t="str">
        <f>IF(B51&lt;&gt;"Sensor Snapshot","",IF(O51="","Missing",IF(O51=-1,"Sensor failure sentinel (-1)",IF(OR(O51&lt;'02_Parameters'!$B$18,O51&gt;'02_Parameters'!$B$19),"Out of accepted range","Valid"))))</f>
        <v/>
      </c>
      <c r="S51" s="16"/>
      <c r="T51" s="16" t="str">
        <f>IF(AND(ISNUMBER(S51),S51&lt;&gt;-1,S51&gt;='02_Parameters'!$B$20,S51&lt;='02_Parameters'!$B$21),S51,"")</f>
        <v/>
      </c>
      <c r="U51" s="16"/>
      <c r="V51" t="str">
        <f>IF(B51&lt;&gt;"Sensor Snapshot","",IF(S51="","Missing",IF(S51=-1,"Sensor failure sentinel (-1)",IF(OR(S51&lt;'02_Parameters'!$B$20,S51&gt;'02_Parameters'!$B$21),"Out of accepted range","Valid"))))</f>
        <v/>
      </c>
      <c r="W51" s="16"/>
      <c r="X51" s="16" t="str">
        <f t="shared" si="2"/>
        <v/>
      </c>
      <c r="Y51" t="str">
        <f t="shared" si="3"/>
        <v/>
      </c>
      <c r="Z51" s="16"/>
      <c r="AB51" t="str">
        <f>IF(B51&lt;&gt;"Sensor Snapshot","",IF(ISNUMBER(AA51),--(AA51&lt;&gt;0),IF(ISNUMBER(Z51),--(Z51&lt;'02_Parameters'!$B$15),"")))</f>
        <v/>
      </c>
      <c r="AC51" t="str">
        <f>IF(B51&lt;&gt;"Sensor Snapshot","",IF(ISNUMBER(X51),--(X51&gt;='02_Parameters'!$B$16),""))</f>
        <v/>
      </c>
      <c r="AD51">
        <v>0</v>
      </c>
      <c r="AE51" t="str">
        <f t="shared" si="4"/>
        <v/>
      </c>
      <c r="AF51" s="3" t="str">
        <f t="shared" si="5"/>
        <v/>
      </c>
      <c r="AG51" s="16"/>
      <c r="AH51" s="16" t="str">
        <f>IF(B51&lt;&gt;"Sensor Snapshot","",IF(ISNUMBER(AG51),IF(AG51&lt;0,"",IF(AG51&gt;10,AG51/'02_Parameters'!$B$17,AG51)),""))</f>
        <v/>
      </c>
      <c r="AI51" t="str">
        <f t="shared" si="6"/>
        <v/>
      </c>
      <c r="AJ51" t="str">
        <f t="shared" si="7"/>
        <v/>
      </c>
      <c r="AK51" t="str">
        <f t="shared" si="8"/>
        <v/>
      </c>
      <c r="AM51" t="str">
        <f t="shared" si="9"/>
        <v/>
      </c>
      <c r="AN51" t="str">
        <f>IF(B51&lt;&gt;"Sensor Snapshot","",--(N51&gt;='02_Parameters'!$B$13))</f>
        <v/>
      </c>
      <c r="AO51" t="str">
        <f>IF(B51&lt;&gt;"Sensor Snapshot","",--(AND(L51="PUMPING",ISNUMBER(AH51),AH51&lt;='02_Parameters'!$B$10)))</f>
        <v/>
      </c>
      <c r="AP51" s="16"/>
      <c r="AQ51" s="16" t="str">
        <f t="shared" si="10"/>
        <v/>
      </c>
      <c r="AR51" s="16" t="str">
        <f t="shared" si="11"/>
        <v/>
      </c>
      <c r="AW51" s="3" t="s">
        <v>246</v>
      </c>
      <c r="AX51" s="3" t="str">
        <f t="shared" si="12"/>
        <v/>
      </c>
      <c r="AY51" s="3" t="str">
        <f t="shared" si="13"/>
        <v/>
      </c>
      <c r="AZ51" s="3" t="s">
        <v>247</v>
      </c>
      <c r="BA51" s="3"/>
    </row>
    <row r="52" spans="1:53" ht="55.2">
      <c r="A52" t="s">
        <v>334</v>
      </c>
      <c r="B52" t="s">
        <v>231</v>
      </c>
      <c r="C52" s="14">
        <v>122363</v>
      </c>
      <c r="D52" s="15">
        <f t="shared" si="0"/>
        <v>122.363</v>
      </c>
      <c r="E52" t="s">
        <v>232</v>
      </c>
      <c r="F52" t="s">
        <v>280</v>
      </c>
      <c r="G52" t="s">
        <v>234</v>
      </c>
      <c r="H52" t="s">
        <v>235</v>
      </c>
      <c r="I52" s="3"/>
      <c r="J52" s="3"/>
      <c r="M52" t="str">
        <f t="shared" si="1"/>
        <v/>
      </c>
      <c r="O52" s="16"/>
      <c r="P52" s="16" t="str">
        <f>IF(AND(ISNUMBER(O52),O52&lt;&gt;-1,O52&gt;='02_Parameters'!$B$18,O52&lt;='02_Parameters'!$B$19),O52,"")</f>
        <v/>
      </c>
      <c r="Q52" s="16">
        <v>23.1</v>
      </c>
      <c r="R52" t="str">
        <f>IF(B52&lt;&gt;"Sensor Snapshot","",IF(O52="","Missing",IF(O52=-1,"Sensor failure sentinel (-1)",IF(OR(O52&lt;'02_Parameters'!$B$18,O52&gt;'02_Parameters'!$B$19),"Out of accepted range","Valid"))))</f>
        <v>Missing</v>
      </c>
      <c r="S52" s="16"/>
      <c r="T52" s="16" t="str">
        <f>IF(AND(ISNUMBER(S52),S52&lt;&gt;-1,S52&gt;='02_Parameters'!$B$20,S52&lt;='02_Parameters'!$B$21),S52,"")</f>
        <v/>
      </c>
      <c r="U52" s="16">
        <v>69.400000000000006</v>
      </c>
      <c r="V52" t="str">
        <f>IF(B52&lt;&gt;"Sensor Snapshot","",IF(S52="","Missing",IF(S52=-1,"Sensor failure sentinel (-1)",IF(OR(S52&lt;'02_Parameters'!$B$20,S52&gt;'02_Parameters'!$B$21),"Out of accepted range","Valid"))))</f>
        <v>Missing</v>
      </c>
      <c r="W52" s="16">
        <v>-1.7976000000000001</v>
      </c>
      <c r="X52" s="16">
        <f t="shared" si="2"/>
        <v>1.7976000000000001</v>
      </c>
      <c r="Y52" t="str">
        <f t="shared" si="3"/>
        <v>Sign corrected to positive</v>
      </c>
      <c r="Z52" s="16">
        <v>815</v>
      </c>
      <c r="AB52">
        <f>IF(B52&lt;&gt;"Sensor Snapshot","",IF(ISNUMBER(AA52),--(AA52&lt;&gt;0),IF(ISNUMBER(Z52),--(Z52&lt;'02_Parameters'!$B$15),"")))</f>
        <v>0</v>
      </c>
      <c r="AC52">
        <f>IF(B52&lt;&gt;"Sensor Snapshot","",IF(ISNUMBER(X52),--(X52&gt;='02_Parameters'!$B$16),""))</f>
        <v>0</v>
      </c>
      <c r="AD52">
        <v>0</v>
      </c>
      <c r="AE52">
        <f t="shared" si="4"/>
        <v>0</v>
      </c>
      <c r="AF52" s="3" t="str">
        <f t="shared" si="5"/>
        <v>No detection</v>
      </c>
      <c r="AG52" s="16">
        <v>242.3467</v>
      </c>
      <c r="AH52" s="16">
        <f>IF(B52&lt;&gt;"Sensor Snapshot","",IF(ISNUMBER(AG52),IF(AG52&lt;0,"",IF(AG52&gt;10,AG52/'02_Parameters'!$B$17,AG52)),""))</f>
        <v>2.423467</v>
      </c>
      <c r="AI52" t="str">
        <f t="shared" si="6"/>
        <v>Normalized from high-scale log</v>
      </c>
      <c r="AJ52">
        <f t="shared" si="7"/>
        <v>0</v>
      </c>
      <c r="AK52">
        <f t="shared" si="8"/>
        <v>0</v>
      </c>
      <c r="AM52">
        <f t="shared" si="9"/>
        <v>0</v>
      </c>
      <c r="AN52">
        <f>IF(B52&lt;&gt;"Sensor Snapshot","",--(N52&gt;='02_Parameters'!$B$13))</f>
        <v>0</v>
      </c>
      <c r="AO52">
        <f>IF(B52&lt;&gt;"Sensor Snapshot","",--(AND(L52="PUMPING",ISNUMBER(AH52),AH52&lt;='02_Parameters'!$B$10)))</f>
        <v>0</v>
      </c>
      <c r="AP52" s="16"/>
      <c r="AQ52" s="16" t="str">
        <f t="shared" si="10"/>
        <v/>
      </c>
      <c r="AR52" s="16" t="str">
        <f t="shared" si="11"/>
        <v/>
      </c>
      <c r="AU52" t="s">
        <v>236</v>
      </c>
      <c r="AV52" t="s">
        <v>237</v>
      </c>
      <c r="AW52" s="3" t="s">
        <v>330</v>
      </c>
      <c r="AX52" s="3">
        <f t="shared" si="12"/>
        <v>60</v>
      </c>
      <c r="AY52" s="3" t="str">
        <f t="shared" si="13"/>
        <v>C</v>
      </c>
      <c r="AZ52" s="3" t="s">
        <v>239</v>
      </c>
      <c r="BA52" s="3" t="s">
        <v>240</v>
      </c>
    </row>
    <row r="53" spans="1:53" ht="27.6">
      <c r="A53" t="s">
        <v>335</v>
      </c>
      <c r="B53" t="s">
        <v>242</v>
      </c>
      <c r="C53" s="14">
        <v>122567</v>
      </c>
      <c r="D53" s="15">
        <f t="shared" si="0"/>
        <v>122.56699999999999</v>
      </c>
      <c r="E53" t="s">
        <v>232</v>
      </c>
      <c r="G53" t="s">
        <v>91</v>
      </c>
      <c r="H53" t="s">
        <v>249</v>
      </c>
      <c r="I53" s="3" t="s">
        <v>250</v>
      </c>
      <c r="J53" s="3" t="s">
        <v>251</v>
      </c>
      <c r="M53" t="str">
        <f t="shared" si="1"/>
        <v/>
      </c>
      <c r="O53" s="16"/>
      <c r="P53" s="16" t="str">
        <f>IF(AND(ISNUMBER(O53),O53&lt;&gt;-1,O53&gt;='02_Parameters'!$B$18,O53&lt;='02_Parameters'!$B$19),O53,"")</f>
        <v/>
      </c>
      <c r="Q53" s="16"/>
      <c r="R53" t="str">
        <f>IF(B53&lt;&gt;"Sensor Snapshot","",IF(O53="","Missing",IF(O53=-1,"Sensor failure sentinel (-1)",IF(OR(O53&lt;'02_Parameters'!$B$18,O53&gt;'02_Parameters'!$B$19),"Out of accepted range","Valid"))))</f>
        <v/>
      </c>
      <c r="S53" s="16"/>
      <c r="T53" s="16" t="str">
        <f>IF(AND(ISNUMBER(S53),S53&lt;&gt;-1,S53&gt;='02_Parameters'!$B$20,S53&lt;='02_Parameters'!$B$21),S53,"")</f>
        <v/>
      </c>
      <c r="U53" s="16"/>
      <c r="V53" t="str">
        <f>IF(B53&lt;&gt;"Sensor Snapshot","",IF(S53="","Missing",IF(S53=-1,"Sensor failure sentinel (-1)",IF(OR(S53&lt;'02_Parameters'!$B$20,S53&gt;'02_Parameters'!$B$21),"Out of accepted range","Valid"))))</f>
        <v/>
      </c>
      <c r="W53" s="16"/>
      <c r="X53" s="16" t="str">
        <f t="shared" si="2"/>
        <v/>
      </c>
      <c r="Y53" t="str">
        <f t="shared" si="3"/>
        <v/>
      </c>
      <c r="Z53" s="16"/>
      <c r="AB53" t="str">
        <f>IF(B53&lt;&gt;"Sensor Snapshot","",IF(ISNUMBER(AA53),--(AA53&lt;&gt;0),IF(ISNUMBER(Z53),--(Z53&lt;'02_Parameters'!$B$15),"")))</f>
        <v/>
      </c>
      <c r="AC53" t="str">
        <f>IF(B53&lt;&gt;"Sensor Snapshot","",IF(ISNUMBER(X53),--(X53&gt;='02_Parameters'!$B$16),""))</f>
        <v/>
      </c>
      <c r="AD53">
        <v>0</v>
      </c>
      <c r="AE53" t="str">
        <f t="shared" si="4"/>
        <v/>
      </c>
      <c r="AF53" s="3" t="str">
        <f t="shared" si="5"/>
        <v/>
      </c>
      <c r="AG53" s="16"/>
      <c r="AH53" s="16" t="str">
        <f>IF(B53&lt;&gt;"Sensor Snapshot","",IF(ISNUMBER(AG53),IF(AG53&lt;0,"",IF(AG53&gt;10,AG53/'02_Parameters'!$B$17,AG53)),""))</f>
        <v/>
      </c>
      <c r="AI53" t="str">
        <f t="shared" si="6"/>
        <v/>
      </c>
      <c r="AJ53" t="str">
        <f t="shared" si="7"/>
        <v/>
      </c>
      <c r="AK53" t="str">
        <f t="shared" si="8"/>
        <v/>
      </c>
      <c r="AM53" t="str">
        <f t="shared" si="9"/>
        <v/>
      </c>
      <c r="AN53" t="str">
        <f>IF(B53&lt;&gt;"Sensor Snapshot","",--(N53&gt;='02_Parameters'!$B$13))</f>
        <v/>
      </c>
      <c r="AO53" t="str">
        <f>IF(B53&lt;&gt;"Sensor Snapshot","",--(AND(L53="PUMPING",ISNUMBER(AH53),AH53&lt;='02_Parameters'!$B$10)))</f>
        <v/>
      </c>
      <c r="AP53" s="16"/>
      <c r="AQ53" s="16" t="str">
        <f t="shared" si="10"/>
        <v/>
      </c>
      <c r="AR53" s="16" t="str">
        <f t="shared" si="11"/>
        <v/>
      </c>
      <c r="AW53" s="3" t="s">
        <v>246</v>
      </c>
      <c r="AX53" s="3" t="str">
        <f t="shared" si="12"/>
        <v/>
      </c>
      <c r="AY53" s="3" t="str">
        <f t="shared" si="13"/>
        <v/>
      </c>
      <c r="AZ53" s="3" t="s">
        <v>252</v>
      </c>
      <c r="BA53" s="3"/>
    </row>
    <row r="54" spans="1:53" ht="27.6">
      <c r="A54" t="s">
        <v>336</v>
      </c>
      <c r="B54" t="s">
        <v>242</v>
      </c>
      <c r="C54" s="14">
        <v>122639</v>
      </c>
      <c r="D54" s="15">
        <f t="shared" si="0"/>
        <v>122.639</v>
      </c>
      <c r="E54" t="s">
        <v>232</v>
      </c>
      <c r="G54" t="s">
        <v>91</v>
      </c>
      <c r="H54" t="s">
        <v>249</v>
      </c>
      <c r="I54" s="3" t="s">
        <v>254</v>
      </c>
      <c r="J54" s="3" t="s">
        <v>255</v>
      </c>
      <c r="M54" t="str">
        <f t="shared" si="1"/>
        <v/>
      </c>
      <c r="O54" s="16"/>
      <c r="P54" s="16" t="str">
        <f>IF(AND(ISNUMBER(O54),O54&lt;&gt;-1,O54&gt;='02_Parameters'!$B$18,O54&lt;='02_Parameters'!$B$19),O54,"")</f>
        <v/>
      </c>
      <c r="Q54" s="16"/>
      <c r="R54" t="str">
        <f>IF(B54&lt;&gt;"Sensor Snapshot","",IF(O54="","Missing",IF(O54=-1,"Sensor failure sentinel (-1)",IF(OR(O54&lt;'02_Parameters'!$B$18,O54&gt;'02_Parameters'!$B$19),"Out of accepted range","Valid"))))</f>
        <v/>
      </c>
      <c r="S54" s="16"/>
      <c r="T54" s="16" t="str">
        <f>IF(AND(ISNUMBER(S54),S54&lt;&gt;-1,S54&gt;='02_Parameters'!$B$20,S54&lt;='02_Parameters'!$B$21),S54,"")</f>
        <v/>
      </c>
      <c r="U54" s="16"/>
      <c r="V54" t="str">
        <f>IF(B54&lt;&gt;"Sensor Snapshot","",IF(S54="","Missing",IF(S54=-1,"Sensor failure sentinel (-1)",IF(OR(S54&lt;'02_Parameters'!$B$20,S54&gt;'02_Parameters'!$B$21),"Out of accepted range","Valid"))))</f>
        <v/>
      </c>
      <c r="W54" s="16"/>
      <c r="X54" s="16" t="str">
        <f t="shared" si="2"/>
        <v/>
      </c>
      <c r="Y54" t="str">
        <f t="shared" si="3"/>
        <v/>
      </c>
      <c r="Z54" s="16"/>
      <c r="AB54" t="str">
        <f>IF(B54&lt;&gt;"Sensor Snapshot","",IF(ISNUMBER(AA54),--(AA54&lt;&gt;0),IF(ISNUMBER(Z54),--(Z54&lt;'02_Parameters'!$B$15),"")))</f>
        <v/>
      </c>
      <c r="AC54" t="str">
        <f>IF(B54&lt;&gt;"Sensor Snapshot","",IF(ISNUMBER(X54),--(X54&gt;='02_Parameters'!$B$16),""))</f>
        <v/>
      </c>
      <c r="AD54">
        <v>0</v>
      </c>
      <c r="AE54" t="str">
        <f t="shared" si="4"/>
        <v/>
      </c>
      <c r="AF54" s="3" t="str">
        <f t="shared" si="5"/>
        <v/>
      </c>
      <c r="AG54" s="16"/>
      <c r="AH54" s="16" t="str">
        <f>IF(B54&lt;&gt;"Sensor Snapshot","",IF(ISNUMBER(AG54),IF(AG54&lt;0,"",IF(AG54&gt;10,AG54/'02_Parameters'!$B$17,AG54)),""))</f>
        <v/>
      </c>
      <c r="AI54" t="str">
        <f t="shared" si="6"/>
        <v/>
      </c>
      <c r="AJ54" t="str">
        <f t="shared" si="7"/>
        <v/>
      </c>
      <c r="AK54" t="str">
        <f t="shared" si="8"/>
        <v/>
      </c>
      <c r="AM54" t="str">
        <f t="shared" si="9"/>
        <v/>
      </c>
      <c r="AN54" t="str">
        <f>IF(B54&lt;&gt;"Sensor Snapshot","",--(N54&gt;='02_Parameters'!$B$13))</f>
        <v/>
      </c>
      <c r="AO54" t="str">
        <f>IF(B54&lt;&gt;"Sensor Snapshot","",--(AND(L54="PUMPING",ISNUMBER(AH54),AH54&lt;='02_Parameters'!$B$10)))</f>
        <v/>
      </c>
      <c r="AP54" s="16"/>
      <c r="AQ54" s="16" t="str">
        <f t="shared" si="10"/>
        <v/>
      </c>
      <c r="AR54" s="16" t="str">
        <f t="shared" si="11"/>
        <v/>
      </c>
      <c r="AW54" s="3" t="s">
        <v>246</v>
      </c>
      <c r="AX54" s="3" t="str">
        <f t="shared" si="12"/>
        <v/>
      </c>
      <c r="AY54" s="3" t="str">
        <f t="shared" si="13"/>
        <v/>
      </c>
      <c r="AZ54" s="3" t="s">
        <v>247</v>
      </c>
      <c r="BA54" s="3"/>
    </row>
    <row r="55" spans="1:53" ht="55.2">
      <c r="A55" t="s">
        <v>337</v>
      </c>
      <c r="B55" t="s">
        <v>231</v>
      </c>
      <c r="C55" s="14">
        <v>137801</v>
      </c>
      <c r="D55" s="15">
        <f t="shared" si="0"/>
        <v>137.80099999999999</v>
      </c>
      <c r="E55" t="s">
        <v>232</v>
      </c>
      <c r="F55" t="s">
        <v>282</v>
      </c>
      <c r="G55" t="s">
        <v>234</v>
      </c>
      <c r="H55" t="s">
        <v>235</v>
      </c>
      <c r="I55" s="3"/>
      <c r="J55" s="3"/>
      <c r="M55" t="str">
        <f t="shared" si="1"/>
        <v/>
      </c>
      <c r="O55" s="16"/>
      <c r="P55" s="16" t="str">
        <f>IF(AND(ISNUMBER(O55),O55&lt;&gt;-1,O55&gt;='02_Parameters'!$B$18,O55&lt;='02_Parameters'!$B$19),O55,"")</f>
        <v/>
      </c>
      <c r="Q55" s="16">
        <v>23.1</v>
      </c>
      <c r="R55" t="str">
        <f>IF(B55&lt;&gt;"Sensor Snapshot","",IF(O55="","Missing",IF(O55=-1,"Sensor failure sentinel (-1)",IF(OR(O55&lt;'02_Parameters'!$B$18,O55&gt;'02_Parameters'!$B$19),"Out of accepted range","Valid"))))</f>
        <v>Missing</v>
      </c>
      <c r="S55" s="16"/>
      <c r="T55" s="16" t="str">
        <f>IF(AND(ISNUMBER(S55),S55&lt;&gt;-1,S55&gt;='02_Parameters'!$B$20,S55&lt;='02_Parameters'!$B$21),S55,"")</f>
        <v/>
      </c>
      <c r="U55" s="16">
        <v>69.400000000000006</v>
      </c>
      <c r="V55" t="str">
        <f>IF(B55&lt;&gt;"Sensor Snapshot","",IF(S55="","Missing",IF(S55=-1,"Sensor failure sentinel (-1)",IF(OR(S55&lt;'02_Parameters'!$B$20,S55&gt;'02_Parameters'!$B$21),"Out of accepted range","Valid"))))</f>
        <v>Missing</v>
      </c>
      <c r="W55" s="16">
        <v>-1.6571</v>
      </c>
      <c r="X55" s="16">
        <f t="shared" si="2"/>
        <v>1.6571</v>
      </c>
      <c r="Y55" t="str">
        <f t="shared" si="3"/>
        <v>Sign corrected to positive</v>
      </c>
      <c r="Z55" s="16">
        <v>820</v>
      </c>
      <c r="AB55">
        <f>IF(B55&lt;&gt;"Sensor Snapshot","",IF(ISNUMBER(AA55),--(AA55&lt;&gt;0),IF(ISNUMBER(Z55),--(Z55&lt;'02_Parameters'!$B$15),"")))</f>
        <v>0</v>
      </c>
      <c r="AC55">
        <f>IF(B55&lt;&gt;"Sensor Snapshot","",IF(ISNUMBER(X55),--(X55&gt;='02_Parameters'!$B$16),""))</f>
        <v>0</v>
      </c>
      <c r="AD55">
        <v>0</v>
      </c>
      <c r="AE55">
        <f t="shared" si="4"/>
        <v>0</v>
      </c>
      <c r="AF55" s="3" t="str">
        <f t="shared" si="5"/>
        <v>No detection</v>
      </c>
      <c r="AG55" s="16">
        <v>286.93329999999997</v>
      </c>
      <c r="AH55" s="16">
        <f>IF(B55&lt;&gt;"Sensor Snapshot","",IF(ISNUMBER(AG55),IF(AG55&lt;0,"",IF(AG55&gt;10,AG55/'02_Parameters'!$B$17,AG55)),""))</f>
        <v>2.8693329999999997</v>
      </c>
      <c r="AI55" t="str">
        <f t="shared" si="6"/>
        <v>Normalized from high-scale log</v>
      </c>
      <c r="AJ55">
        <f t="shared" si="7"/>
        <v>0</v>
      </c>
      <c r="AK55">
        <f t="shared" si="8"/>
        <v>0</v>
      </c>
      <c r="AM55">
        <f t="shared" si="9"/>
        <v>0</v>
      </c>
      <c r="AN55">
        <f>IF(B55&lt;&gt;"Sensor Snapshot","",--(N55&gt;='02_Parameters'!$B$13))</f>
        <v>0</v>
      </c>
      <c r="AO55">
        <f>IF(B55&lt;&gt;"Sensor Snapshot","",--(AND(L55="PUMPING",ISNUMBER(AH55),AH55&lt;='02_Parameters'!$B$10)))</f>
        <v>0</v>
      </c>
      <c r="AP55" s="16"/>
      <c r="AQ55" s="16" t="str">
        <f t="shared" si="10"/>
        <v/>
      </c>
      <c r="AR55" s="16" t="str">
        <f t="shared" si="11"/>
        <v/>
      </c>
      <c r="AU55" t="s">
        <v>236</v>
      </c>
      <c r="AV55" t="s">
        <v>237</v>
      </c>
      <c r="AW55" s="3" t="s">
        <v>330</v>
      </c>
      <c r="AX55" s="3">
        <f t="shared" si="12"/>
        <v>60</v>
      </c>
      <c r="AY55" s="3" t="str">
        <f t="shared" si="13"/>
        <v>C</v>
      </c>
      <c r="AZ55" s="3" t="s">
        <v>239</v>
      </c>
      <c r="BA55" s="3" t="s">
        <v>240</v>
      </c>
    </row>
    <row r="56" spans="1:53" ht="27.6">
      <c r="A56" t="s">
        <v>338</v>
      </c>
      <c r="B56" t="s">
        <v>242</v>
      </c>
      <c r="C56" s="14">
        <v>138006</v>
      </c>
      <c r="D56" s="15">
        <f t="shared" si="0"/>
        <v>138.006</v>
      </c>
      <c r="E56" t="s">
        <v>232</v>
      </c>
      <c r="G56" t="s">
        <v>91</v>
      </c>
      <c r="H56" t="s">
        <v>249</v>
      </c>
      <c r="I56" s="3" t="s">
        <v>250</v>
      </c>
      <c r="J56" s="3" t="s">
        <v>251</v>
      </c>
      <c r="M56" t="str">
        <f t="shared" si="1"/>
        <v/>
      </c>
      <c r="O56" s="16"/>
      <c r="P56" s="16" t="str">
        <f>IF(AND(ISNUMBER(O56),O56&lt;&gt;-1,O56&gt;='02_Parameters'!$B$18,O56&lt;='02_Parameters'!$B$19),O56,"")</f>
        <v/>
      </c>
      <c r="Q56" s="16"/>
      <c r="R56" t="str">
        <f>IF(B56&lt;&gt;"Sensor Snapshot","",IF(O56="","Missing",IF(O56=-1,"Sensor failure sentinel (-1)",IF(OR(O56&lt;'02_Parameters'!$B$18,O56&gt;'02_Parameters'!$B$19),"Out of accepted range","Valid"))))</f>
        <v/>
      </c>
      <c r="S56" s="16"/>
      <c r="T56" s="16" t="str">
        <f>IF(AND(ISNUMBER(S56),S56&lt;&gt;-1,S56&gt;='02_Parameters'!$B$20,S56&lt;='02_Parameters'!$B$21),S56,"")</f>
        <v/>
      </c>
      <c r="U56" s="16"/>
      <c r="V56" t="str">
        <f>IF(B56&lt;&gt;"Sensor Snapshot","",IF(S56="","Missing",IF(S56=-1,"Sensor failure sentinel (-1)",IF(OR(S56&lt;'02_Parameters'!$B$20,S56&gt;'02_Parameters'!$B$21),"Out of accepted range","Valid"))))</f>
        <v/>
      </c>
      <c r="W56" s="16"/>
      <c r="X56" s="16" t="str">
        <f t="shared" si="2"/>
        <v/>
      </c>
      <c r="Y56" t="str">
        <f t="shared" si="3"/>
        <v/>
      </c>
      <c r="Z56" s="16"/>
      <c r="AB56" t="str">
        <f>IF(B56&lt;&gt;"Sensor Snapshot","",IF(ISNUMBER(AA56),--(AA56&lt;&gt;0),IF(ISNUMBER(Z56),--(Z56&lt;'02_Parameters'!$B$15),"")))</f>
        <v/>
      </c>
      <c r="AC56" t="str">
        <f>IF(B56&lt;&gt;"Sensor Snapshot","",IF(ISNUMBER(X56),--(X56&gt;='02_Parameters'!$B$16),""))</f>
        <v/>
      </c>
      <c r="AD56">
        <v>0</v>
      </c>
      <c r="AE56" t="str">
        <f t="shared" si="4"/>
        <v/>
      </c>
      <c r="AF56" s="3" t="str">
        <f t="shared" si="5"/>
        <v/>
      </c>
      <c r="AG56" s="16"/>
      <c r="AH56" s="16" t="str">
        <f>IF(B56&lt;&gt;"Sensor Snapshot","",IF(ISNUMBER(AG56),IF(AG56&lt;0,"",IF(AG56&gt;10,AG56/'02_Parameters'!$B$17,AG56)),""))</f>
        <v/>
      </c>
      <c r="AI56" t="str">
        <f t="shared" si="6"/>
        <v/>
      </c>
      <c r="AJ56" t="str">
        <f t="shared" si="7"/>
        <v/>
      </c>
      <c r="AK56" t="str">
        <f t="shared" si="8"/>
        <v/>
      </c>
      <c r="AM56" t="str">
        <f t="shared" si="9"/>
        <v/>
      </c>
      <c r="AN56" t="str">
        <f>IF(B56&lt;&gt;"Sensor Snapshot","",--(N56&gt;='02_Parameters'!$B$13))</f>
        <v/>
      </c>
      <c r="AO56" t="str">
        <f>IF(B56&lt;&gt;"Sensor Snapshot","",--(AND(L56="PUMPING",ISNUMBER(AH56),AH56&lt;='02_Parameters'!$B$10)))</f>
        <v/>
      </c>
      <c r="AP56" s="16"/>
      <c r="AQ56" s="16" t="str">
        <f t="shared" si="10"/>
        <v/>
      </c>
      <c r="AR56" s="16" t="str">
        <f t="shared" si="11"/>
        <v/>
      </c>
      <c r="AW56" s="3" t="s">
        <v>246</v>
      </c>
      <c r="AX56" s="3" t="str">
        <f t="shared" si="12"/>
        <v/>
      </c>
      <c r="AY56" s="3" t="str">
        <f t="shared" si="13"/>
        <v/>
      </c>
      <c r="AZ56" s="3" t="s">
        <v>252</v>
      </c>
      <c r="BA56" s="3"/>
    </row>
    <row r="57" spans="1:53" ht="27.6">
      <c r="A57" t="s">
        <v>339</v>
      </c>
      <c r="B57" t="s">
        <v>242</v>
      </c>
      <c r="C57" s="14">
        <v>138077</v>
      </c>
      <c r="D57" s="15">
        <f t="shared" si="0"/>
        <v>138.077</v>
      </c>
      <c r="E57" t="s">
        <v>232</v>
      </c>
      <c r="G57" t="s">
        <v>91</v>
      </c>
      <c r="H57" t="s">
        <v>249</v>
      </c>
      <c r="I57" s="3" t="s">
        <v>254</v>
      </c>
      <c r="J57" s="3" t="s">
        <v>255</v>
      </c>
      <c r="M57" t="str">
        <f t="shared" si="1"/>
        <v/>
      </c>
      <c r="O57" s="16"/>
      <c r="P57" s="16" t="str">
        <f>IF(AND(ISNUMBER(O57),O57&lt;&gt;-1,O57&gt;='02_Parameters'!$B$18,O57&lt;='02_Parameters'!$B$19),O57,"")</f>
        <v/>
      </c>
      <c r="Q57" s="16"/>
      <c r="R57" t="str">
        <f>IF(B57&lt;&gt;"Sensor Snapshot","",IF(O57="","Missing",IF(O57=-1,"Sensor failure sentinel (-1)",IF(OR(O57&lt;'02_Parameters'!$B$18,O57&gt;'02_Parameters'!$B$19),"Out of accepted range","Valid"))))</f>
        <v/>
      </c>
      <c r="S57" s="16"/>
      <c r="T57" s="16" t="str">
        <f>IF(AND(ISNUMBER(S57),S57&lt;&gt;-1,S57&gt;='02_Parameters'!$B$20,S57&lt;='02_Parameters'!$B$21),S57,"")</f>
        <v/>
      </c>
      <c r="U57" s="16"/>
      <c r="V57" t="str">
        <f>IF(B57&lt;&gt;"Sensor Snapshot","",IF(S57="","Missing",IF(S57=-1,"Sensor failure sentinel (-1)",IF(OR(S57&lt;'02_Parameters'!$B$20,S57&gt;'02_Parameters'!$B$21),"Out of accepted range","Valid"))))</f>
        <v/>
      </c>
      <c r="W57" s="16"/>
      <c r="X57" s="16" t="str">
        <f t="shared" si="2"/>
        <v/>
      </c>
      <c r="Y57" t="str">
        <f t="shared" si="3"/>
        <v/>
      </c>
      <c r="Z57" s="16"/>
      <c r="AB57" t="str">
        <f>IF(B57&lt;&gt;"Sensor Snapshot","",IF(ISNUMBER(AA57),--(AA57&lt;&gt;0),IF(ISNUMBER(Z57),--(Z57&lt;'02_Parameters'!$B$15),"")))</f>
        <v/>
      </c>
      <c r="AC57" t="str">
        <f>IF(B57&lt;&gt;"Sensor Snapshot","",IF(ISNUMBER(X57),--(X57&gt;='02_Parameters'!$B$16),""))</f>
        <v/>
      </c>
      <c r="AD57">
        <v>0</v>
      </c>
      <c r="AE57" t="str">
        <f t="shared" si="4"/>
        <v/>
      </c>
      <c r="AF57" s="3" t="str">
        <f t="shared" si="5"/>
        <v/>
      </c>
      <c r="AG57" s="16"/>
      <c r="AH57" s="16" t="str">
        <f>IF(B57&lt;&gt;"Sensor Snapshot","",IF(ISNUMBER(AG57),IF(AG57&lt;0,"",IF(AG57&gt;10,AG57/'02_Parameters'!$B$17,AG57)),""))</f>
        <v/>
      </c>
      <c r="AI57" t="str">
        <f t="shared" si="6"/>
        <v/>
      </c>
      <c r="AJ57" t="str">
        <f t="shared" si="7"/>
        <v/>
      </c>
      <c r="AK57" t="str">
        <f t="shared" si="8"/>
        <v/>
      </c>
      <c r="AM57" t="str">
        <f t="shared" si="9"/>
        <v/>
      </c>
      <c r="AN57" t="str">
        <f>IF(B57&lt;&gt;"Sensor Snapshot","",--(N57&gt;='02_Parameters'!$B$13))</f>
        <v/>
      </c>
      <c r="AO57" t="str">
        <f>IF(B57&lt;&gt;"Sensor Snapshot","",--(AND(L57="PUMPING",ISNUMBER(AH57),AH57&lt;='02_Parameters'!$B$10)))</f>
        <v/>
      </c>
      <c r="AP57" s="16"/>
      <c r="AQ57" s="16" t="str">
        <f t="shared" si="10"/>
        <v/>
      </c>
      <c r="AR57" s="16" t="str">
        <f t="shared" si="11"/>
        <v/>
      </c>
      <c r="AW57" s="3" t="s">
        <v>246</v>
      </c>
      <c r="AX57" s="3" t="str">
        <f t="shared" si="12"/>
        <v/>
      </c>
      <c r="AY57" s="3" t="str">
        <f t="shared" si="13"/>
        <v/>
      </c>
      <c r="AZ57" s="3" t="s">
        <v>247</v>
      </c>
      <c r="BA57" s="3"/>
    </row>
    <row r="58" spans="1:53" ht="55.2">
      <c r="A58" t="s">
        <v>340</v>
      </c>
      <c r="B58" t="s">
        <v>231</v>
      </c>
      <c r="C58" s="14">
        <v>153318</v>
      </c>
      <c r="D58" s="15">
        <f t="shared" si="0"/>
        <v>153.31800000000001</v>
      </c>
      <c r="E58" t="s">
        <v>232</v>
      </c>
      <c r="F58" t="s">
        <v>284</v>
      </c>
      <c r="G58" t="s">
        <v>234</v>
      </c>
      <c r="H58" t="s">
        <v>235</v>
      </c>
      <c r="I58" s="3"/>
      <c r="J58" s="3"/>
      <c r="M58" t="str">
        <f t="shared" si="1"/>
        <v/>
      </c>
      <c r="O58" s="16"/>
      <c r="P58" s="16" t="str">
        <f>IF(AND(ISNUMBER(O58),O58&lt;&gt;-1,O58&gt;='02_Parameters'!$B$18,O58&lt;='02_Parameters'!$B$19),O58,"")</f>
        <v/>
      </c>
      <c r="Q58" s="16">
        <v>23.1</v>
      </c>
      <c r="R58" t="str">
        <f>IF(B58&lt;&gt;"Sensor Snapshot","",IF(O58="","Missing",IF(O58=-1,"Sensor failure sentinel (-1)",IF(OR(O58&lt;'02_Parameters'!$B$18,O58&gt;'02_Parameters'!$B$19),"Out of accepted range","Valid"))))</f>
        <v>Missing</v>
      </c>
      <c r="S58" s="16"/>
      <c r="T58" s="16" t="str">
        <f>IF(AND(ISNUMBER(S58),S58&lt;&gt;-1,S58&gt;='02_Parameters'!$B$20,S58&lt;='02_Parameters'!$B$21),S58,"")</f>
        <v/>
      </c>
      <c r="U58" s="16">
        <v>69.400000000000006</v>
      </c>
      <c r="V58" t="str">
        <f>IF(B58&lt;&gt;"Sensor Snapshot","",IF(S58="","Missing",IF(S58=-1,"Sensor failure sentinel (-1)",IF(OR(S58&lt;'02_Parameters'!$B$20,S58&gt;'02_Parameters'!$B$21),"Out of accepted range","Valid"))))</f>
        <v>Missing</v>
      </c>
      <c r="W58" s="16">
        <v>-1.7262</v>
      </c>
      <c r="X58" s="16">
        <f t="shared" si="2"/>
        <v>1.7262</v>
      </c>
      <c r="Y58" t="str">
        <f t="shared" si="3"/>
        <v>Sign corrected to positive</v>
      </c>
      <c r="Z58" s="16">
        <v>817</v>
      </c>
      <c r="AB58">
        <f>IF(B58&lt;&gt;"Sensor Snapshot","",IF(ISNUMBER(AA58),--(AA58&lt;&gt;0),IF(ISNUMBER(Z58),--(Z58&lt;'02_Parameters'!$B$15),"")))</f>
        <v>0</v>
      </c>
      <c r="AC58">
        <f>IF(B58&lt;&gt;"Sensor Snapshot","",IF(ISNUMBER(X58),--(X58&gt;='02_Parameters'!$B$16),""))</f>
        <v>0</v>
      </c>
      <c r="AD58">
        <v>0</v>
      </c>
      <c r="AE58">
        <f t="shared" si="4"/>
        <v>0</v>
      </c>
      <c r="AF58" s="3" t="str">
        <f t="shared" si="5"/>
        <v>No detection</v>
      </c>
      <c r="AG58" s="16">
        <v>299.89339999999999</v>
      </c>
      <c r="AH58" s="16">
        <f>IF(B58&lt;&gt;"Sensor Snapshot","",IF(ISNUMBER(AG58),IF(AG58&lt;0,"",IF(AG58&gt;10,AG58/'02_Parameters'!$B$17,AG58)),""))</f>
        <v>2.9989339999999998</v>
      </c>
      <c r="AI58" t="str">
        <f t="shared" si="6"/>
        <v>Normalized from high-scale log</v>
      </c>
      <c r="AJ58">
        <f t="shared" si="7"/>
        <v>0</v>
      </c>
      <c r="AK58">
        <f t="shared" si="8"/>
        <v>0</v>
      </c>
      <c r="AM58">
        <f t="shared" si="9"/>
        <v>0</v>
      </c>
      <c r="AN58">
        <f>IF(B58&lt;&gt;"Sensor Snapshot","",--(N58&gt;='02_Parameters'!$B$13))</f>
        <v>0</v>
      </c>
      <c r="AO58">
        <f>IF(B58&lt;&gt;"Sensor Snapshot","",--(AND(L58="PUMPING",ISNUMBER(AH58),AH58&lt;='02_Parameters'!$B$10)))</f>
        <v>0</v>
      </c>
      <c r="AP58" s="16"/>
      <c r="AQ58" s="16" t="str">
        <f t="shared" si="10"/>
        <v/>
      </c>
      <c r="AR58" s="16" t="str">
        <f t="shared" si="11"/>
        <v/>
      </c>
      <c r="AU58" t="s">
        <v>236</v>
      </c>
      <c r="AV58" t="s">
        <v>237</v>
      </c>
      <c r="AW58" s="3" t="s">
        <v>330</v>
      </c>
      <c r="AX58" s="3">
        <f t="shared" si="12"/>
        <v>60</v>
      </c>
      <c r="AY58" s="3" t="str">
        <f t="shared" si="13"/>
        <v>C</v>
      </c>
      <c r="AZ58" s="3" t="s">
        <v>239</v>
      </c>
      <c r="BA58" s="3" t="s">
        <v>240</v>
      </c>
    </row>
    <row r="59" spans="1:53" ht="27.6">
      <c r="A59" t="s">
        <v>341</v>
      </c>
      <c r="B59" t="s">
        <v>242</v>
      </c>
      <c r="C59" s="14">
        <v>153527</v>
      </c>
      <c r="D59" s="15">
        <f t="shared" si="0"/>
        <v>153.52699999999999</v>
      </c>
      <c r="E59" t="s">
        <v>232</v>
      </c>
      <c r="G59" t="s">
        <v>91</v>
      </c>
      <c r="H59" t="s">
        <v>249</v>
      </c>
      <c r="I59" s="3" t="s">
        <v>250</v>
      </c>
      <c r="J59" s="3" t="s">
        <v>251</v>
      </c>
      <c r="M59" t="str">
        <f t="shared" si="1"/>
        <v/>
      </c>
      <c r="O59" s="16"/>
      <c r="P59" s="16" t="str">
        <f>IF(AND(ISNUMBER(O59),O59&lt;&gt;-1,O59&gt;='02_Parameters'!$B$18,O59&lt;='02_Parameters'!$B$19),O59,"")</f>
        <v/>
      </c>
      <c r="Q59" s="16"/>
      <c r="R59" t="str">
        <f>IF(B59&lt;&gt;"Sensor Snapshot","",IF(O59="","Missing",IF(O59=-1,"Sensor failure sentinel (-1)",IF(OR(O59&lt;'02_Parameters'!$B$18,O59&gt;'02_Parameters'!$B$19),"Out of accepted range","Valid"))))</f>
        <v/>
      </c>
      <c r="S59" s="16"/>
      <c r="T59" s="16" t="str">
        <f>IF(AND(ISNUMBER(S59),S59&lt;&gt;-1,S59&gt;='02_Parameters'!$B$20,S59&lt;='02_Parameters'!$B$21),S59,"")</f>
        <v/>
      </c>
      <c r="U59" s="16"/>
      <c r="V59" t="str">
        <f>IF(B59&lt;&gt;"Sensor Snapshot","",IF(S59="","Missing",IF(S59=-1,"Sensor failure sentinel (-1)",IF(OR(S59&lt;'02_Parameters'!$B$20,S59&gt;'02_Parameters'!$B$21),"Out of accepted range","Valid"))))</f>
        <v/>
      </c>
      <c r="W59" s="16"/>
      <c r="X59" s="16" t="str">
        <f t="shared" si="2"/>
        <v/>
      </c>
      <c r="Y59" t="str">
        <f t="shared" si="3"/>
        <v/>
      </c>
      <c r="Z59" s="16"/>
      <c r="AB59" t="str">
        <f>IF(B59&lt;&gt;"Sensor Snapshot","",IF(ISNUMBER(AA59),--(AA59&lt;&gt;0),IF(ISNUMBER(Z59),--(Z59&lt;'02_Parameters'!$B$15),"")))</f>
        <v/>
      </c>
      <c r="AC59" t="str">
        <f>IF(B59&lt;&gt;"Sensor Snapshot","",IF(ISNUMBER(X59),--(X59&gt;='02_Parameters'!$B$16),""))</f>
        <v/>
      </c>
      <c r="AD59">
        <v>0</v>
      </c>
      <c r="AE59" t="str">
        <f t="shared" si="4"/>
        <v/>
      </c>
      <c r="AF59" s="3" t="str">
        <f t="shared" si="5"/>
        <v/>
      </c>
      <c r="AG59" s="16"/>
      <c r="AH59" s="16" t="str">
        <f>IF(B59&lt;&gt;"Sensor Snapshot","",IF(ISNUMBER(AG59),IF(AG59&lt;0,"",IF(AG59&gt;10,AG59/'02_Parameters'!$B$17,AG59)),""))</f>
        <v/>
      </c>
      <c r="AI59" t="str">
        <f t="shared" si="6"/>
        <v/>
      </c>
      <c r="AJ59" t="str">
        <f t="shared" si="7"/>
        <v/>
      </c>
      <c r="AK59" t="str">
        <f t="shared" si="8"/>
        <v/>
      </c>
      <c r="AM59" t="str">
        <f t="shared" si="9"/>
        <v/>
      </c>
      <c r="AN59" t="str">
        <f>IF(B59&lt;&gt;"Sensor Snapshot","",--(N59&gt;='02_Parameters'!$B$13))</f>
        <v/>
      </c>
      <c r="AO59" t="str">
        <f>IF(B59&lt;&gt;"Sensor Snapshot","",--(AND(L59="PUMPING",ISNUMBER(AH59),AH59&lt;='02_Parameters'!$B$10)))</f>
        <v/>
      </c>
      <c r="AP59" s="16"/>
      <c r="AQ59" s="16" t="str">
        <f t="shared" si="10"/>
        <v/>
      </c>
      <c r="AR59" s="16" t="str">
        <f t="shared" si="11"/>
        <v/>
      </c>
      <c r="AW59" s="3" t="s">
        <v>246</v>
      </c>
      <c r="AX59" s="3" t="str">
        <f t="shared" si="12"/>
        <v/>
      </c>
      <c r="AY59" s="3" t="str">
        <f t="shared" si="13"/>
        <v/>
      </c>
      <c r="AZ59" s="3" t="s">
        <v>252</v>
      </c>
      <c r="BA59" s="3"/>
    </row>
    <row r="60" spans="1:53" ht="27.6">
      <c r="A60" t="s">
        <v>342</v>
      </c>
      <c r="B60" t="s">
        <v>231</v>
      </c>
      <c r="C60" s="14">
        <v>5161</v>
      </c>
      <c r="D60" s="15">
        <f t="shared" si="0"/>
        <v>5.1609999999999996</v>
      </c>
      <c r="E60" t="s">
        <v>232</v>
      </c>
      <c r="F60" t="s">
        <v>233</v>
      </c>
      <c r="G60" t="s">
        <v>234</v>
      </c>
      <c r="H60" t="s">
        <v>235</v>
      </c>
      <c r="I60" s="3"/>
      <c r="J60" s="3"/>
      <c r="M60" t="str">
        <f t="shared" si="1"/>
        <v/>
      </c>
      <c r="O60" s="16">
        <v>21.3</v>
      </c>
      <c r="P60" s="16">
        <f>IF(AND(ISNUMBER(O60),O60&lt;&gt;-1,O60&gt;='02_Parameters'!$B$18,O60&lt;='02_Parameters'!$B$19),O60,"")</f>
        <v>21.3</v>
      </c>
      <c r="Q60" s="16">
        <v>21.3</v>
      </c>
      <c r="R60" t="str">
        <f>IF(B60&lt;&gt;"Sensor Snapshot","",IF(O60="","Missing",IF(O60=-1,"Sensor failure sentinel (-1)",IF(OR(O60&lt;'02_Parameters'!$B$18,O60&gt;'02_Parameters'!$B$19),"Out of accepted range","Valid"))))</f>
        <v>Valid</v>
      </c>
      <c r="S60" s="16">
        <v>70.400000000000006</v>
      </c>
      <c r="T60" s="16">
        <f>IF(AND(ISNUMBER(S60),S60&lt;&gt;-1,S60&gt;='02_Parameters'!$B$20,S60&lt;='02_Parameters'!$B$21),S60,"")</f>
        <v>70.400000000000006</v>
      </c>
      <c r="U60" s="16">
        <v>70.400000000000006</v>
      </c>
      <c r="V60" t="str">
        <f>IF(B60&lt;&gt;"Sensor Snapshot","",IF(S60="","Missing",IF(S60=-1,"Sensor failure sentinel (-1)",IF(OR(S60&lt;'02_Parameters'!$B$20,S60&gt;'02_Parameters'!$B$21),"Out of accepted range","Valid"))))</f>
        <v>Valid</v>
      </c>
      <c r="W60" s="16">
        <v>-6.9000000000000006E-2</v>
      </c>
      <c r="X60" s="16">
        <f t="shared" si="2"/>
        <v>6.9000000000000006E-2</v>
      </c>
      <c r="Y60" t="str">
        <f t="shared" si="3"/>
        <v>Sign corrected to positive</v>
      </c>
      <c r="Z60" s="16">
        <v>865</v>
      </c>
      <c r="AB60">
        <f>IF(B60&lt;&gt;"Sensor Snapshot","",IF(ISNUMBER(AA60),--(AA60&lt;&gt;0),IF(ISNUMBER(Z60),--(Z60&lt;'02_Parameters'!$B$15),"")))</f>
        <v>0</v>
      </c>
      <c r="AC60">
        <f>IF(B60&lt;&gt;"Sensor Snapshot","",IF(ISNUMBER(X60),--(X60&gt;='02_Parameters'!$B$16),""))</f>
        <v>0</v>
      </c>
      <c r="AD60">
        <v>0</v>
      </c>
      <c r="AE60">
        <f t="shared" si="4"/>
        <v>0</v>
      </c>
      <c r="AF60" s="3" t="str">
        <f t="shared" si="5"/>
        <v>No detection</v>
      </c>
      <c r="AG60" s="16">
        <v>0</v>
      </c>
      <c r="AH60" s="16">
        <f>IF(B60&lt;&gt;"Sensor Snapshot","",IF(ISNUMBER(AG60),IF(AG60&lt;0,"",IF(AG60&gt;10,AG60/'02_Parameters'!$B$17,AG60)),""))</f>
        <v>0</v>
      </c>
      <c r="AI60" t="str">
        <f t="shared" si="6"/>
        <v>Valid</v>
      </c>
      <c r="AJ60">
        <f t="shared" si="7"/>
        <v>0</v>
      </c>
      <c r="AK60">
        <f t="shared" si="8"/>
        <v>0</v>
      </c>
      <c r="AM60">
        <f t="shared" si="9"/>
        <v>0</v>
      </c>
      <c r="AN60">
        <f>IF(B60&lt;&gt;"Sensor Snapshot","",--(N60&gt;='02_Parameters'!$B$13))</f>
        <v>0</v>
      </c>
      <c r="AO60">
        <f>IF(B60&lt;&gt;"Sensor Snapshot","",--(AND(L60="PUMPING",ISNUMBER(AH60),AH60&lt;='02_Parameters'!$B$10)))</f>
        <v>0</v>
      </c>
      <c r="AP60" s="16"/>
      <c r="AQ60" s="16" t="str">
        <f t="shared" si="10"/>
        <v/>
      </c>
      <c r="AR60" s="16" t="str">
        <f t="shared" si="11"/>
        <v/>
      </c>
      <c r="AU60" t="s">
        <v>236</v>
      </c>
      <c r="AV60" t="s">
        <v>237</v>
      </c>
      <c r="AW60" s="3" t="s">
        <v>238</v>
      </c>
      <c r="AX60" s="3">
        <f t="shared" si="12"/>
        <v>100</v>
      </c>
      <c r="AY60" s="3" t="str">
        <f t="shared" si="13"/>
        <v>A</v>
      </c>
      <c r="AZ60" s="3" t="s">
        <v>239</v>
      </c>
      <c r="BA60" s="3" t="s">
        <v>240</v>
      </c>
    </row>
    <row r="61" spans="1:53" ht="27.6">
      <c r="A61" t="s">
        <v>343</v>
      </c>
      <c r="B61" t="s">
        <v>242</v>
      </c>
      <c r="C61" s="14">
        <v>5374</v>
      </c>
      <c r="D61" s="15">
        <f t="shared" si="0"/>
        <v>5.3739999999999997</v>
      </c>
      <c r="E61" t="s">
        <v>232</v>
      </c>
      <c r="G61" t="s">
        <v>157</v>
      </c>
      <c r="H61" t="s">
        <v>243</v>
      </c>
      <c r="I61" s="3" t="s">
        <v>244</v>
      </c>
      <c r="J61" s="3" t="s">
        <v>245</v>
      </c>
      <c r="M61" t="str">
        <f t="shared" si="1"/>
        <v/>
      </c>
      <c r="O61" s="16"/>
      <c r="P61" s="16" t="str">
        <f>IF(AND(ISNUMBER(O61),O61&lt;&gt;-1,O61&gt;='02_Parameters'!$B$18,O61&lt;='02_Parameters'!$B$19),O61,"")</f>
        <v/>
      </c>
      <c r="Q61" s="16"/>
      <c r="R61" t="str">
        <f>IF(B61&lt;&gt;"Sensor Snapshot","",IF(O61="","Missing",IF(O61=-1,"Sensor failure sentinel (-1)",IF(OR(O61&lt;'02_Parameters'!$B$18,O61&gt;'02_Parameters'!$B$19),"Out of accepted range","Valid"))))</f>
        <v/>
      </c>
      <c r="S61" s="16"/>
      <c r="T61" s="16" t="str">
        <f>IF(AND(ISNUMBER(S61),S61&lt;&gt;-1,S61&gt;='02_Parameters'!$B$20,S61&lt;='02_Parameters'!$B$21),S61,"")</f>
        <v/>
      </c>
      <c r="U61" s="16"/>
      <c r="V61" t="str">
        <f>IF(B61&lt;&gt;"Sensor Snapshot","",IF(S61="","Missing",IF(S61=-1,"Sensor failure sentinel (-1)",IF(OR(S61&lt;'02_Parameters'!$B$20,S61&gt;'02_Parameters'!$B$21),"Out of accepted range","Valid"))))</f>
        <v/>
      </c>
      <c r="W61" s="16"/>
      <c r="X61" s="16" t="str">
        <f t="shared" si="2"/>
        <v/>
      </c>
      <c r="Y61" t="str">
        <f t="shared" si="3"/>
        <v/>
      </c>
      <c r="Z61" s="16"/>
      <c r="AB61" t="str">
        <f>IF(B61&lt;&gt;"Sensor Snapshot","",IF(ISNUMBER(AA61),--(AA61&lt;&gt;0),IF(ISNUMBER(Z61),--(Z61&lt;'02_Parameters'!$B$15),"")))</f>
        <v/>
      </c>
      <c r="AC61" t="str">
        <f>IF(B61&lt;&gt;"Sensor Snapshot","",IF(ISNUMBER(X61),--(X61&gt;='02_Parameters'!$B$16),""))</f>
        <v/>
      </c>
      <c r="AD61">
        <v>0</v>
      </c>
      <c r="AE61" t="str">
        <f t="shared" si="4"/>
        <v/>
      </c>
      <c r="AF61" s="3" t="str">
        <f t="shared" si="5"/>
        <v/>
      </c>
      <c r="AG61" s="16"/>
      <c r="AH61" s="16" t="str">
        <f>IF(B61&lt;&gt;"Sensor Snapshot","",IF(ISNUMBER(AG61),IF(AG61&lt;0,"",IF(AG61&gt;10,AG61/'02_Parameters'!$B$17,AG61)),""))</f>
        <v/>
      </c>
      <c r="AI61" t="str">
        <f t="shared" si="6"/>
        <v/>
      </c>
      <c r="AJ61" t="str">
        <f t="shared" si="7"/>
        <v/>
      </c>
      <c r="AK61" t="str">
        <f t="shared" si="8"/>
        <v/>
      </c>
      <c r="AL61">
        <v>1</v>
      </c>
      <c r="AM61" t="str">
        <f t="shared" si="9"/>
        <v/>
      </c>
      <c r="AN61" t="str">
        <f>IF(B61&lt;&gt;"Sensor Snapshot","",--(N61&gt;='02_Parameters'!$B$13))</f>
        <v/>
      </c>
      <c r="AO61" t="str">
        <f>IF(B61&lt;&gt;"Sensor Snapshot","",--(AND(L61="PUMPING",ISNUMBER(AH61),AH61&lt;='02_Parameters'!$B$10)))</f>
        <v/>
      </c>
      <c r="AP61" s="16"/>
      <c r="AQ61" s="16" t="str">
        <f t="shared" si="10"/>
        <v/>
      </c>
      <c r="AR61" s="16" t="str">
        <f t="shared" si="11"/>
        <v/>
      </c>
      <c r="AW61" s="3" t="s">
        <v>246</v>
      </c>
      <c r="AX61" s="3" t="str">
        <f t="shared" si="12"/>
        <v/>
      </c>
      <c r="AY61" s="3" t="str">
        <f t="shared" si="13"/>
        <v/>
      </c>
      <c r="AZ61" s="3" t="s">
        <v>247</v>
      </c>
      <c r="BA61" s="3"/>
    </row>
    <row r="62" spans="1:53" ht="27.6">
      <c r="A62" t="s">
        <v>344</v>
      </c>
      <c r="B62" t="s">
        <v>242</v>
      </c>
      <c r="C62" s="14">
        <v>8001</v>
      </c>
      <c r="D62" s="15">
        <f t="shared" si="0"/>
        <v>8.0009999999999994</v>
      </c>
      <c r="E62" t="s">
        <v>232</v>
      </c>
      <c r="G62" t="s">
        <v>91</v>
      </c>
      <c r="H62" t="s">
        <v>249</v>
      </c>
      <c r="I62" s="3" t="s">
        <v>250</v>
      </c>
      <c r="J62" s="3" t="s">
        <v>251</v>
      </c>
      <c r="M62" t="str">
        <f t="shared" si="1"/>
        <v/>
      </c>
      <c r="O62" s="16"/>
      <c r="P62" s="16" t="str">
        <f>IF(AND(ISNUMBER(O62),O62&lt;&gt;-1,O62&gt;='02_Parameters'!$B$18,O62&lt;='02_Parameters'!$B$19),O62,"")</f>
        <v/>
      </c>
      <c r="Q62" s="16"/>
      <c r="R62" t="str">
        <f>IF(B62&lt;&gt;"Sensor Snapshot","",IF(O62="","Missing",IF(O62=-1,"Sensor failure sentinel (-1)",IF(OR(O62&lt;'02_Parameters'!$B$18,O62&gt;'02_Parameters'!$B$19),"Out of accepted range","Valid"))))</f>
        <v/>
      </c>
      <c r="S62" s="16"/>
      <c r="T62" s="16" t="str">
        <f>IF(AND(ISNUMBER(S62),S62&lt;&gt;-1,S62&gt;='02_Parameters'!$B$20,S62&lt;='02_Parameters'!$B$21),S62,"")</f>
        <v/>
      </c>
      <c r="U62" s="16"/>
      <c r="V62" t="str">
        <f>IF(B62&lt;&gt;"Sensor Snapshot","",IF(S62="","Missing",IF(S62=-1,"Sensor failure sentinel (-1)",IF(OR(S62&lt;'02_Parameters'!$B$20,S62&gt;'02_Parameters'!$B$21),"Out of accepted range","Valid"))))</f>
        <v/>
      </c>
      <c r="W62" s="16"/>
      <c r="X62" s="16" t="str">
        <f t="shared" si="2"/>
        <v/>
      </c>
      <c r="Y62" t="str">
        <f t="shared" si="3"/>
        <v/>
      </c>
      <c r="Z62" s="16"/>
      <c r="AB62" t="str">
        <f>IF(B62&lt;&gt;"Sensor Snapshot","",IF(ISNUMBER(AA62),--(AA62&lt;&gt;0),IF(ISNUMBER(Z62),--(Z62&lt;'02_Parameters'!$B$15),"")))</f>
        <v/>
      </c>
      <c r="AC62" t="str">
        <f>IF(B62&lt;&gt;"Sensor Snapshot","",IF(ISNUMBER(X62),--(X62&gt;='02_Parameters'!$B$16),""))</f>
        <v/>
      </c>
      <c r="AD62">
        <v>0</v>
      </c>
      <c r="AE62" t="str">
        <f t="shared" si="4"/>
        <v/>
      </c>
      <c r="AF62" s="3" t="str">
        <f t="shared" si="5"/>
        <v/>
      </c>
      <c r="AG62" s="16"/>
      <c r="AH62" s="16" t="str">
        <f>IF(B62&lt;&gt;"Sensor Snapshot","",IF(ISNUMBER(AG62),IF(AG62&lt;0,"",IF(AG62&gt;10,AG62/'02_Parameters'!$B$17,AG62)),""))</f>
        <v/>
      </c>
      <c r="AI62" t="str">
        <f t="shared" si="6"/>
        <v/>
      </c>
      <c r="AJ62" t="str">
        <f t="shared" si="7"/>
        <v/>
      </c>
      <c r="AK62" t="str">
        <f t="shared" si="8"/>
        <v/>
      </c>
      <c r="AM62" t="str">
        <f t="shared" si="9"/>
        <v/>
      </c>
      <c r="AN62" t="str">
        <f>IF(B62&lt;&gt;"Sensor Snapshot","",--(N62&gt;='02_Parameters'!$B$13))</f>
        <v/>
      </c>
      <c r="AO62" t="str">
        <f>IF(B62&lt;&gt;"Sensor Snapshot","",--(AND(L62="PUMPING",ISNUMBER(AH62),AH62&lt;='02_Parameters'!$B$10)))</f>
        <v/>
      </c>
      <c r="AP62" s="16"/>
      <c r="AQ62" s="16" t="str">
        <f t="shared" si="10"/>
        <v/>
      </c>
      <c r="AR62" s="16" t="str">
        <f t="shared" si="11"/>
        <v/>
      </c>
      <c r="AW62" s="3" t="s">
        <v>246</v>
      </c>
      <c r="AX62" s="3" t="str">
        <f t="shared" si="12"/>
        <v/>
      </c>
      <c r="AY62" s="3" t="str">
        <f t="shared" si="13"/>
        <v/>
      </c>
      <c r="AZ62" s="3" t="s">
        <v>252</v>
      </c>
      <c r="BA62" s="3"/>
    </row>
    <row r="63" spans="1:53" ht="27.6">
      <c r="A63" t="s">
        <v>345</v>
      </c>
      <c r="B63" t="s">
        <v>242</v>
      </c>
      <c r="C63" s="14">
        <v>8514</v>
      </c>
      <c r="D63" s="15">
        <f t="shared" si="0"/>
        <v>8.5139999999999993</v>
      </c>
      <c r="E63" t="s">
        <v>232</v>
      </c>
      <c r="G63" t="s">
        <v>91</v>
      </c>
      <c r="H63" t="s">
        <v>249</v>
      </c>
      <c r="I63" s="3" t="s">
        <v>254</v>
      </c>
      <c r="J63" s="3" t="s">
        <v>255</v>
      </c>
      <c r="M63" t="str">
        <f t="shared" si="1"/>
        <v/>
      </c>
      <c r="O63" s="16"/>
      <c r="P63" s="16" t="str">
        <f>IF(AND(ISNUMBER(O63),O63&lt;&gt;-1,O63&gt;='02_Parameters'!$B$18,O63&lt;='02_Parameters'!$B$19),O63,"")</f>
        <v/>
      </c>
      <c r="Q63" s="16"/>
      <c r="R63" t="str">
        <f>IF(B63&lt;&gt;"Sensor Snapshot","",IF(O63="","Missing",IF(O63=-1,"Sensor failure sentinel (-1)",IF(OR(O63&lt;'02_Parameters'!$B$18,O63&gt;'02_Parameters'!$B$19),"Out of accepted range","Valid"))))</f>
        <v/>
      </c>
      <c r="S63" s="16"/>
      <c r="T63" s="16" t="str">
        <f>IF(AND(ISNUMBER(S63),S63&lt;&gt;-1,S63&gt;='02_Parameters'!$B$20,S63&lt;='02_Parameters'!$B$21),S63,"")</f>
        <v/>
      </c>
      <c r="U63" s="16"/>
      <c r="V63" t="str">
        <f>IF(B63&lt;&gt;"Sensor Snapshot","",IF(S63="","Missing",IF(S63=-1,"Sensor failure sentinel (-1)",IF(OR(S63&lt;'02_Parameters'!$B$20,S63&gt;'02_Parameters'!$B$21),"Out of accepted range","Valid"))))</f>
        <v/>
      </c>
      <c r="W63" s="16"/>
      <c r="X63" s="16" t="str">
        <f t="shared" si="2"/>
        <v/>
      </c>
      <c r="Y63" t="str">
        <f t="shared" si="3"/>
        <v/>
      </c>
      <c r="Z63" s="16"/>
      <c r="AB63" t="str">
        <f>IF(B63&lt;&gt;"Sensor Snapshot","",IF(ISNUMBER(AA63),--(AA63&lt;&gt;0),IF(ISNUMBER(Z63),--(Z63&lt;'02_Parameters'!$B$15),"")))</f>
        <v/>
      </c>
      <c r="AC63" t="str">
        <f>IF(B63&lt;&gt;"Sensor Snapshot","",IF(ISNUMBER(X63),--(X63&gt;='02_Parameters'!$B$16),""))</f>
        <v/>
      </c>
      <c r="AD63">
        <v>0</v>
      </c>
      <c r="AE63" t="str">
        <f t="shared" si="4"/>
        <v/>
      </c>
      <c r="AF63" s="3" t="str">
        <f t="shared" si="5"/>
        <v/>
      </c>
      <c r="AG63" s="16"/>
      <c r="AH63" s="16" t="str">
        <f>IF(B63&lt;&gt;"Sensor Snapshot","",IF(ISNUMBER(AG63),IF(AG63&lt;0,"",IF(AG63&gt;10,AG63/'02_Parameters'!$B$17,AG63)),""))</f>
        <v/>
      </c>
      <c r="AI63" t="str">
        <f t="shared" si="6"/>
        <v/>
      </c>
      <c r="AJ63" t="str">
        <f t="shared" si="7"/>
        <v/>
      </c>
      <c r="AK63" t="str">
        <f t="shared" si="8"/>
        <v/>
      </c>
      <c r="AM63" t="str">
        <f t="shared" si="9"/>
        <v/>
      </c>
      <c r="AN63" t="str">
        <f>IF(B63&lt;&gt;"Sensor Snapshot","",--(N63&gt;='02_Parameters'!$B$13))</f>
        <v/>
      </c>
      <c r="AO63" t="str">
        <f>IF(B63&lt;&gt;"Sensor Snapshot","",--(AND(L63="PUMPING",ISNUMBER(AH63),AH63&lt;='02_Parameters'!$B$10)))</f>
        <v/>
      </c>
      <c r="AP63" s="16"/>
      <c r="AQ63" s="16" t="str">
        <f t="shared" si="10"/>
        <v/>
      </c>
      <c r="AR63" s="16" t="str">
        <f t="shared" si="11"/>
        <v/>
      </c>
      <c r="AW63" s="3" t="s">
        <v>246</v>
      </c>
      <c r="AX63" s="3" t="str">
        <f t="shared" si="12"/>
        <v/>
      </c>
      <c r="AY63" s="3" t="str">
        <f t="shared" si="13"/>
        <v/>
      </c>
      <c r="AZ63" s="3" t="s">
        <v>247</v>
      </c>
      <c r="BA63" s="3"/>
    </row>
    <row r="64" spans="1:53" ht="27.6">
      <c r="A64" t="s">
        <v>346</v>
      </c>
      <c r="B64" t="s">
        <v>231</v>
      </c>
      <c r="C64" s="14">
        <v>23689</v>
      </c>
      <c r="D64" s="15">
        <f t="shared" si="0"/>
        <v>23.689</v>
      </c>
      <c r="E64" t="s">
        <v>232</v>
      </c>
      <c r="F64" t="s">
        <v>3</v>
      </c>
      <c r="G64" t="s">
        <v>234</v>
      </c>
      <c r="H64" t="s">
        <v>235</v>
      </c>
      <c r="I64" s="3"/>
      <c r="J64" s="3"/>
      <c r="M64" t="str">
        <f t="shared" si="1"/>
        <v/>
      </c>
      <c r="O64" s="16">
        <v>21.4</v>
      </c>
      <c r="P64" s="16">
        <f>IF(AND(ISNUMBER(O64),O64&lt;&gt;-1,O64&gt;='02_Parameters'!$B$18,O64&lt;='02_Parameters'!$B$19),O64,"")</f>
        <v>21.4</v>
      </c>
      <c r="Q64" s="16">
        <v>21.4</v>
      </c>
      <c r="R64" t="str">
        <f>IF(B64&lt;&gt;"Sensor Snapshot","",IF(O64="","Missing",IF(O64=-1,"Sensor failure sentinel (-1)",IF(OR(O64&lt;'02_Parameters'!$B$18,O64&gt;'02_Parameters'!$B$19),"Out of accepted range","Valid"))))</f>
        <v>Valid</v>
      </c>
      <c r="S64" s="16">
        <v>70.099999999999994</v>
      </c>
      <c r="T64" s="16">
        <f>IF(AND(ISNUMBER(S64),S64&lt;&gt;-1,S64&gt;='02_Parameters'!$B$20,S64&lt;='02_Parameters'!$B$21),S64,"")</f>
        <v>70.099999999999994</v>
      </c>
      <c r="U64" s="16">
        <v>70.099999999999994</v>
      </c>
      <c r="V64" t="str">
        <f>IF(B64&lt;&gt;"Sensor Snapshot","",IF(S64="","Missing",IF(S64=-1,"Sensor failure sentinel (-1)",IF(OR(S64&lt;'02_Parameters'!$B$20,S64&gt;'02_Parameters'!$B$21),"Out of accepted range","Valid"))))</f>
        <v>Valid</v>
      </c>
      <c r="W64" s="16">
        <v>-0.72860000000000003</v>
      </c>
      <c r="X64" s="16">
        <f t="shared" si="2"/>
        <v>0.72860000000000003</v>
      </c>
      <c r="Y64" t="str">
        <f t="shared" si="3"/>
        <v>Sign corrected to positive</v>
      </c>
      <c r="Z64" s="16">
        <v>850</v>
      </c>
      <c r="AB64">
        <f>IF(B64&lt;&gt;"Sensor Snapshot","",IF(ISNUMBER(AA64),--(AA64&lt;&gt;0),IF(ISNUMBER(Z64),--(Z64&lt;'02_Parameters'!$B$15),"")))</f>
        <v>0</v>
      </c>
      <c r="AC64">
        <f>IF(B64&lt;&gt;"Sensor Snapshot","",IF(ISNUMBER(X64),--(X64&gt;='02_Parameters'!$B$16),""))</f>
        <v>0</v>
      </c>
      <c r="AD64">
        <v>0</v>
      </c>
      <c r="AE64">
        <f t="shared" si="4"/>
        <v>0</v>
      </c>
      <c r="AF64" s="3" t="str">
        <f t="shared" si="5"/>
        <v>No detection</v>
      </c>
      <c r="AG64" s="16">
        <v>0</v>
      </c>
      <c r="AH64" s="16">
        <f>IF(B64&lt;&gt;"Sensor Snapshot","",IF(ISNUMBER(AG64),IF(AG64&lt;0,"",IF(AG64&gt;10,AG64/'02_Parameters'!$B$17,AG64)),""))</f>
        <v>0</v>
      </c>
      <c r="AI64" t="str">
        <f t="shared" si="6"/>
        <v>Valid</v>
      </c>
      <c r="AJ64">
        <f t="shared" si="7"/>
        <v>0</v>
      </c>
      <c r="AK64">
        <f t="shared" si="8"/>
        <v>0</v>
      </c>
      <c r="AM64">
        <f t="shared" si="9"/>
        <v>0</v>
      </c>
      <c r="AN64">
        <f>IF(B64&lt;&gt;"Sensor Snapshot","",--(N64&gt;='02_Parameters'!$B$13))</f>
        <v>0</v>
      </c>
      <c r="AO64">
        <f>IF(B64&lt;&gt;"Sensor Snapshot","",--(AND(L64="PUMPING",ISNUMBER(AH64),AH64&lt;='02_Parameters'!$B$10)))</f>
        <v>0</v>
      </c>
      <c r="AP64" s="16"/>
      <c r="AQ64" s="16" t="str">
        <f t="shared" si="10"/>
        <v/>
      </c>
      <c r="AR64" s="16" t="str">
        <f t="shared" si="11"/>
        <v/>
      </c>
      <c r="AU64" t="s">
        <v>236</v>
      </c>
      <c r="AV64" t="s">
        <v>237</v>
      </c>
      <c r="AW64" s="3" t="s">
        <v>238</v>
      </c>
      <c r="AX64" s="3">
        <f t="shared" si="12"/>
        <v>100</v>
      </c>
      <c r="AY64" s="3" t="str">
        <f t="shared" si="13"/>
        <v>A</v>
      </c>
      <c r="AZ64" s="3" t="s">
        <v>239</v>
      </c>
      <c r="BA64" s="3" t="s">
        <v>240</v>
      </c>
    </row>
    <row r="65" spans="1:53" ht="27.6">
      <c r="A65" t="s">
        <v>347</v>
      </c>
      <c r="B65" t="s">
        <v>242</v>
      </c>
      <c r="C65" s="14">
        <v>23907</v>
      </c>
      <c r="D65" s="15">
        <f t="shared" si="0"/>
        <v>23.907</v>
      </c>
      <c r="E65" t="s">
        <v>232</v>
      </c>
      <c r="G65" t="s">
        <v>91</v>
      </c>
      <c r="H65" t="s">
        <v>249</v>
      </c>
      <c r="I65" s="3" t="s">
        <v>250</v>
      </c>
      <c r="J65" s="3" t="s">
        <v>251</v>
      </c>
      <c r="M65" t="str">
        <f t="shared" si="1"/>
        <v/>
      </c>
      <c r="O65" s="16"/>
      <c r="P65" s="16" t="str">
        <f>IF(AND(ISNUMBER(O65),O65&lt;&gt;-1,O65&gt;='02_Parameters'!$B$18,O65&lt;='02_Parameters'!$B$19),O65,"")</f>
        <v/>
      </c>
      <c r="Q65" s="16"/>
      <c r="R65" t="str">
        <f>IF(B65&lt;&gt;"Sensor Snapshot","",IF(O65="","Missing",IF(O65=-1,"Sensor failure sentinel (-1)",IF(OR(O65&lt;'02_Parameters'!$B$18,O65&gt;'02_Parameters'!$B$19),"Out of accepted range","Valid"))))</f>
        <v/>
      </c>
      <c r="S65" s="16"/>
      <c r="T65" s="16" t="str">
        <f>IF(AND(ISNUMBER(S65),S65&lt;&gt;-1,S65&gt;='02_Parameters'!$B$20,S65&lt;='02_Parameters'!$B$21),S65,"")</f>
        <v/>
      </c>
      <c r="U65" s="16"/>
      <c r="V65" t="str">
        <f>IF(B65&lt;&gt;"Sensor Snapshot","",IF(S65="","Missing",IF(S65=-1,"Sensor failure sentinel (-1)",IF(OR(S65&lt;'02_Parameters'!$B$20,S65&gt;'02_Parameters'!$B$21),"Out of accepted range","Valid"))))</f>
        <v/>
      </c>
      <c r="W65" s="16"/>
      <c r="X65" s="16" t="str">
        <f t="shared" si="2"/>
        <v/>
      </c>
      <c r="Y65" t="str">
        <f t="shared" si="3"/>
        <v/>
      </c>
      <c r="Z65" s="16"/>
      <c r="AB65" t="str">
        <f>IF(B65&lt;&gt;"Sensor Snapshot","",IF(ISNUMBER(AA65),--(AA65&lt;&gt;0),IF(ISNUMBER(Z65),--(Z65&lt;'02_Parameters'!$B$15),"")))</f>
        <v/>
      </c>
      <c r="AC65" t="str">
        <f>IF(B65&lt;&gt;"Sensor Snapshot","",IF(ISNUMBER(X65),--(X65&gt;='02_Parameters'!$B$16),""))</f>
        <v/>
      </c>
      <c r="AD65">
        <v>0</v>
      </c>
      <c r="AE65" t="str">
        <f t="shared" si="4"/>
        <v/>
      </c>
      <c r="AF65" s="3" t="str">
        <f t="shared" si="5"/>
        <v/>
      </c>
      <c r="AG65" s="16"/>
      <c r="AH65" s="16" t="str">
        <f>IF(B65&lt;&gt;"Sensor Snapshot","",IF(ISNUMBER(AG65),IF(AG65&lt;0,"",IF(AG65&gt;10,AG65/'02_Parameters'!$B$17,AG65)),""))</f>
        <v/>
      </c>
      <c r="AI65" t="str">
        <f t="shared" si="6"/>
        <v/>
      </c>
      <c r="AJ65" t="str">
        <f t="shared" si="7"/>
        <v/>
      </c>
      <c r="AK65" t="str">
        <f t="shared" si="8"/>
        <v/>
      </c>
      <c r="AM65" t="str">
        <f t="shared" si="9"/>
        <v/>
      </c>
      <c r="AN65" t="str">
        <f>IF(B65&lt;&gt;"Sensor Snapshot","",--(N65&gt;='02_Parameters'!$B$13))</f>
        <v/>
      </c>
      <c r="AO65" t="str">
        <f>IF(B65&lt;&gt;"Sensor Snapshot","",--(AND(L65="PUMPING",ISNUMBER(AH65),AH65&lt;='02_Parameters'!$B$10)))</f>
        <v/>
      </c>
      <c r="AP65" s="16"/>
      <c r="AQ65" s="16" t="str">
        <f t="shared" si="10"/>
        <v/>
      </c>
      <c r="AR65" s="16" t="str">
        <f t="shared" si="11"/>
        <v/>
      </c>
      <c r="AW65" s="3" t="s">
        <v>246</v>
      </c>
      <c r="AX65" s="3" t="str">
        <f t="shared" si="12"/>
        <v/>
      </c>
      <c r="AY65" s="3" t="str">
        <f t="shared" si="13"/>
        <v/>
      </c>
      <c r="AZ65" s="3" t="s">
        <v>252</v>
      </c>
      <c r="BA65" s="3"/>
    </row>
    <row r="66" spans="1:53" ht="27.6">
      <c r="A66" t="s">
        <v>348</v>
      </c>
      <c r="B66" t="s">
        <v>242</v>
      </c>
      <c r="C66" s="14">
        <v>23976</v>
      </c>
      <c r="D66" s="15">
        <f t="shared" si="0"/>
        <v>23.975999999999999</v>
      </c>
      <c r="E66" t="s">
        <v>232</v>
      </c>
      <c r="G66" t="s">
        <v>91</v>
      </c>
      <c r="H66" t="s">
        <v>249</v>
      </c>
      <c r="I66" s="3" t="s">
        <v>254</v>
      </c>
      <c r="J66" s="3" t="s">
        <v>255</v>
      </c>
      <c r="M66" t="str">
        <f t="shared" si="1"/>
        <v/>
      </c>
      <c r="O66" s="16"/>
      <c r="P66" s="16" t="str">
        <f>IF(AND(ISNUMBER(O66),O66&lt;&gt;-1,O66&gt;='02_Parameters'!$B$18,O66&lt;='02_Parameters'!$B$19),O66,"")</f>
        <v/>
      </c>
      <c r="Q66" s="16"/>
      <c r="R66" t="str">
        <f>IF(B66&lt;&gt;"Sensor Snapshot","",IF(O66="","Missing",IF(O66=-1,"Sensor failure sentinel (-1)",IF(OR(O66&lt;'02_Parameters'!$B$18,O66&gt;'02_Parameters'!$B$19),"Out of accepted range","Valid"))))</f>
        <v/>
      </c>
      <c r="S66" s="16"/>
      <c r="T66" s="16" t="str">
        <f>IF(AND(ISNUMBER(S66),S66&lt;&gt;-1,S66&gt;='02_Parameters'!$B$20,S66&lt;='02_Parameters'!$B$21),S66,"")</f>
        <v/>
      </c>
      <c r="U66" s="16"/>
      <c r="V66" t="str">
        <f>IF(B66&lt;&gt;"Sensor Snapshot","",IF(S66="","Missing",IF(S66=-1,"Sensor failure sentinel (-1)",IF(OR(S66&lt;'02_Parameters'!$B$20,S66&gt;'02_Parameters'!$B$21),"Out of accepted range","Valid"))))</f>
        <v/>
      </c>
      <c r="W66" s="16"/>
      <c r="X66" s="16" t="str">
        <f t="shared" si="2"/>
        <v/>
      </c>
      <c r="Y66" t="str">
        <f t="shared" si="3"/>
        <v/>
      </c>
      <c r="Z66" s="16"/>
      <c r="AB66" t="str">
        <f>IF(B66&lt;&gt;"Sensor Snapshot","",IF(ISNUMBER(AA66),--(AA66&lt;&gt;0),IF(ISNUMBER(Z66),--(Z66&lt;'02_Parameters'!$B$15),"")))</f>
        <v/>
      </c>
      <c r="AC66" t="str">
        <f>IF(B66&lt;&gt;"Sensor Snapshot","",IF(ISNUMBER(X66),--(X66&gt;='02_Parameters'!$B$16),""))</f>
        <v/>
      </c>
      <c r="AD66">
        <v>0</v>
      </c>
      <c r="AE66" t="str">
        <f t="shared" si="4"/>
        <v/>
      </c>
      <c r="AF66" s="3" t="str">
        <f t="shared" si="5"/>
        <v/>
      </c>
      <c r="AG66" s="16"/>
      <c r="AH66" s="16" t="str">
        <f>IF(B66&lt;&gt;"Sensor Snapshot","",IF(ISNUMBER(AG66),IF(AG66&lt;0,"",IF(AG66&gt;10,AG66/'02_Parameters'!$B$17,AG66)),""))</f>
        <v/>
      </c>
      <c r="AI66" t="str">
        <f t="shared" si="6"/>
        <v/>
      </c>
      <c r="AJ66" t="str">
        <f t="shared" si="7"/>
        <v/>
      </c>
      <c r="AK66" t="str">
        <f t="shared" si="8"/>
        <v/>
      </c>
      <c r="AM66" t="str">
        <f t="shared" si="9"/>
        <v/>
      </c>
      <c r="AN66" t="str">
        <f>IF(B66&lt;&gt;"Sensor Snapshot","",--(N66&gt;='02_Parameters'!$B$13))</f>
        <v/>
      </c>
      <c r="AO66" t="str">
        <f>IF(B66&lt;&gt;"Sensor Snapshot","",--(AND(L66="PUMPING",ISNUMBER(AH66),AH66&lt;='02_Parameters'!$B$10)))</f>
        <v/>
      </c>
      <c r="AP66" s="16"/>
      <c r="AQ66" s="16" t="str">
        <f t="shared" si="10"/>
        <v/>
      </c>
      <c r="AR66" s="16" t="str">
        <f t="shared" si="11"/>
        <v/>
      </c>
      <c r="AW66" s="3" t="s">
        <v>246</v>
      </c>
      <c r="AX66" s="3" t="str">
        <f t="shared" si="12"/>
        <v/>
      </c>
      <c r="AY66" s="3" t="str">
        <f t="shared" si="13"/>
        <v/>
      </c>
      <c r="AZ66" s="3" t="s">
        <v>247</v>
      </c>
      <c r="BA66" s="3"/>
    </row>
    <row r="67" spans="1:53" ht="27.6">
      <c r="A67" t="s">
        <v>349</v>
      </c>
      <c r="B67" t="s">
        <v>231</v>
      </c>
      <c r="C67" s="14">
        <v>39140</v>
      </c>
      <c r="D67" s="15">
        <f t="shared" ref="D67:D130" si="14">IF(ISNUMBER(C67),C67/1000,"")</f>
        <v>39.14</v>
      </c>
      <c r="E67" t="s">
        <v>232</v>
      </c>
      <c r="F67" t="s">
        <v>6</v>
      </c>
      <c r="G67" t="s">
        <v>234</v>
      </c>
      <c r="H67" t="s">
        <v>235</v>
      </c>
      <c r="I67" s="3"/>
      <c r="J67" s="3"/>
      <c r="M67" t="str">
        <f t="shared" ref="M67:M130" si="15">IF(L67="IDLE",0,IF(L67="FIRE_DETECTED",1,IF(L67="PUMPING",2,IF(L67="BLOCKED",3,IF(L67="HUMIDIFYING",4,IF(L67="STABLE",5,""))))))</f>
        <v/>
      </c>
      <c r="O67" s="16">
        <v>21.7</v>
      </c>
      <c r="P67" s="16">
        <f>IF(AND(ISNUMBER(O67),O67&lt;&gt;-1,O67&gt;='02_Parameters'!$B$18,O67&lt;='02_Parameters'!$B$19),O67,"")</f>
        <v>21.7</v>
      </c>
      <c r="Q67" s="16">
        <v>21.7</v>
      </c>
      <c r="R67" t="str">
        <f>IF(B67&lt;&gt;"Sensor Snapshot","",IF(O67="","Missing",IF(O67=-1,"Sensor failure sentinel (-1)",IF(OR(O67&lt;'02_Parameters'!$B$18,O67&gt;'02_Parameters'!$B$19),"Out of accepted range","Valid"))))</f>
        <v>Valid</v>
      </c>
      <c r="S67" s="16">
        <v>76.900000000000006</v>
      </c>
      <c r="T67" s="16">
        <f>IF(AND(ISNUMBER(S67),S67&lt;&gt;-1,S67&gt;='02_Parameters'!$B$20,S67&lt;='02_Parameters'!$B$21),S67,"")</f>
        <v>76.900000000000006</v>
      </c>
      <c r="U67" s="16">
        <v>76.900000000000006</v>
      </c>
      <c r="V67" t="str">
        <f>IF(B67&lt;&gt;"Sensor Snapshot","",IF(S67="","Missing",IF(S67=-1,"Sensor failure sentinel (-1)",IF(OR(S67&lt;'02_Parameters'!$B$20,S67&gt;'02_Parameters'!$B$21),"Out of accepted range","Valid"))))</f>
        <v>Valid</v>
      </c>
      <c r="W67" s="16">
        <v>-0.65949999999999998</v>
      </c>
      <c r="X67" s="16">
        <f t="shared" ref="X67:X130" si="16">IF(ISNUMBER(W67),ABS(W67),"")</f>
        <v>0.65949999999999998</v>
      </c>
      <c r="Y67" t="str">
        <f t="shared" ref="Y67:Y130" si="17">IF(B67="Calibration Trial","Calibration magnitude",IF(B67&lt;&gt;"Sensor Snapshot","",IF(W67="","Missing",IF(W67&lt;0,"Sign corrected to positive","Valid"))))</f>
        <v>Sign corrected to positive</v>
      </c>
      <c r="Z67" s="16">
        <v>849</v>
      </c>
      <c r="AB67">
        <f>IF(B67&lt;&gt;"Sensor Snapshot","",IF(ISNUMBER(AA67),--(AA67&lt;&gt;0),IF(ISNUMBER(Z67),--(Z67&lt;'02_Parameters'!$B$15),"")))</f>
        <v>0</v>
      </c>
      <c r="AC67">
        <f>IF(B67&lt;&gt;"Sensor Snapshot","",IF(ISNUMBER(X67),--(X67&gt;='02_Parameters'!$B$16),""))</f>
        <v>0</v>
      </c>
      <c r="AD67">
        <v>0</v>
      </c>
      <c r="AE67">
        <f t="shared" ref="AE67:AE130" si="18">IF(B67&lt;&gt;"Sensor Snapshot","",IF(AD67=1,1,IF(AND(AB67=1,AC67=1),1,0)))</f>
        <v>0</v>
      </c>
      <c r="AF67" s="3" t="str">
        <f t="shared" ref="AF67:AF130" si="19">IF(B67&lt;&gt;"Sensor Snapshot","",IF(AD67=1,"Logged dual-sensor event",IF(AE67=1,"Derived: optical AND weight",IF(OR(AB67=1,AC67=1),"Partial detection only","No detection"))))</f>
        <v>No detection</v>
      </c>
      <c r="AG67" s="16">
        <v>0</v>
      </c>
      <c r="AH67" s="16">
        <f>IF(B67&lt;&gt;"Sensor Snapshot","",IF(ISNUMBER(AG67),IF(AG67&lt;0,"",IF(AG67&gt;10,AG67/'02_Parameters'!$B$17,AG67)),""))</f>
        <v>0</v>
      </c>
      <c r="AI67" t="str">
        <f t="shared" ref="AI67:AI130" si="20">IF(B67&lt;&gt;"Sensor Snapshot","",IF(AG67="","Missing",IF(AG67&lt;0,"Invalid negative flow",IF(AG67&gt;10,"Normalized from high-scale log","Valid"))))</f>
        <v>Valid</v>
      </c>
      <c r="AJ67">
        <f t="shared" ref="AJ67:AJ130" si="21">IF(B67&lt;&gt;"Sensor Snapshot","",--(L67="PUMPING"))</f>
        <v>0</v>
      </c>
      <c r="AK67">
        <f t="shared" ref="AK67:AK130" si="22">IF(B67&lt;&gt;"Sensor Snapshot","",--(L67="HUMIDIFYING"))</f>
        <v>0</v>
      </c>
      <c r="AM67">
        <f t="shared" ref="AM67:AM130" si="23">IF(B67&lt;&gt;"Sensor Snapshot","",--(OR(L67="FIRE_DETECTED",L67="BLOCKED")))</f>
        <v>0</v>
      </c>
      <c r="AN67">
        <f>IF(B67&lt;&gt;"Sensor Snapshot","",--(N67&gt;='02_Parameters'!$B$13))</f>
        <v>0</v>
      </c>
      <c r="AO67">
        <f>IF(B67&lt;&gt;"Sensor Snapshot","",--(AND(L67="PUMPING",ISNUMBER(AH67),AH67&lt;='02_Parameters'!$B$10)))</f>
        <v>0</v>
      </c>
      <c r="AP67" s="16"/>
      <c r="AQ67" s="16" t="str">
        <f t="shared" ref="AQ67:AQ130" si="24">IF(B67="Calibration Trial",X67-AP67,"")</f>
        <v/>
      </c>
      <c r="AR67" s="16" t="str">
        <f t="shared" ref="AR67:AR130" si="25">IF(AND(B67="Calibration Trial",AP67&lt;&gt;0),AQ67/AP67*100,"")</f>
        <v/>
      </c>
      <c r="AU67" t="s">
        <v>236</v>
      </c>
      <c r="AV67" t="s">
        <v>237</v>
      </c>
      <c r="AW67" s="3" t="s">
        <v>238</v>
      </c>
      <c r="AX67" s="3">
        <f t="shared" ref="AX67:AX130" si="26">IF(B67&lt;&gt;"Sensor Snapshot","",IF(P67&lt;&gt;"",20,0)+IF(T67&lt;&gt;"",20,0)+IF(X67&lt;&gt;"",20,0)+IF(AB67&lt;&gt;"",20,0)+IF(AH67&lt;&gt;"",20,0))</f>
        <v>100</v>
      </c>
      <c r="AY67" s="3" t="str">
        <f t="shared" ref="AY67:AY130" si="27">IF(AX67="","",IF(AX67&gt;=90,"A",IF(AX67&gt;=75,"B",IF(AX67&gt;=60,"C","D"))))</f>
        <v>A</v>
      </c>
      <c r="AZ67" s="3" t="s">
        <v>239</v>
      </c>
      <c r="BA67" s="3" t="s">
        <v>240</v>
      </c>
    </row>
    <row r="68" spans="1:53" ht="27.6">
      <c r="A68" t="s">
        <v>350</v>
      </c>
      <c r="B68" t="s">
        <v>242</v>
      </c>
      <c r="C68" s="14">
        <v>39358</v>
      </c>
      <c r="D68" s="15">
        <f t="shared" si="14"/>
        <v>39.357999999999997</v>
      </c>
      <c r="E68" t="s">
        <v>232</v>
      </c>
      <c r="G68" t="s">
        <v>91</v>
      </c>
      <c r="H68" t="s">
        <v>249</v>
      </c>
      <c r="I68" s="3" t="s">
        <v>250</v>
      </c>
      <c r="J68" s="3" t="s">
        <v>251</v>
      </c>
      <c r="M68" t="str">
        <f t="shared" si="15"/>
        <v/>
      </c>
      <c r="O68" s="16"/>
      <c r="P68" s="16" t="str">
        <f>IF(AND(ISNUMBER(O68),O68&lt;&gt;-1,O68&gt;='02_Parameters'!$B$18,O68&lt;='02_Parameters'!$B$19),O68,"")</f>
        <v/>
      </c>
      <c r="Q68" s="16"/>
      <c r="R68" t="str">
        <f>IF(B68&lt;&gt;"Sensor Snapshot","",IF(O68="","Missing",IF(O68=-1,"Sensor failure sentinel (-1)",IF(OR(O68&lt;'02_Parameters'!$B$18,O68&gt;'02_Parameters'!$B$19),"Out of accepted range","Valid"))))</f>
        <v/>
      </c>
      <c r="S68" s="16"/>
      <c r="T68" s="16" t="str">
        <f>IF(AND(ISNUMBER(S68),S68&lt;&gt;-1,S68&gt;='02_Parameters'!$B$20,S68&lt;='02_Parameters'!$B$21),S68,"")</f>
        <v/>
      </c>
      <c r="U68" s="16"/>
      <c r="V68" t="str">
        <f>IF(B68&lt;&gt;"Sensor Snapshot","",IF(S68="","Missing",IF(S68=-1,"Sensor failure sentinel (-1)",IF(OR(S68&lt;'02_Parameters'!$B$20,S68&gt;'02_Parameters'!$B$21),"Out of accepted range","Valid"))))</f>
        <v/>
      </c>
      <c r="W68" s="16"/>
      <c r="X68" s="16" t="str">
        <f t="shared" si="16"/>
        <v/>
      </c>
      <c r="Y68" t="str">
        <f t="shared" si="17"/>
        <v/>
      </c>
      <c r="Z68" s="16"/>
      <c r="AB68" t="str">
        <f>IF(B68&lt;&gt;"Sensor Snapshot","",IF(ISNUMBER(AA68),--(AA68&lt;&gt;0),IF(ISNUMBER(Z68),--(Z68&lt;'02_Parameters'!$B$15),"")))</f>
        <v/>
      </c>
      <c r="AC68" t="str">
        <f>IF(B68&lt;&gt;"Sensor Snapshot","",IF(ISNUMBER(X68),--(X68&gt;='02_Parameters'!$B$16),""))</f>
        <v/>
      </c>
      <c r="AD68">
        <v>0</v>
      </c>
      <c r="AE68" t="str">
        <f t="shared" si="18"/>
        <v/>
      </c>
      <c r="AF68" s="3" t="str">
        <f t="shared" si="19"/>
        <v/>
      </c>
      <c r="AG68" s="16"/>
      <c r="AH68" s="16" t="str">
        <f>IF(B68&lt;&gt;"Sensor Snapshot","",IF(ISNUMBER(AG68),IF(AG68&lt;0,"",IF(AG68&gt;10,AG68/'02_Parameters'!$B$17,AG68)),""))</f>
        <v/>
      </c>
      <c r="AI68" t="str">
        <f t="shared" si="20"/>
        <v/>
      </c>
      <c r="AJ68" t="str">
        <f t="shared" si="21"/>
        <v/>
      </c>
      <c r="AK68" t="str">
        <f t="shared" si="22"/>
        <v/>
      </c>
      <c r="AM68" t="str">
        <f t="shared" si="23"/>
        <v/>
      </c>
      <c r="AN68" t="str">
        <f>IF(B68&lt;&gt;"Sensor Snapshot","",--(N68&gt;='02_Parameters'!$B$13))</f>
        <v/>
      </c>
      <c r="AO68" t="str">
        <f>IF(B68&lt;&gt;"Sensor Snapshot","",--(AND(L68="PUMPING",ISNUMBER(AH68),AH68&lt;='02_Parameters'!$B$10)))</f>
        <v/>
      </c>
      <c r="AP68" s="16"/>
      <c r="AQ68" s="16" t="str">
        <f t="shared" si="24"/>
        <v/>
      </c>
      <c r="AR68" s="16" t="str">
        <f t="shared" si="25"/>
        <v/>
      </c>
      <c r="AW68" s="3" t="s">
        <v>246</v>
      </c>
      <c r="AX68" s="3" t="str">
        <f t="shared" si="26"/>
        <v/>
      </c>
      <c r="AY68" s="3" t="str">
        <f t="shared" si="27"/>
        <v/>
      </c>
      <c r="AZ68" s="3" t="s">
        <v>252</v>
      </c>
      <c r="BA68" s="3"/>
    </row>
    <row r="69" spans="1:53" ht="27.6">
      <c r="A69" t="s">
        <v>351</v>
      </c>
      <c r="B69" t="s">
        <v>242</v>
      </c>
      <c r="C69" s="14">
        <v>39429</v>
      </c>
      <c r="D69" s="15">
        <f t="shared" si="14"/>
        <v>39.429000000000002</v>
      </c>
      <c r="E69" t="s">
        <v>232</v>
      </c>
      <c r="G69" t="s">
        <v>91</v>
      </c>
      <c r="H69" t="s">
        <v>249</v>
      </c>
      <c r="I69" s="3" t="s">
        <v>254</v>
      </c>
      <c r="J69" s="3" t="s">
        <v>255</v>
      </c>
      <c r="M69" t="str">
        <f t="shared" si="15"/>
        <v/>
      </c>
      <c r="O69" s="16"/>
      <c r="P69" s="16" t="str">
        <f>IF(AND(ISNUMBER(O69),O69&lt;&gt;-1,O69&gt;='02_Parameters'!$B$18,O69&lt;='02_Parameters'!$B$19),O69,"")</f>
        <v/>
      </c>
      <c r="Q69" s="16"/>
      <c r="R69" t="str">
        <f>IF(B69&lt;&gt;"Sensor Snapshot","",IF(O69="","Missing",IF(O69=-1,"Sensor failure sentinel (-1)",IF(OR(O69&lt;'02_Parameters'!$B$18,O69&gt;'02_Parameters'!$B$19),"Out of accepted range","Valid"))))</f>
        <v/>
      </c>
      <c r="S69" s="16"/>
      <c r="T69" s="16" t="str">
        <f>IF(AND(ISNUMBER(S69),S69&lt;&gt;-1,S69&gt;='02_Parameters'!$B$20,S69&lt;='02_Parameters'!$B$21),S69,"")</f>
        <v/>
      </c>
      <c r="U69" s="16"/>
      <c r="V69" t="str">
        <f>IF(B69&lt;&gt;"Sensor Snapshot","",IF(S69="","Missing",IF(S69=-1,"Sensor failure sentinel (-1)",IF(OR(S69&lt;'02_Parameters'!$B$20,S69&gt;'02_Parameters'!$B$21),"Out of accepted range","Valid"))))</f>
        <v/>
      </c>
      <c r="W69" s="16"/>
      <c r="X69" s="16" t="str">
        <f t="shared" si="16"/>
        <v/>
      </c>
      <c r="Y69" t="str">
        <f t="shared" si="17"/>
        <v/>
      </c>
      <c r="Z69" s="16"/>
      <c r="AB69" t="str">
        <f>IF(B69&lt;&gt;"Sensor Snapshot","",IF(ISNUMBER(AA69),--(AA69&lt;&gt;0),IF(ISNUMBER(Z69),--(Z69&lt;'02_Parameters'!$B$15),"")))</f>
        <v/>
      </c>
      <c r="AC69" t="str">
        <f>IF(B69&lt;&gt;"Sensor Snapshot","",IF(ISNUMBER(X69),--(X69&gt;='02_Parameters'!$B$16),""))</f>
        <v/>
      </c>
      <c r="AD69">
        <v>0</v>
      </c>
      <c r="AE69" t="str">
        <f t="shared" si="18"/>
        <v/>
      </c>
      <c r="AF69" s="3" t="str">
        <f t="shared" si="19"/>
        <v/>
      </c>
      <c r="AG69" s="16"/>
      <c r="AH69" s="16" t="str">
        <f>IF(B69&lt;&gt;"Sensor Snapshot","",IF(ISNUMBER(AG69),IF(AG69&lt;0,"",IF(AG69&gt;10,AG69/'02_Parameters'!$B$17,AG69)),""))</f>
        <v/>
      </c>
      <c r="AI69" t="str">
        <f t="shared" si="20"/>
        <v/>
      </c>
      <c r="AJ69" t="str">
        <f t="shared" si="21"/>
        <v/>
      </c>
      <c r="AK69" t="str">
        <f t="shared" si="22"/>
        <v/>
      </c>
      <c r="AM69" t="str">
        <f t="shared" si="23"/>
        <v/>
      </c>
      <c r="AN69" t="str">
        <f>IF(B69&lt;&gt;"Sensor Snapshot","",--(N69&gt;='02_Parameters'!$B$13))</f>
        <v/>
      </c>
      <c r="AO69" t="str">
        <f>IF(B69&lt;&gt;"Sensor Snapshot","",--(AND(L69="PUMPING",ISNUMBER(AH69),AH69&lt;='02_Parameters'!$B$10)))</f>
        <v/>
      </c>
      <c r="AP69" s="16"/>
      <c r="AQ69" s="16" t="str">
        <f t="shared" si="24"/>
        <v/>
      </c>
      <c r="AR69" s="16" t="str">
        <f t="shared" si="25"/>
        <v/>
      </c>
      <c r="AW69" s="3" t="s">
        <v>246</v>
      </c>
      <c r="AX69" s="3" t="str">
        <f t="shared" si="26"/>
        <v/>
      </c>
      <c r="AY69" s="3" t="str">
        <f t="shared" si="27"/>
        <v/>
      </c>
      <c r="AZ69" s="3" t="s">
        <v>247</v>
      </c>
      <c r="BA69" s="3"/>
    </row>
    <row r="70" spans="1:53" ht="27.6">
      <c r="A70" t="s">
        <v>352</v>
      </c>
      <c r="B70" t="s">
        <v>231</v>
      </c>
      <c r="C70" s="14">
        <v>54594</v>
      </c>
      <c r="D70" s="15">
        <f t="shared" si="14"/>
        <v>54.594000000000001</v>
      </c>
      <c r="E70" t="s">
        <v>232</v>
      </c>
      <c r="F70" t="s">
        <v>9</v>
      </c>
      <c r="G70" t="s">
        <v>234</v>
      </c>
      <c r="H70" t="s">
        <v>235</v>
      </c>
      <c r="I70" s="3"/>
      <c r="J70" s="3"/>
      <c r="M70" t="str">
        <f t="shared" si="15"/>
        <v/>
      </c>
      <c r="O70" s="16">
        <v>21.8</v>
      </c>
      <c r="P70" s="16">
        <f>IF(AND(ISNUMBER(O70),O70&lt;&gt;-1,O70&gt;='02_Parameters'!$B$18,O70&lt;='02_Parameters'!$B$19),O70,"")</f>
        <v>21.8</v>
      </c>
      <c r="Q70" s="16">
        <v>21.8</v>
      </c>
      <c r="R70" t="str">
        <f>IF(B70&lt;&gt;"Sensor Snapshot","",IF(O70="","Missing",IF(O70=-1,"Sensor failure sentinel (-1)",IF(OR(O70&lt;'02_Parameters'!$B$18,O70&gt;'02_Parameters'!$B$19),"Out of accepted range","Valid"))))</f>
        <v>Valid</v>
      </c>
      <c r="S70" s="16">
        <v>74.2</v>
      </c>
      <c r="T70" s="16">
        <f>IF(AND(ISNUMBER(S70),S70&lt;&gt;-1,S70&gt;='02_Parameters'!$B$20,S70&lt;='02_Parameters'!$B$21),S70,"")</f>
        <v>74.2</v>
      </c>
      <c r="U70" s="16">
        <v>74.2</v>
      </c>
      <c r="V70" t="str">
        <f>IF(B70&lt;&gt;"Sensor Snapshot","",IF(S70="","Missing",IF(S70=-1,"Sensor failure sentinel (-1)",IF(OR(S70&lt;'02_Parameters'!$B$20,S70&gt;'02_Parameters'!$B$21),"Out of accepted range","Valid"))))</f>
        <v>Valid</v>
      </c>
      <c r="W70" s="16">
        <v>-0.74760000000000004</v>
      </c>
      <c r="X70" s="16">
        <f t="shared" si="16"/>
        <v>0.74760000000000004</v>
      </c>
      <c r="Y70" t="str">
        <f t="shared" si="17"/>
        <v>Sign corrected to positive</v>
      </c>
      <c r="Z70" s="16">
        <v>848</v>
      </c>
      <c r="AB70">
        <f>IF(B70&lt;&gt;"Sensor Snapshot","",IF(ISNUMBER(AA70),--(AA70&lt;&gt;0),IF(ISNUMBER(Z70),--(Z70&lt;'02_Parameters'!$B$15),"")))</f>
        <v>0</v>
      </c>
      <c r="AC70">
        <f>IF(B70&lt;&gt;"Sensor Snapshot","",IF(ISNUMBER(X70),--(X70&gt;='02_Parameters'!$B$16),""))</f>
        <v>0</v>
      </c>
      <c r="AD70">
        <v>0</v>
      </c>
      <c r="AE70">
        <f t="shared" si="18"/>
        <v>0</v>
      </c>
      <c r="AF70" s="3" t="str">
        <f t="shared" si="19"/>
        <v>No detection</v>
      </c>
      <c r="AG70" s="16">
        <v>0</v>
      </c>
      <c r="AH70" s="16">
        <f>IF(B70&lt;&gt;"Sensor Snapshot","",IF(ISNUMBER(AG70),IF(AG70&lt;0,"",IF(AG70&gt;10,AG70/'02_Parameters'!$B$17,AG70)),""))</f>
        <v>0</v>
      </c>
      <c r="AI70" t="str">
        <f t="shared" si="20"/>
        <v>Valid</v>
      </c>
      <c r="AJ70">
        <f t="shared" si="21"/>
        <v>0</v>
      </c>
      <c r="AK70">
        <f t="shared" si="22"/>
        <v>0</v>
      </c>
      <c r="AM70">
        <f t="shared" si="23"/>
        <v>0</v>
      </c>
      <c r="AN70">
        <f>IF(B70&lt;&gt;"Sensor Snapshot","",--(N70&gt;='02_Parameters'!$B$13))</f>
        <v>0</v>
      </c>
      <c r="AO70">
        <f>IF(B70&lt;&gt;"Sensor Snapshot","",--(AND(L70="PUMPING",ISNUMBER(AH70),AH70&lt;='02_Parameters'!$B$10)))</f>
        <v>0</v>
      </c>
      <c r="AP70" s="16"/>
      <c r="AQ70" s="16" t="str">
        <f t="shared" si="24"/>
        <v/>
      </c>
      <c r="AR70" s="16" t="str">
        <f t="shared" si="25"/>
        <v/>
      </c>
      <c r="AU70" t="s">
        <v>236</v>
      </c>
      <c r="AV70" t="s">
        <v>237</v>
      </c>
      <c r="AW70" s="3" t="s">
        <v>238</v>
      </c>
      <c r="AX70" s="3">
        <f t="shared" si="26"/>
        <v>100</v>
      </c>
      <c r="AY70" s="3" t="str">
        <f t="shared" si="27"/>
        <v>A</v>
      </c>
      <c r="AZ70" s="3" t="s">
        <v>239</v>
      </c>
      <c r="BA70" s="3" t="s">
        <v>240</v>
      </c>
    </row>
    <row r="71" spans="1:53" ht="27.6">
      <c r="A71" t="s">
        <v>353</v>
      </c>
      <c r="B71" t="s">
        <v>242</v>
      </c>
      <c r="C71" s="14">
        <v>54812</v>
      </c>
      <c r="D71" s="15">
        <f t="shared" si="14"/>
        <v>54.811999999999998</v>
      </c>
      <c r="E71" t="s">
        <v>232</v>
      </c>
      <c r="G71" t="s">
        <v>91</v>
      </c>
      <c r="H71" t="s">
        <v>249</v>
      </c>
      <c r="I71" s="3" t="s">
        <v>250</v>
      </c>
      <c r="J71" s="3" t="s">
        <v>251</v>
      </c>
      <c r="M71" t="str">
        <f t="shared" si="15"/>
        <v/>
      </c>
      <c r="O71" s="16"/>
      <c r="P71" s="16" t="str">
        <f>IF(AND(ISNUMBER(O71),O71&lt;&gt;-1,O71&gt;='02_Parameters'!$B$18,O71&lt;='02_Parameters'!$B$19),O71,"")</f>
        <v/>
      </c>
      <c r="Q71" s="16"/>
      <c r="R71" t="str">
        <f>IF(B71&lt;&gt;"Sensor Snapshot","",IF(O71="","Missing",IF(O71=-1,"Sensor failure sentinel (-1)",IF(OR(O71&lt;'02_Parameters'!$B$18,O71&gt;'02_Parameters'!$B$19),"Out of accepted range","Valid"))))</f>
        <v/>
      </c>
      <c r="S71" s="16"/>
      <c r="T71" s="16" t="str">
        <f>IF(AND(ISNUMBER(S71),S71&lt;&gt;-1,S71&gt;='02_Parameters'!$B$20,S71&lt;='02_Parameters'!$B$21),S71,"")</f>
        <v/>
      </c>
      <c r="U71" s="16"/>
      <c r="V71" t="str">
        <f>IF(B71&lt;&gt;"Sensor Snapshot","",IF(S71="","Missing",IF(S71=-1,"Sensor failure sentinel (-1)",IF(OR(S71&lt;'02_Parameters'!$B$20,S71&gt;'02_Parameters'!$B$21),"Out of accepted range","Valid"))))</f>
        <v/>
      </c>
      <c r="W71" s="16"/>
      <c r="X71" s="16" t="str">
        <f t="shared" si="16"/>
        <v/>
      </c>
      <c r="Y71" t="str">
        <f t="shared" si="17"/>
        <v/>
      </c>
      <c r="Z71" s="16"/>
      <c r="AB71" t="str">
        <f>IF(B71&lt;&gt;"Sensor Snapshot","",IF(ISNUMBER(AA71),--(AA71&lt;&gt;0),IF(ISNUMBER(Z71),--(Z71&lt;'02_Parameters'!$B$15),"")))</f>
        <v/>
      </c>
      <c r="AC71" t="str">
        <f>IF(B71&lt;&gt;"Sensor Snapshot","",IF(ISNUMBER(X71),--(X71&gt;='02_Parameters'!$B$16),""))</f>
        <v/>
      </c>
      <c r="AD71">
        <v>0</v>
      </c>
      <c r="AE71" t="str">
        <f t="shared" si="18"/>
        <v/>
      </c>
      <c r="AF71" s="3" t="str">
        <f t="shared" si="19"/>
        <v/>
      </c>
      <c r="AG71" s="16"/>
      <c r="AH71" s="16" t="str">
        <f>IF(B71&lt;&gt;"Sensor Snapshot","",IF(ISNUMBER(AG71),IF(AG71&lt;0,"",IF(AG71&gt;10,AG71/'02_Parameters'!$B$17,AG71)),""))</f>
        <v/>
      </c>
      <c r="AI71" t="str">
        <f t="shared" si="20"/>
        <v/>
      </c>
      <c r="AJ71" t="str">
        <f t="shared" si="21"/>
        <v/>
      </c>
      <c r="AK71" t="str">
        <f t="shared" si="22"/>
        <v/>
      </c>
      <c r="AM71" t="str">
        <f t="shared" si="23"/>
        <v/>
      </c>
      <c r="AN71" t="str">
        <f>IF(B71&lt;&gt;"Sensor Snapshot","",--(N71&gt;='02_Parameters'!$B$13))</f>
        <v/>
      </c>
      <c r="AO71" t="str">
        <f>IF(B71&lt;&gt;"Sensor Snapshot","",--(AND(L71="PUMPING",ISNUMBER(AH71),AH71&lt;='02_Parameters'!$B$10)))</f>
        <v/>
      </c>
      <c r="AP71" s="16"/>
      <c r="AQ71" s="16" t="str">
        <f t="shared" si="24"/>
        <v/>
      </c>
      <c r="AR71" s="16" t="str">
        <f t="shared" si="25"/>
        <v/>
      </c>
      <c r="AW71" s="3" t="s">
        <v>246</v>
      </c>
      <c r="AX71" s="3" t="str">
        <f t="shared" si="26"/>
        <v/>
      </c>
      <c r="AY71" s="3" t="str">
        <f t="shared" si="27"/>
        <v/>
      </c>
      <c r="AZ71" s="3" t="s">
        <v>252</v>
      </c>
      <c r="BA71" s="3"/>
    </row>
    <row r="72" spans="1:53" ht="27.6">
      <c r="A72" t="s">
        <v>354</v>
      </c>
      <c r="B72" t="s">
        <v>242</v>
      </c>
      <c r="C72" s="14">
        <v>54882</v>
      </c>
      <c r="D72" s="15">
        <f t="shared" si="14"/>
        <v>54.881999999999998</v>
      </c>
      <c r="E72" t="s">
        <v>232</v>
      </c>
      <c r="G72" t="s">
        <v>91</v>
      </c>
      <c r="H72" t="s">
        <v>249</v>
      </c>
      <c r="I72" s="3" t="s">
        <v>254</v>
      </c>
      <c r="J72" s="3" t="s">
        <v>255</v>
      </c>
      <c r="M72" t="str">
        <f t="shared" si="15"/>
        <v/>
      </c>
      <c r="O72" s="16"/>
      <c r="P72" s="16" t="str">
        <f>IF(AND(ISNUMBER(O72),O72&lt;&gt;-1,O72&gt;='02_Parameters'!$B$18,O72&lt;='02_Parameters'!$B$19),O72,"")</f>
        <v/>
      </c>
      <c r="Q72" s="16"/>
      <c r="R72" t="str">
        <f>IF(B72&lt;&gt;"Sensor Snapshot","",IF(O72="","Missing",IF(O72=-1,"Sensor failure sentinel (-1)",IF(OR(O72&lt;'02_Parameters'!$B$18,O72&gt;'02_Parameters'!$B$19),"Out of accepted range","Valid"))))</f>
        <v/>
      </c>
      <c r="S72" s="16"/>
      <c r="T72" s="16" t="str">
        <f>IF(AND(ISNUMBER(S72),S72&lt;&gt;-1,S72&gt;='02_Parameters'!$B$20,S72&lt;='02_Parameters'!$B$21),S72,"")</f>
        <v/>
      </c>
      <c r="U72" s="16"/>
      <c r="V72" t="str">
        <f>IF(B72&lt;&gt;"Sensor Snapshot","",IF(S72="","Missing",IF(S72=-1,"Sensor failure sentinel (-1)",IF(OR(S72&lt;'02_Parameters'!$B$20,S72&gt;'02_Parameters'!$B$21),"Out of accepted range","Valid"))))</f>
        <v/>
      </c>
      <c r="W72" s="16"/>
      <c r="X72" s="16" t="str">
        <f t="shared" si="16"/>
        <v/>
      </c>
      <c r="Y72" t="str">
        <f t="shared" si="17"/>
        <v/>
      </c>
      <c r="Z72" s="16"/>
      <c r="AB72" t="str">
        <f>IF(B72&lt;&gt;"Sensor Snapshot","",IF(ISNUMBER(AA72),--(AA72&lt;&gt;0),IF(ISNUMBER(Z72),--(Z72&lt;'02_Parameters'!$B$15),"")))</f>
        <v/>
      </c>
      <c r="AC72" t="str">
        <f>IF(B72&lt;&gt;"Sensor Snapshot","",IF(ISNUMBER(X72),--(X72&gt;='02_Parameters'!$B$16),""))</f>
        <v/>
      </c>
      <c r="AD72">
        <v>0</v>
      </c>
      <c r="AE72" t="str">
        <f t="shared" si="18"/>
        <v/>
      </c>
      <c r="AF72" s="3" t="str">
        <f t="shared" si="19"/>
        <v/>
      </c>
      <c r="AG72" s="16"/>
      <c r="AH72" s="16" t="str">
        <f>IF(B72&lt;&gt;"Sensor Snapshot","",IF(ISNUMBER(AG72),IF(AG72&lt;0,"",IF(AG72&gt;10,AG72/'02_Parameters'!$B$17,AG72)),""))</f>
        <v/>
      </c>
      <c r="AI72" t="str">
        <f t="shared" si="20"/>
        <v/>
      </c>
      <c r="AJ72" t="str">
        <f t="shared" si="21"/>
        <v/>
      </c>
      <c r="AK72" t="str">
        <f t="shared" si="22"/>
        <v/>
      </c>
      <c r="AM72" t="str">
        <f t="shared" si="23"/>
        <v/>
      </c>
      <c r="AN72" t="str">
        <f>IF(B72&lt;&gt;"Sensor Snapshot","",--(N72&gt;='02_Parameters'!$B$13))</f>
        <v/>
      </c>
      <c r="AO72" t="str">
        <f>IF(B72&lt;&gt;"Sensor Snapshot","",--(AND(L72="PUMPING",ISNUMBER(AH72),AH72&lt;='02_Parameters'!$B$10)))</f>
        <v/>
      </c>
      <c r="AP72" s="16"/>
      <c r="AQ72" s="16" t="str">
        <f t="shared" si="24"/>
        <v/>
      </c>
      <c r="AR72" s="16" t="str">
        <f t="shared" si="25"/>
        <v/>
      </c>
      <c r="AW72" s="3" t="s">
        <v>246</v>
      </c>
      <c r="AX72" s="3" t="str">
        <f t="shared" si="26"/>
        <v/>
      </c>
      <c r="AY72" s="3" t="str">
        <f t="shared" si="27"/>
        <v/>
      </c>
      <c r="AZ72" s="3" t="s">
        <v>247</v>
      </c>
      <c r="BA72" s="3"/>
    </row>
    <row r="73" spans="1:53" ht="27.6">
      <c r="A73" t="s">
        <v>355</v>
      </c>
      <c r="B73" t="s">
        <v>231</v>
      </c>
      <c r="C73" s="14">
        <v>70047</v>
      </c>
      <c r="D73" s="15">
        <f t="shared" si="14"/>
        <v>70.046999999999997</v>
      </c>
      <c r="E73" t="s">
        <v>232</v>
      </c>
      <c r="F73" t="s">
        <v>12</v>
      </c>
      <c r="G73" t="s">
        <v>234</v>
      </c>
      <c r="H73" t="s">
        <v>235</v>
      </c>
      <c r="I73" s="3"/>
      <c r="J73" s="3"/>
      <c r="M73" t="str">
        <f t="shared" si="15"/>
        <v/>
      </c>
      <c r="O73" s="16">
        <v>21.8</v>
      </c>
      <c r="P73" s="16">
        <f>IF(AND(ISNUMBER(O73),O73&lt;&gt;-1,O73&gt;='02_Parameters'!$B$18,O73&lt;='02_Parameters'!$B$19),O73,"")</f>
        <v>21.8</v>
      </c>
      <c r="Q73" s="16">
        <v>21.8</v>
      </c>
      <c r="R73" t="str">
        <f>IF(B73&lt;&gt;"Sensor Snapshot","",IF(O73="","Missing",IF(O73=-1,"Sensor failure sentinel (-1)",IF(OR(O73&lt;'02_Parameters'!$B$18,O73&gt;'02_Parameters'!$B$19),"Out of accepted range","Valid"))))</f>
        <v>Valid</v>
      </c>
      <c r="S73" s="16">
        <v>72.099999999999994</v>
      </c>
      <c r="T73" s="16">
        <f>IF(AND(ISNUMBER(S73),S73&lt;&gt;-1,S73&gt;='02_Parameters'!$B$20,S73&lt;='02_Parameters'!$B$21),S73,"")</f>
        <v>72.099999999999994</v>
      </c>
      <c r="U73" s="16">
        <v>72.099999999999994</v>
      </c>
      <c r="V73" t="str">
        <f>IF(B73&lt;&gt;"Sensor Snapshot","",IF(S73="","Missing",IF(S73=-1,"Sensor failure sentinel (-1)",IF(OR(S73&lt;'02_Parameters'!$B$20,S73&gt;'02_Parameters'!$B$21),"Out of accepted range","Valid"))))</f>
        <v>Valid</v>
      </c>
      <c r="W73" s="16">
        <v>-0.84519999999999995</v>
      </c>
      <c r="X73" s="16">
        <f t="shared" si="16"/>
        <v>0.84519999999999995</v>
      </c>
      <c r="Y73" t="str">
        <f t="shared" si="17"/>
        <v>Sign corrected to positive</v>
      </c>
      <c r="Z73" s="16">
        <v>848</v>
      </c>
      <c r="AB73">
        <f>IF(B73&lt;&gt;"Sensor Snapshot","",IF(ISNUMBER(AA73),--(AA73&lt;&gt;0),IF(ISNUMBER(Z73),--(Z73&lt;'02_Parameters'!$B$15),"")))</f>
        <v>0</v>
      </c>
      <c r="AC73">
        <f>IF(B73&lt;&gt;"Sensor Snapshot","",IF(ISNUMBER(X73),--(X73&gt;='02_Parameters'!$B$16),""))</f>
        <v>0</v>
      </c>
      <c r="AD73">
        <v>0</v>
      </c>
      <c r="AE73">
        <f t="shared" si="18"/>
        <v>0</v>
      </c>
      <c r="AF73" s="3" t="str">
        <f t="shared" si="19"/>
        <v>No detection</v>
      </c>
      <c r="AG73" s="16">
        <v>0</v>
      </c>
      <c r="AH73" s="16">
        <f>IF(B73&lt;&gt;"Sensor Snapshot","",IF(ISNUMBER(AG73),IF(AG73&lt;0,"",IF(AG73&gt;10,AG73/'02_Parameters'!$B$17,AG73)),""))</f>
        <v>0</v>
      </c>
      <c r="AI73" t="str">
        <f t="shared" si="20"/>
        <v>Valid</v>
      </c>
      <c r="AJ73">
        <f t="shared" si="21"/>
        <v>0</v>
      </c>
      <c r="AK73">
        <f t="shared" si="22"/>
        <v>0</v>
      </c>
      <c r="AM73">
        <f t="shared" si="23"/>
        <v>0</v>
      </c>
      <c r="AN73">
        <f>IF(B73&lt;&gt;"Sensor Snapshot","",--(N73&gt;='02_Parameters'!$B$13))</f>
        <v>0</v>
      </c>
      <c r="AO73">
        <f>IF(B73&lt;&gt;"Sensor Snapshot","",--(AND(L73="PUMPING",ISNUMBER(AH73),AH73&lt;='02_Parameters'!$B$10)))</f>
        <v>0</v>
      </c>
      <c r="AP73" s="16"/>
      <c r="AQ73" s="16" t="str">
        <f t="shared" si="24"/>
        <v/>
      </c>
      <c r="AR73" s="16" t="str">
        <f t="shared" si="25"/>
        <v/>
      </c>
      <c r="AU73" t="s">
        <v>236</v>
      </c>
      <c r="AV73" t="s">
        <v>237</v>
      </c>
      <c r="AW73" s="3" t="s">
        <v>238</v>
      </c>
      <c r="AX73" s="3">
        <f t="shared" si="26"/>
        <v>100</v>
      </c>
      <c r="AY73" s="3" t="str">
        <f t="shared" si="27"/>
        <v>A</v>
      </c>
      <c r="AZ73" s="3" t="s">
        <v>239</v>
      </c>
      <c r="BA73" s="3" t="s">
        <v>240</v>
      </c>
    </row>
    <row r="74" spans="1:53" ht="27.6">
      <c r="A74" t="s">
        <v>356</v>
      </c>
      <c r="B74" t="s">
        <v>242</v>
      </c>
      <c r="C74" s="14">
        <v>70265</v>
      </c>
      <c r="D74" s="15">
        <f t="shared" si="14"/>
        <v>70.265000000000001</v>
      </c>
      <c r="E74" t="s">
        <v>232</v>
      </c>
      <c r="G74" t="s">
        <v>91</v>
      </c>
      <c r="H74" t="s">
        <v>249</v>
      </c>
      <c r="I74" s="3" t="s">
        <v>250</v>
      </c>
      <c r="J74" s="3" t="s">
        <v>251</v>
      </c>
      <c r="M74" t="str">
        <f t="shared" si="15"/>
        <v/>
      </c>
      <c r="O74" s="16"/>
      <c r="P74" s="16" t="str">
        <f>IF(AND(ISNUMBER(O74),O74&lt;&gt;-1,O74&gt;='02_Parameters'!$B$18,O74&lt;='02_Parameters'!$B$19),O74,"")</f>
        <v/>
      </c>
      <c r="Q74" s="16"/>
      <c r="R74" t="str">
        <f>IF(B74&lt;&gt;"Sensor Snapshot","",IF(O74="","Missing",IF(O74=-1,"Sensor failure sentinel (-1)",IF(OR(O74&lt;'02_Parameters'!$B$18,O74&gt;'02_Parameters'!$B$19),"Out of accepted range","Valid"))))</f>
        <v/>
      </c>
      <c r="S74" s="16"/>
      <c r="T74" s="16" t="str">
        <f>IF(AND(ISNUMBER(S74),S74&lt;&gt;-1,S74&gt;='02_Parameters'!$B$20,S74&lt;='02_Parameters'!$B$21),S74,"")</f>
        <v/>
      </c>
      <c r="U74" s="16"/>
      <c r="V74" t="str">
        <f>IF(B74&lt;&gt;"Sensor Snapshot","",IF(S74="","Missing",IF(S74=-1,"Sensor failure sentinel (-1)",IF(OR(S74&lt;'02_Parameters'!$B$20,S74&gt;'02_Parameters'!$B$21),"Out of accepted range","Valid"))))</f>
        <v/>
      </c>
      <c r="W74" s="16"/>
      <c r="X74" s="16" t="str">
        <f t="shared" si="16"/>
        <v/>
      </c>
      <c r="Y74" t="str">
        <f t="shared" si="17"/>
        <v/>
      </c>
      <c r="Z74" s="16"/>
      <c r="AB74" t="str">
        <f>IF(B74&lt;&gt;"Sensor Snapshot","",IF(ISNUMBER(AA74),--(AA74&lt;&gt;0),IF(ISNUMBER(Z74),--(Z74&lt;'02_Parameters'!$B$15),"")))</f>
        <v/>
      </c>
      <c r="AC74" t="str">
        <f>IF(B74&lt;&gt;"Sensor Snapshot","",IF(ISNUMBER(X74),--(X74&gt;='02_Parameters'!$B$16),""))</f>
        <v/>
      </c>
      <c r="AD74">
        <v>0</v>
      </c>
      <c r="AE74" t="str">
        <f t="shared" si="18"/>
        <v/>
      </c>
      <c r="AF74" s="3" t="str">
        <f t="shared" si="19"/>
        <v/>
      </c>
      <c r="AG74" s="16"/>
      <c r="AH74" s="16" t="str">
        <f>IF(B74&lt;&gt;"Sensor Snapshot","",IF(ISNUMBER(AG74),IF(AG74&lt;0,"",IF(AG74&gt;10,AG74/'02_Parameters'!$B$17,AG74)),""))</f>
        <v/>
      </c>
      <c r="AI74" t="str">
        <f t="shared" si="20"/>
        <v/>
      </c>
      <c r="AJ74" t="str">
        <f t="shared" si="21"/>
        <v/>
      </c>
      <c r="AK74" t="str">
        <f t="shared" si="22"/>
        <v/>
      </c>
      <c r="AM74" t="str">
        <f t="shared" si="23"/>
        <v/>
      </c>
      <c r="AN74" t="str">
        <f>IF(B74&lt;&gt;"Sensor Snapshot","",--(N74&gt;='02_Parameters'!$B$13))</f>
        <v/>
      </c>
      <c r="AO74" t="str">
        <f>IF(B74&lt;&gt;"Sensor Snapshot","",--(AND(L74="PUMPING",ISNUMBER(AH74),AH74&lt;='02_Parameters'!$B$10)))</f>
        <v/>
      </c>
      <c r="AP74" s="16"/>
      <c r="AQ74" s="16" t="str">
        <f t="shared" si="24"/>
        <v/>
      </c>
      <c r="AR74" s="16" t="str">
        <f t="shared" si="25"/>
        <v/>
      </c>
      <c r="AW74" s="3" t="s">
        <v>246</v>
      </c>
      <c r="AX74" s="3" t="str">
        <f t="shared" si="26"/>
        <v/>
      </c>
      <c r="AY74" s="3" t="str">
        <f t="shared" si="27"/>
        <v/>
      </c>
      <c r="AZ74" s="3" t="s">
        <v>252</v>
      </c>
      <c r="BA74" s="3"/>
    </row>
    <row r="75" spans="1:53" ht="27.6">
      <c r="A75" t="s">
        <v>357</v>
      </c>
      <c r="B75" t="s">
        <v>242</v>
      </c>
      <c r="C75" s="14">
        <v>70334</v>
      </c>
      <c r="D75" s="15">
        <f t="shared" si="14"/>
        <v>70.334000000000003</v>
      </c>
      <c r="E75" t="s">
        <v>232</v>
      </c>
      <c r="G75" t="s">
        <v>91</v>
      </c>
      <c r="H75" t="s">
        <v>249</v>
      </c>
      <c r="I75" s="3" t="s">
        <v>254</v>
      </c>
      <c r="J75" s="3" t="s">
        <v>255</v>
      </c>
      <c r="M75" t="str">
        <f t="shared" si="15"/>
        <v/>
      </c>
      <c r="O75" s="16"/>
      <c r="P75" s="16" t="str">
        <f>IF(AND(ISNUMBER(O75),O75&lt;&gt;-1,O75&gt;='02_Parameters'!$B$18,O75&lt;='02_Parameters'!$B$19),O75,"")</f>
        <v/>
      </c>
      <c r="Q75" s="16"/>
      <c r="R75" t="str">
        <f>IF(B75&lt;&gt;"Sensor Snapshot","",IF(O75="","Missing",IF(O75=-1,"Sensor failure sentinel (-1)",IF(OR(O75&lt;'02_Parameters'!$B$18,O75&gt;'02_Parameters'!$B$19),"Out of accepted range","Valid"))))</f>
        <v/>
      </c>
      <c r="S75" s="16"/>
      <c r="T75" s="16" t="str">
        <f>IF(AND(ISNUMBER(S75),S75&lt;&gt;-1,S75&gt;='02_Parameters'!$B$20,S75&lt;='02_Parameters'!$B$21),S75,"")</f>
        <v/>
      </c>
      <c r="U75" s="16"/>
      <c r="V75" t="str">
        <f>IF(B75&lt;&gt;"Sensor Snapshot","",IF(S75="","Missing",IF(S75=-1,"Sensor failure sentinel (-1)",IF(OR(S75&lt;'02_Parameters'!$B$20,S75&gt;'02_Parameters'!$B$21),"Out of accepted range","Valid"))))</f>
        <v/>
      </c>
      <c r="W75" s="16"/>
      <c r="X75" s="16" t="str">
        <f t="shared" si="16"/>
        <v/>
      </c>
      <c r="Y75" t="str">
        <f t="shared" si="17"/>
        <v/>
      </c>
      <c r="Z75" s="16"/>
      <c r="AB75" t="str">
        <f>IF(B75&lt;&gt;"Sensor Snapshot","",IF(ISNUMBER(AA75),--(AA75&lt;&gt;0),IF(ISNUMBER(Z75),--(Z75&lt;'02_Parameters'!$B$15),"")))</f>
        <v/>
      </c>
      <c r="AC75" t="str">
        <f>IF(B75&lt;&gt;"Sensor Snapshot","",IF(ISNUMBER(X75),--(X75&gt;='02_Parameters'!$B$16),""))</f>
        <v/>
      </c>
      <c r="AD75">
        <v>0</v>
      </c>
      <c r="AE75" t="str">
        <f t="shared" si="18"/>
        <v/>
      </c>
      <c r="AF75" s="3" t="str">
        <f t="shared" si="19"/>
        <v/>
      </c>
      <c r="AG75" s="16"/>
      <c r="AH75" s="16" t="str">
        <f>IF(B75&lt;&gt;"Sensor Snapshot","",IF(ISNUMBER(AG75),IF(AG75&lt;0,"",IF(AG75&gt;10,AG75/'02_Parameters'!$B$17,AG75)),""))</f>
        <v/>
      </c>
      <c r="AI75" t="str">
        <f t="shared" si="20"/>
        <v/>
      </c>
      <c r="AJ75" t="str">
        <f t="shared" si="21"/>
        <v/>
      </c>
      <c r="AK75" t="str">
        <f t="shared" si="22"/>
        <v/>
      </c>
      <c r="AM75" t="str">
        <f t="shared" si="23"/>
        <v/>
      </c>
      <c r="AN75" t="str">
        <f>IF(B75&lt;&gt;"Sensor Snapshot","",--(N75&gt;='02_Parameters'!$B$13))</f>
        <v/>
      </c>
      <c r="AO75" t="str">
        <f>IF(B75&lt;&gt;"Sensor Snapshot","",--(AND(L75="PUMPING",ISNUMBER(AH75),AH75&lt;='02_Parameters'!$B$10)))</f>
        <v/>
      </c>
      <c r="AP75" s="16"/>
      <c r="AQ75" s="16" t="str">
        <f t="shared" si="24"/>
        <v/>
      </c>
      <c r="AR75" s="16" t="str">
        <f t="shared" si="25"/>
        <v/>
      </c>
      <c r="AW75" s="3" t="s">
        <v>246</v>
      </c>
      <c r="AX75" s="3" t="str">
        <f t="shared" si="26"/>
        <v/>
      </c>
      <c r="AY75" s="3" t="str">
        <f t="shared" si="27"/>
        <v/>
      </c>
      <c r="AZ75" s="3" t="s">
        <v>247</v>
      </c>
      <c r="BA75" s="3"/>
    </row>
    <row r="76" spans="1:53" ht="27.6">
      <c r="A76" t="s">
        <v>358</v>
      </c>
      <c r="B76" t="s">
        <v>231</v>
      </c>
      <c r="C76" s="14">
        <v>85499</v>
      </c>
      <c r="D76" s="15">
        <f t="shared" si="14"/>
        <v>85.498999999999995</v>
      </c>
      <c r="E76" t="s">
        <v>232</v>
      </c>
      <c r="F76" t="s">
        <v>15</v>
      </c>
      <c r="G76" t="s">
        <v>234</v>
      </c>
      <c r="H76" t="s">
        <v>235</v>
      </c>
      <c r="I76" s="3"/>
      <c r="J76" s="3"/>
      <c r="M76" t="str">
        <f t="shared" si="15"/>
        <v/>
      </c>
      <c r="O76" s="16">
        <v>21.8</v>
      </c>
      <c r="P76" s="16">
        <f>IF(AND(ISNUMBER(O76),O76&lt;&gt;-1,O76&gt;='02_Parameters'!$B$18,O76&lt;='02_Parameters'!$B$19),O76,"")</f>
        <v>21.8</v>
      </c>
      <c r="Q76" s="16">
        <v>21.8</v>
      </c>
      <c r="R76" t="str">
        <f>IF(B76&lt;&gt;"Sensor Snapshot","",IF(O76="","Missing",IF(O76=-1,"Sensor failure sentinel (-1)",IF(OR(O76&lt;'02_Parameters'!$B$18,O76&gt;'02_Parameters'!$B$19),"Out of accepted range","Valid"))))</f>
        <v>Valid</v>
      </c>
      <c r="S76" s="16">
        <v>70.7</v>
      </c>
      <c r="T76" s="16">
        <f>IF(AND(ISNUMBER(S76),S76&lt;&gt;-1,S76&gt;='02_Parameters'!$B$20,S76&lt;='02_Parameters'!$B$21),S76,"")</f>
        <v>70.7</v>
      </c>
      <c r="U76" s="16">
        <v>70.7</v>
      </c>
      <c r="V76" t="str">
        <f>IF(B76&lt;&gt;"Sensor Snapshot","",IF(S76="","Missing",IF(S76=-1,"Sensor failure sentinel (-1)",IF(OR(S76&lt;'02_Parameters'!$B$20,S76&gt;'02_Parameters'!$B$21),"Out of accepted range","Valid"))))</f>
        <v>Valid</v>
      </c>
      <c r="W76" s="16">
        <v>-0.72860000000000003</v>
      </c>
      <c r="X76" s="16">
        <f t="shared" si="16"/>
        <v>0.72860000000000003</v>
      </c>
      <c r="Y76" t="str">
        <f t="shared" si="17"/>
        <v>Sign corrected to positive</v>
      </c>
      <c r="Z76" s="16">
        <v>847</v>
      </c>
      <c r="AB76">
        <f>IF(B76&lt;&gt;"Sensor Snapshot","",IF(ISNUMBER(AA76),--(AA76&lt;&gt;0),IF(ISNUMBER(Z76),--(Z76&lt;'02_Parameters'!$B$15),"")))</f>
        <v>0</v>
      </c>
      <c r="AC76">
        <f>IF(B76&lt;&gt;"Sensor Snapshot","",IF(ISNUMBER(X76),--(X76&gt;='02_Parameters'!$B$16),""))</f>
        <v>0</v>
      </c>
      <c r="AD76">
        <v>0</v>
      </c>
      <c r="AE76">
        <f t="shared" si="18"/>
        <v>0</v>
      </c>
      <c r="AF76" s="3" t="str">
        <f t="shared" si="19"/>
        <v>No detection</v>
      </c>
      <c r="AG76" s="16">
        <v>0</v>
      </c>
      <c r="AH76" s="16">
        <f>IF(B76&lt;&gt;"Sensor Snapshot","",IF(ISNUMBER(AG76),IF(AG76&lt;0,"",IF(AG76&gt;10,AG76/'02_Parameters'!$B$17,AG76)),""))</f>
        <v>0</v>
      </c>
      <c r="AI76" t="str">
        <f t="shared" si="20"/>
        <v>Valid</v>
      </c>
      <c r="AJ76">
        <f t="shared" si="21"/>
        <v>0</v>
      </c>
      <c r="AK76">
        <f t="shared" si="22"/>
        <v>0</v>
      </c>
      <c r="AM76">
        <f t="shared" si="23"/>
        <v>0</v>
      </c>
      <c r="AN76">
        <f>IF(B76&lt;&gt;"Sensor Snapshot","",--(N76&gt;='02_Parameters'!$B$13))</f>
        <v>0</v>
      </c>
      <c r="AO76">
        <f>IF(B76&lt;&gt;"Sensor Snapshot","",--(AND(L76="PUMPING",ISNUMBER(AH76),AH76&lt;='02_Parameters'!$B$10)))</f>
        <v>0</v>
      </c>
      <c r="AP76" s="16"/>
      <c r="AQ76" s="16" t="str">
        <f t="shared" si="24"/>
        <v/>
      </c>
      <c r="AR76" s="16" t="str">
        <f t="shared" si="25"/>
        <v/>
      </c>
      <c r="AU76" t="s">
        <v>236</v>
      </c>
      <c r="AV76" t="s">
        <v>237</v>
      </c>
      <c r="AW76" s="3" t="s">
        <v>238</v>
      </c>
      <c r="AX76" s="3">
        <f t="shared" si="26"/>
        <v>100</v>
      </c>
      <c r="AY76" s="3" t="str">
        <f t="shared" si="27"/>
        <v>A</v>
      </c>
      <c r="AZ76" s="3" t="s">
        <v>239</v>
      </c>
      <c r="BA76" s="3" t="s">
        <v>240</v>
      </c>
    </row>
    <row r="77" spans="1:53" ht="27.6">
      <c r="A77" t="s">
        <v>359</v>
      </c>
      <c r="B77" t="s">
        <v>242</v>
      </c>
      <c r="C77" s="14">
        <v>85718</v>
      </c>
      <c r="D77" s="15">
        <f t="shared" si="14"/>
        <v>85.718000000000004</v>
      </c>
      <c r="E77" t="s">
        <v>232</v>
      </c>
      <c r="G77" t="s">
        <v>91</v>
      </c>
      <c r="H77" t="s">
        <v>249</v>
      </c>
      <c r="I77" s="3" t="s">
        <v>250</v>
      </c>
      <c r="J77" s="3" t="s">
        <v>251</v>
      </c>
      <c r="M77" t="str">
        <f t="shared" si="15"/>
        <v/>
      </c>
      <c r="O77" s="16"/>
      <c r="P77" s="16" t="str">
        <f>IF(AND(ISNUMBER(O77),O77&lt;&gt;-1,O77&gt;='02_Parameters'!$B$18,O77&lt;='02_Parameters'!$B$19),O77,"")</f>
        <v/>
      </c>
      <c r="Q77" s="16"/>
      <c r="R77" t="str">
        <f>IF(B77&lt;&gt;"Sensor Snapshot","",IF(O77="","Missing",IF(O77=-1,"Sensor failure sentinel (-1)",IF(OR(O77&lt;'02_Parameters'!$B$18,O77&gt;'02_Parameters'!$B$19),"Out of accepted range","Valid"))))</f>
        <v/>
      </c>
      <c r="S77" s="16"/>
      <c r="T77" s="16" t="str">
        <f>IF(AND(ISNUMBER(S77),S77&lt;&gt;-1,S77&gt;='02_Parameters'!$B$20,S77&lt;='02_Parameters'!$B$21),S77,"")</f>
        <v/>
      </c>
      <c r="U77" s="16"/>
      <c r="V77" t="str">
        <f>IF(B77&lt;&gt;"Sensor Snapshot","",IF(S77="","Missing",IF(S77=-1,"Sensor failure sentinel (-1)",IF(OR(S77&lt;'02_Parameters'!$B$20,S77&gt;'02_Parameters'!$B$21),"Out of accepted range","Valid"))))</f>
        <v/>
      </c>
      <c r="W77" s="16"/>
      <c r="X77" s="16" t="str">
        <f t="shared" si="16"/>
        <v/>
      </c>
      <c r="Y77" t="str">
        <f t="shared" si="17"/>
        <v/>
      </c>
      <c r="Z77" s="16"/>
      <c r="AB77" t="str">
        <f>IF(B77&lt;&gt;"Sensor Snapshot","",IF(ISNUMBER(AA77),--(AA77&lt;&gt;0),IF(ISNUMBER(Z77),--(Z77&lt;'02_Parameters'!$B$15),"")))</f>
        <v/>
      </c>
      <c r="AC77" t="str">
        <f>IF(B77&lt;&gt;"Sensor Snapshot","",IF(ISNUMBER(X77),--(X77&gt;='02_Parameters'!$B$16),""))</f>
        <v/>
      </c>
      <c r="AD77">
        <v>0</v>
      </c>
      <c r="AE77" t="str">
        <f t="shared" si="18"/>
        <v/>
      </c>
      <c r="AF77" s="3" t="str">
        <f t="shared" si="19"/>
        <v/>
      </c>
      <c r="AG77" s="16"/>
      <c r="AH77" s="16" t="str">
        <f>IF(B77&lt;&gt;"Sensor Snapshot","",IF(ISNUMBER(AG77),IF(AG77&lt;0,"",IF(AG77&gt;10,AG77/'02_Parameters'!$B$17,AG77)),""))</f>
        <v/>
      </c>
      <c r="AI77" t="str">
        <f t="shared" si="20"/>
        <v/>
      </c>
      <c r="AJ77" t="str">
        <f t="shared" si="21"/>
        <v/>
      </c>
      <c r="AK77" t="str">
        <f t="shared" si="22"/>
        <v/>
      </c>
      <c r="AM77" t="str">
        <f t="shared" si="23"/>
        <v/>
      </c>
      <c r="AN77" t="str">
        <f>IF(B77&lt;&gt;"Sensor Snapshot","",--(N77&gt;='02_Parameters'!$B$13))</f>
        <v/>
      </c>
      <c r="AO77" t="str">
        <f>IF(B77&lt;&gt;"Sensor Snapshot","",--(AND(L77="PUMPING",ISNUMBER(AH77),AH77&lt;='02_Parameters'!$B$10)))</f>
        <v/>
      </c>
      <c r="AP77" s="16"/>
      <c r="AQ77" s="16" t="str">
        <f t="shared" si="24"/>
        <v/>
      </c>
      <c r="AR77" s="16" t="str">
        <f t="shared" si="25"/>
        <v/>
      </c>
      <c r="AW77" s="3" t="s">
        <v>246</v>
      </c>
      <c r="AX77" s="3" t="str">
        <f t="shared" si="26"/>
        <v/>
      </c>
      <c r="AY77" s="3" t="str">
        <f t="shared" si="27"/>
        <v/>
      </c>
      <c r="AZ77" s="3" t="s">
        <v>252</v>
      </c>
      <c r="BA77" s="3"/>
    </row>
    <row r="78" spans="1:53" ht="27.6">
      <c r="A78" t="s">
        <v>360</v>
      </c>
      <c r="B78" t="s">
        <v>242</v>
      </c>
      <c r="C78" s="14">
        <v>85787</v>
      </c>
      <c r="D78" s="15">
        <f t="shared" si="14"/>
        <v>85.787000000000006</v>
      </c>
      <c r="E78" t="s">
        <v>232</v>
      </c>
      <c r="G78" t="s">
        <v>91</v>
      </c>
      <c r="H78" t="s">
        <v>249</v>
      </c>
      <c r="I78" s="3" t="s">
        <v>254</v>
      </c>
      <c r="J78" s="3" t="s">
        <v>255</v>
      </c>
      <c r="M78" t="str">
        <f t="shared" si="15"/>
        <v/>
      </c>
      <c r="O78" s="16"/>
      <c r="P78" s="16" t="str">
        <f>IF(AND(ISNUMBER(O78),O78&lt;&gt;-1,O78&gt;='02_Parameters'!$B$18,O78&lt;='02_Parameters'!$B$19),O78,"")</f>
        <v/>
      </c>
      <c r="Q78" s="16"/>
      <c r="R78" t="str">
        <f>IF(B78&lt;&gt;"Sensor Snapshot","",IF(O78="","Missing",IF(O78=-1,"Sensor failure sentinel (-1)",IF(OR(O78&lt;'02_Parameters'!$B$18,O78&gt;'02_Parameters'!$B$19),"Out of accepted range","Valid"))))</f>
        <v/>
      </c>
      <c r="S78" s="16"/>
      <c r="T78" s="16" t="str">
        <f>IF(AND(ISNUMBER(S78),S78&lt;&gt;-1,S78&gt;='02_Parameters'!$B$20,S78&lt;='02_Parameters'!$B$21),S78,"")</f>
        <v/>
      </c>
      <c r="U78" s="16"/>
      <c r="V78" t="str">
        <f>IF(B78&lt;&gt;"Sensor Snapshot","",IF(S78="","Missing",IF(S78=-1,"Sensor failure sentinel (-1)",IF(OR(S78&lt;'02_Parameters'!$B$20,S78&gt;'02_Parameters'!$B$21),"Out of accepted range","Valid"))))</f>
        <v/>
      </c>
      <c r="W78" s="16"/>
      <c r="X78" s="16" t="str">
        <f t="shared" si="16"/>
        <v/>
      </c>
      <c r="Y78" t="str">
        <f t="shared" si="17"/>
        <v/>
      </c>
      <c r="Z78" s="16"/>
      <c r="AB78" t="str">
        <f>IF(B78&lt;&gt;"Sensor Snapshot","",IF(ISNUMBER(AA78),--(AA78&lt;&gt;0),IF(ISNUMBER(Z78),--(Z78&lt;'02_Parameters'!$B$15),"")))</f>
        <v/>
      </c>
      <c r="AC78" t="str">
        <f>IF(B78&lt;&gt;"Sensor Snapshot","",IF(ISNUMBER(X78),--(X78&gt;='02_Parameters'!$B$16),""))</f>
        <v/>
      </c>
      <c r="AD78">
        <v>0</v>
      </c>
      <c r="AE78" t="str">
        <f t="shared" si="18"/>
        <v/>
      </c>
      <c r="AF78" s="3" t="str">
        <f t="shared" si="19"/>
        <v/>
      </c>
      <c r="AG78" s="16"/>
      <c r="AH78" s="16" t="str">
        <f>IF(B78&lt;&gt;"Sensor Snapshot","",IF(ISNUMBER(AG78),IF(AG78&lt;0,"",IF(AG78&gt;10,AG78/'02_Parameters'!$B$17,AG78)),""))</f>
        <v/>
      </c>
      <c r="AI78" t="str">
        <f t="shared" si="20"/>
        <v/>
      </c>
      <c r="AJ78" t="str">
        <f t="shared" si="21"/>
        <v/>
      </c>
      <c r="AK78" t="str">
        <f t="shared" si="22"/>
        <v/>
      </c>
      <c r="AM78" t="str">
        <f t="shared" si="23"/>
        <v/>
      </c>
      <c r="AN78" t="str">
        <f>IF(B78&lt;&gt;"Sensor Snapshot","",--(N78&gt;='02_Parameters'!$B$13))</f>
        <v/>
      </c>
      <c r="AO78" t="str">
        <f>IF(B78&lt;&gt;"Sensor Snapshot","",--(AND(L78="PUMPING",ISNUMBER(AH78),AH78&lt;='02_Parameters'!$B$10)))</f>
        <v/>
      </c>
      <c r="AP78" s="16"/>
      <c r="AQ78" s="16" t="str">
        <f t="shared" si="24"/>
        <v/>
      </c>
      <c r="AR78" s="16" t="str">
        <f t="shared" si="25"/>
        <v/>
      </c>
      <c r="AW78" s="3" t="s">
        <v>246</v>
      </c>
      <c r="AX78" s="3" t="str">
        <f t="shared" si="26"/>
        <v/>
      </c>
      <c r="AY78" s="3" t="str">
        <f t="shared" si="27"/>
        <v/>
      </c>
      <c r="AZ78" s="3" t="s">
        <v>247</v>
      </c>
      <c r="BA78" s="3"/>
    </row>
    <row r="79" spans="1:53" ht="27.6">
      <c r="A79" t="s">
        <v>361</v>
      </c>
      <c r="B79" t="s">
        <v>231</v>
      </c>
      <c r="C79" s="14">
        <v>100952</v>
      </c>
      <c r="D79" s="15">
        <f t="shared" si="14"/>
        <v>100.952</v>
      </c>
      <c r="E79" t="s">
        <v>232</v>
      </c>
      <c r="F79" t="s">
        <v>18</v>
      </c>
      <c r="G79" t="s">
        <v>234</v>
      </c>
      <c r="H79" t="s">
        <v>235</v>
      </c>
      <c r="I79" s="3"/>
      <c r="J79" s="3"/>
      <c r="M79" t="str">
        <f t="shared" si="15"/>
        <v/>
      </c>
      <c r="O79" s="16">
        <v>21.7</v>
      </c>
      <c r="P79" s="16">
        <f>IF(AND(ISNUMBER(O79),O79&lt;&gt;-1,O79&gt;='02_Parameters'!$B$18,O79&lt;='02_Parameters'!$B$19),O79,"")</f>
        <v>21.7</v>
      </c>
      <c r="Q79" s="16">
        <v>21.7</v>
      </c>
      <c r="R79" t="str">
        <f>IF(B79&lt;&gt;"Sensor Snapshot","",IF(O79="","Missing",IF(O79=-1,"Sensor failure sentinel (-1)",IF(OR(O79&lt;'02_Parameters'!$B$18,O79&gt;'02_Parameters'!$B$19),"Out of accepted range","Valid"))))</f>
        <v>Valid</v>
      </c>
      <c r="S79" s="16">
        <v>70.099999999999994</v>
      </c>
      <c r="T79" s="16">
        <f>IF(AND(ISNUMBER(S79),S79&lt;&gt;-1,S79&gt;='02_Parameters'!$B$20,S79&lt;='02_Parameters'!$B$21),S79,"")</f>
        <v>70.099999999999994</v>
      </c>
      <c r="U79" s="16">
        <v>70.099999999999994</v>
      </c>
      <c r="V79" t="str">
        <f>IF(B79&lt;&gt;"Sensor Snapshot","",IF(S79="","Missing",IF(S79=-1,"Sensor failure sentinel (-1)",IF(OR(S79&lt;'02_Parameters'!$B$20,S79&gt;'02_Parameters'!$B$21),"Out of accepted range","Valid"))))</f>
        <v>Valid</v>
      </c>
      <c r="W79" s="16">
        <v>-0.72860000000000003</v>
      </c>
      <c r="X79" s="16">
        <f t="shared" si="16"/>
        <v>0.72860000000000003</v>
      </c>
      <c r="Y79" t="str">
        <f t="shared" si="17"/>
        <v>Sign corrected to positive</v>
      </c>
      <c r="Z79" s="16">
        <v>848</v>
      </c>
      <c r="AB79">
        <f>IF(B79&lt;&gt;"Sensor Snapshot","",IF(ISNUMBER(AA79),--(AA79&lt;&gt;0),IF(ISNUMBER(Z79),--(Z79&lt;'02_Parameters'!$B$15),"")))</f>
        <v>0</v>
      </c>
      <c r="AC79">
        <f>IF(B79&lt;&gt;"Sensor Snapshot","",IF(ISNUMBER(X79),--(X79&gt;='02_Parameters'!$B$16),""))</f>
        <v>0</v>
      </c>
      <c r="AD79">
        <v>0</v>
      </c>
      <c r="AE79">
        <f t="shared" si="18"/>
        <v>0</v>
      </c>
      <c r="AF79" s="3" t="str">
        <f t="shared" si="19"/>
        <v>No detection</v>
      </c>
      <c r="AG79" s="16">
        <v>0</v>
      </c>
      <c r="AH79" s="16">
        <f>IF(B79&lt;&gt;"Sensor Snapshot","",IF(ISNUMBER(AG79),IF(AG79&lt;0,"",IF(AG79&gt;10,AG79/'02_Parameters'!$B$17,AG79)),""))</f>
        <v>0</v>
      </c>
      <c r="AI79" t="str">
        <f t="shared" si="20"/>
        <v>Valid</v>
      </c>
      <c r="AJ79">
        <f t="shared" si="21"/>
        <v>0</v>
      </c>
      <c r="AK79">
        <f t="shared" si="22"/>
        <v>0</v>
      </c>
      <c r="AM79">
        <f t="shared" si="23"/>
        <v>0</v>
      </c>
      <c r="AN79">
        <f>IF(B79&lt;&gt;"Sensor Snapshot","",--(N79&gt;='02_Parameters'!$B$13))</f>
        <v>0</v>
      </c>
      <c r="AO79">
        <f>IF(B79&lt;&gt;"Sensor Snapshot","",--(AND(L79="PUMPING",ISNUMBER(AH79),AH79&lt;='02_Parameters'!$B$10)))</f>
        <v>0</v>
      </c>
      <c r="AP79" s="16"/>
      <c r="AQ79" s="16" t="str">
        <f t="shared" si="24"/>
        <v/>
      </c>
      <c r="AR79" s="16" t="str">
        <f t="shared" si="25"/>
        <v/>
      </c>
      <c r="AU79" t="s">
        <v>236</v>
      </c>
      <c r="AV79" t="s">
        <v>237</v>
      </c>
      <c r="AW79" s="3" t="s">
        <v>238</v>
      </c>
      <c r="AX79" s="3">
        <f t="shared" si="26"/>
        <v>100</v>
      </c>
      <c r="AY79" s="3" t="str">
        <f t="shared" si="27"/>
        <v>A</v>
      </c>
      <c r="AZ79" s="3" t="s">
        <v>239</v>
      </c>
      <c r="BA79" s="3" t="s">
        <v>240</v>
      </c>
    </row>
    <row r="80" spans="1:53" ht="27.6">
      <c r="A80" t="s">
        <v>362</v>
      </c>
      <c r="B80" t="s">
        <v>242</v>
      </c>
      <c r="C80" s="14">
        <v>101175</v>
      </c>
      <c r="D80" s="15">
        <f t="shared" si="14"/>
        <v>101.175</v>
      </c>
      <c r="E80" t="s">
        <v>232</v>
      </c>
      <c r="G80" t="s">
        <v>91</v>
      </c>
      <c r="H80" t="s">
        <v>249</v>
      </c>
      <c r="I80" s="3" t="s">
        <v>250</v>
      </c>
      <c r="J80" s="3" t="s">
        <v>251</v>
      </c>
      <c r="M80" t="str">
        <f t="shared" si="15"/>
        <v/>
      </c>
      <c r="O80" s="16"/>
      <c r="P80" s="16" t="str">
        <f>IF(AND(ISNUMBER(O80),O80&lt;&gt;-1,O80&gt;='02_Parameters'!$B$18,O80&lt;='02_Parameters'!$B$19),O80,"")</f>
        <v/>
      </c>
      <c r="Q80" s="16"/>
      <c r="R80" t="str">
        <f>IF(B80&lt;&gt;"Sensor Snapshot","",IF(O80="","Missing",IF(O80=-1,"Sensor failure sentinel (-1)",IF(OR(O80&lt;'02_Parameters'!$B$18,O80&gt;'02_Parameters'!$B$19),"Out of accepted range","Valid"))))</f>
        <v/>
      </c>
      <c r="S80" s="16"/>
      <c r="T80" s="16" t="str">
        <f>IF(AND(ISNUMBER(S80),S80&lt;&gt;-1,S80&gt;='02_Parameters'!$B$20,S80&lt;='02_Parameters'!$B$21),S80,"")</f>
        <v/>
      </c>
      <c r="U80" s="16"/>
      <c r="V80" t="str">
        <f>IF(B80&lt;&gt;"Sensor Snapshot","",IF(S80="","Missing",IF(S80=-1,"Sensor failure sentinel (-1)",IF(OR(S80&lt;'02_Parameters'!$B$20,S80&gt;'02_Parameters'!$B$21),"Out of accepted range","Valid"))))</f>
        <v/>
      </c>
      <c r="W80" s="16"/>
      <c r="X80" s="16" t="str">
        <f t="shared" si="16"/>
        <v/>
      </c>
      <c r="Y80" t="str">
        <f t="shared" si="17"/>
        <v/>
      </c>
      <c r="Z80" s="16"/>
      <c r="AB80" t="str">
        <f>IF(B80&lt;&gt;"Sensor Snapshot","",IF(ISNUMBER(AA80),--(AA80&lt;&gt;0),IF(ISNUMBER(Z80),--(Z80&lt;'02_Parameters'!$B$15),"")))</f>
        <v/>
      </c>
      <c r="AC80" t="str">
        <f>IF(B80&lt;&gt;"Sensor Snapshot","",IF(ISNUMBER(X80),--(X80&gt;='02_Parameters'!$B$16),""))</f>
        <v/>
      </c>
      <c r="AD80">
        <v>0</v>
      </c>
      <c r="AE80" t="str">
        <f t="shared" si="18"/>
        <v/>
      </c>
      <c r="AF80" s="3" t="str">
        <f t="shared" si="19"/>
        <v/>
      </c>
      <c r="AG80" s="16"/>
      <c r="AH80" s="16" t="str">
        <f>IF(B80&lt;&gt;"Sensor Snapshot","",IF(ISNUMBER(AG80),IF(AG80&lt;0,"",IF(AG80&gt;10,AG80/'02_Parameters'!$B$17,AG80)),""))</f>
        <v/>
      </c>
      <c r="AI80" t="str">
        <f t="shared" si="20"/>
        <v/>
      </c>
      <c r="AJ80" t="str">
        <f t="shared" si="21"/>
        <v/>
      </c>
      <c r="AK80" t="str">
        <f t="shared" si="22"/>
        <v/>
      </c>
      <c r="AM80" t="str">
        <f t="shared" si="23"/>
        <v/>
      </c>
      <c r="AN80" t="str">
        <f>IF(B80&lt;&gt;"Sensor Snapshot","",--(N80&gt;='02_Parameters'!$B$13))</f>
        <v/>
      </c>
      <c r="AO80" t="str">
        <f>IF(B80&lt;&gt;"Sensor Snapshot","",--(AND(L80="PUMPING",ISNUMBER(AH80),AH80&lt;='02_Parameters'!$B$10)))</f>
        <v/>
      </c>
      <c r="AP80" s="16"/>
      <c r="AQ80" s="16" t="str">
        <f t="shared" si="24"/>
        <v/>
      </c>
      <c r="AR80" s="16" t="str">
        <f t="shared" si="25"/>
        <v/>
      </c>
      <c r="AW80" s="3" t="s">
        <v>246</v>
      </c>
      <c r="AX80" s="3" t="str">
        <f t="shared" si="26"/>
        <v/>
      </c>
      <c r="AY80" s="3" t="str">
        <f t="shared" si="27"/>
        <v/>
      </c>
      <c r="AZ80" s="3" t="s">
        <v>252</v>
      </c>
      <c r="BA80" s="3"/>
    </row>
    <row r="81" spans="1:53" ht="27.6">
      <c r="A81" t="s">
        <v>363</v>
      </c>
      <c r="B81" t="s">
        <v>242</v>
      </c>
      <c r="C81" s="14">
        <v>101245</v>
      </c>
      <c r="D81" s="15">
        <f t="shared" si="14"/>
        <v>101.245</v>
      </c>
      <c r="E81" t="s">
        <v>232</v>
      </c>
      <c r="G81" t="s">
        <v>91</v>
      </c>
      <c r="H81" t="s">
        <v>249</v>
      </c>
      <c r="I81" s="3" t="s">
        <v>254</v>
      </c>
      <c r="J81" s="3" t="s">
        <v>255</v>
      </c>
      <c r="M81" t="str">
        <f t="shared" si="15"/>
        <v/>
      </c>
      <c r="O81" s="16"/>
      <c r="P81" s="16" t="str">
        <f>IF(AND(ISNUMBER(O81),O81&lt;&gt;-1,O81&gt;='02_Parameters'!$B$18,O81&lt;='02_Parameters'!$B$19),O81,"")</f>
        <v/>
      </c>
      <c r="Q81" s="16"/>
      <c r="R81" t="str">
        <f>IF(B81&lt;&gt;"Sensor Snapshot","",IF(O81="","Missing",IF(O81=-1,"Sensor failure sentinel (-1)",IF(OR(O81&lt;'02_Parameters'!$B$18,O81&gt;'02_Parameters'!$B$19),"Out of accepted range","Valid"))))</f>
        <v/>
      </c>
      <c r="S81" s="16"/>
      <c r="T81" s="16" t="str">
        <f>IF(AND(ISNUMBER(S81),S81&lt;&gt;-1,S81&gt;='02_Parameters'!$B$20,S81&lt;='02_Parameters'!$B$21),S81,"")</f>
        <v/>
      </c>
      <c r="U81" s="16"/>
      <c r="V81" t="str">
        <f>IF(B81&lt;&gt;"Sensor Snapshot","",IF(S81="","Missing",IF(S81=-1,"Sensor failure sentinel (-1)",IF(OR(S81&lt;'02_Parameters'!$B$20,S81&gt;'02_Parameters'!$B$21),"Out of accepted range","Valid"))))</f>
        <v/>
      </c>
      <c r="W81" s="16"/>
      <c r="X81" s="16" t="str">
        <f t="shared" si="16"/>
        <v/>
      </c>
      <c r="Y81" t="str">
        <f t="shared" si="17"/>
        <v/>
      </c>
      <c r="Z81" s="16"/>
      <c r="AB81" t="str">
        <f>IF(B81&lt;&gt;"Sensor Snapshot","",IF(ISNUMBER(AA81),--(AA81&lt;&gt;0),IF(ISNUMBER(Z81),--(Z81&lt;'02_Parameters'!$B$15),"")))</f>
        <v/>
      </c>
      <c r="AC81" t="str">
        <f>IF(B81&lt;&gt;"Sensor Snapshot","",IF(ISNUMBER(X81),--(X81&gt;='02_Parameters'!$B$16),""))</f>
        <v/>
      </c>
      <c r="AD81">
        <v>0</v>
      </c>
      <c r="AE81" t="str">
        <f t="shared" si="18"/>
        <v/>
      </c>
      <c r="AF81" s="3" t="str">
        <f t="shared" si="19"/>
        <v/>
      </c>
      <c r="AG81" s="16"/>
      <c r="AH81" s="16" t="str">
        <f>IF(B81&lt;&gt;"Sensor Snapshot","",IF(ISNUMBER(AG81),IF(AG81&lt;0,"",IF(AG81&gt;10,AG81/'02_Parameters'!$B$17,AG81)),""))</f>
        <v/>
      </c>
      <c r="AI81" t="str">
        <f t="shared" si="20"/>
        <v/>
      </c>
      <c r="AJ81" t="str">
        <f t="shared" si="21"/>
        <v/>
      </c>
      <c r="AK81" t="str">
        <f t="shared" si="22"/>
        <v/>
      </c>
      <c r="AM81" t="str">
        <f t="shared" si="23"/>
        <v/>
      </c>
      <c r="AN81" t="str">
        <f>IF(B81&lt;&gt;"Sensor Snapshot","",--(N81&gt;='02_Parameters'!$B$13))</f>
        <v/>
      </c>
      <c r="AO81" t="str">
        <f>IF(B81&lt;&gt;"Sensor Snapshot","",--(AND(L81="PUMPING",ISNUMBER(AH81),AH81&lt;='02_Parameters'!$B$10)))</f>
        <v/>
      </c>
      <c r="AP81" s="16"/>
      <c r="AQ81" s="16" t="str">
        <f t="shared" si="24"/>
        <v/>
      </c>
      <c r="AR81" s="16" t="str">
        <f t="shared" si="25"/>
        <v/>
      </c>
      <c r="AW81" s="3" t="s">
        <v>246</v>
      </c>
      <c r="AX81" s="3" t="str">
        <f t="shared" si="26"/>
        <v/>
      </c>
      <c r="AY81" s="3" t="str">
        <f t="shared" si="27"/>
        <v/>
      </c>
      <c r="AZ81" s="3" t="s">
        <v>247</v>
      </c>
      <c r="BA81" s="3"/>
    </row>
    <row r="82" spans="1:53" ht="27.6">
      <c r="A82" t="s">
        <v>364</v>
      </c>
      <c r="B82" t="s">
        <v>231</v>
      </c>
      <c r="C82" s="14">
        <v>116496</v>
      </c>
      <c r="D82" s="15">
        <f t="shared" si="14"/>
        <v>116.496</v>
      </c>
      <c r="E82" t="s">
        <v>232</v>
      </c>
      <c r="F82" t="s">
        <v>278</v>
      </c>
      <c r="G82" t="s">
        <v>234</v>
      </c>
      <c r="H82" t="s">
        <v>235</v>
      </c>
      <c r="I82" s="3"/>
      <c r="J82" s="3"/>
      <c r="M82" t="str">
        <f t="shared" si="15"/>
        <v/>
      </c>
      <c r="O82" s="16">
        <v>21.8</v>
      </c>
      <c r="P82" s="16">
        <f>IF(AND(ISNUMBER(O82),O82&lt;&gt;-1,O82&gt;='02_Parameters'!$B$18,O82&lt;='02_Parameters'!$B$19),O82,"")</f>
        <v>21.8</v>
      </c>
      <c r="Q82" s="16">
        <v>21.8</v>
      </c>
      <c r="R82" t="str">
        <f>IF(B82&lt;&gt;"Sensor Snapshot","",IF(O82="","Missing",IF(O82=-1,"Sensor failure sentinel (-1)",IF(OR(O82&lt;'02_Parameters'!$B$18,O82&gt;'02_Parameters'!$B$19),"Out of accepted range","Valid"))))</f>
        <v>Valid</v>
      </c>
      <c r="S82" s="16">
        <v>69.900000000000006</v>
      </c>
      <c r="T82" s="16">
        <f>IF(AND(ISNUMBER(S82),S82&lt;&gt;-1,S82&gt;='02_Parameters'!$B$20,S82&lt;='02_Parameters'!$B$21),S82,"")</f>
        <v>69.900000000000006</v>
      </c>
      <c r="U82" s="16">
        <v>69.900000000000006</v>
      </c>
      <c r="V82" t="str">
        <f>IF(B82&lt;&gt;"Sensor Snapshot","",IF(S82="","Missing",IF(S82=-1,"Sensor failure sentinel (-1)",IF(OR(S82&lt;'02_Parameters'!$B$20,S82&gt;'02_Parameters'!$B$21),"Out of accepted range","Valid"))))</f>
        <v>Valid</v>
      </c>
      <c r="W82" s="16">
        <v>-0.62380000000000002</v>
      </c>
      <c r="X82" s="16">
        <f t="shared" si="16"/>
        <v>0.62380000000000002</v>
      </c>
      <c r="Y82" t="str">
        <f t="shared" si="17"/>
        <v>Sign corrected to positive</v>
      </c>
      <c r="Z82" s="16">
        <v>849</v>
      </c>
      <c r="AB82">
        <f>IF(B82&lt;&gt;"Sensor Snapshot","",IF(ISNUMBER(AA82),--(AA82&lt;&gt;0),IF(ISNUMBER(Z82),--(Z82&lt;'02_Parameters'!$B$15),"")))</f>
        <v>0</v>
      </c>
      <c r="AC82">
        <f>IF(B82&lt;&gt;"Sensor Snapshot","",IF(ISNUMBER(X82),--(X82&gt;='02_Parameters'!$B$16),""))</f>
        <v>0</v>
      </c>
      <c r="AD82">
        <v>0</v>
      </c>
      <c r="AE82">
        <f t="shared" si="18"/>
        <v>0</v>
      </c>
      <c r="AF82" s="3" t="str">
        <f t="shared" si="19"/>
        <v>No detection</v>
      </c>
      <c r="AG82" s="16">
        <v>0</v>
      </c>
      <c r="AH82" s="16">
        <f>IF(B82&lt;&gt;"Sensor Snapshot","",IF(ISNUMBER(AG82),IF(AG82&lt;0,"",IF(AG82&gt;10,AG82/'02_Parameters'!$B$17,AG82)),""))</f>
        <v>0</v>
      </c>
      <c r="AI82" t="str">
        <f t="shared" si="20"/>
        <v>Valid</v>
      </c>
      <c r="AJ82">
        <f t="shared" si="21"/>
        <v>0</v>
      </c>
      <c r="AK82">
        <f t="shared" si="22"/>
        <v>0</v>
      </c>
      <c r="AM82">
        <f t="shared" si="23"/>
        <v>0</v>
      </c>
      <c r="AN82">
        <f>IF(B82&lt;&gt;"Sensor Snapshot","",--(N82&gt;='02_Parameters'!$B$13))</f>
        <v>0</v>
      </c>
      <c r="AO82">
        <f>IF(B82&lt;&gt;"Sensor Snapshot","",--(AND(L82="PUMPING",ISNUMBER(AH82),AH82&lt;='02_Parameters'!$B$10)))</f>
        <v>0</v>
      </c>
      <c r="AP82" s="16"/>
      <c r="AQ82" s="16" t="str">
        <f t="shared" si="24"/>
        <v/>
      </c>
      <c r="AR82" s="16" t="str">
        <f t="shared" si="25"/>
        <v/>
      </c>
      <c r="AU82" t="s">
        <v>236</v>
      </c>
      <c r="AV82" t="s">
        <v>237</v>
      </c>
      <c r="AW82" s="3" t="s">
        <v>238</v>
      </c>
      <c r="AX82" s="3">
        <f t="shared" si="26"/>
        <v>100</v>
      </c>
      <c r="AY82" s="3" t="str">
        <f t="shared" si="27"/>
        <v>A</v>
      </c>
      <c r="AZ82" s="3" t="s">
        <v>239</v>
      </c>
      <c r="BA82" s="3" t="s">
        <v>240</v>
      </c>
    </row>
    <row r="83" spans="1:53" ht="27.6">
      <c r="A83" t="s">
        <v>365</v>
      </c>
      <c r="B83" t="s">
        <v>242</v>
      </c>
      <c r="C83" s="14">
        <v>116719</v>
      </c>
      <c r="D83" s="15">
        <f t="shared" si="14"/>
        <v>116.71899999999999</v>
      </c>
      <c r="E83" t="s">
        <v>232</v>
      </c>
      <c r="G83" t="s">
        <v>157</v>
      </c>
      <c r="H83" t="s">
        <v>243</v>
      </c>
      <c r="I83" s="3" t="s">
        <v>259</v>
      </c>
      <c r="J83" s="3" t="s">
        <v>260</v>
      </c>
      <c r="M83" t="str">
        <f t="shared" si="15"/>
        <v/>
      </c>
      <c r="O83" s="16"/>
      <c r="P83" s="16" t="str">
        <f>IF(AND(ISNUMBER(O83),O83&lt;&gt;-1,O83&gt;='02_Parameters'!$B$18,O83&lt;='02_Parameters'!$B$19),O83,"")</f>
        <v/>
      </c>
      <c r="Q83" s="16"/>
      <c r="R83" t="str">
        <f>IF(B83&lt;&gt;"Sensor Snapshot","",IF(O83="","Missing",IF(O83=-1,"Sensor failure sentinel (-1)",IF(OR(O83&lt;'02_Parameters'!$B$18,O83&gt;'02_Parameters'!$B$19),"Out of accepted range","Valid"))))</f>
        <v/>
      </c>
      <c r="S83" s="16"/>
      <c r="T83" s="16" t="str">
        <f>IF(AND(ISNUMBER(S83),S83&lt;&gt;-1,S83&gt;='02_Parameters'!$B$20,S83&lt;='02_Parameters'!$B$21),S83,"")</f>
        <v/>
      </c>
      <c r="U83" s="16"/>
      <c r="V83" t="str">
        <f>IF(B83&lt;&gt;"Sensor Snapshot","",IF(S83="","Missing",IF(S83=-1,"Sensor failure sentinel (-1)",IF(OR(S83&lt;'02_Parameters'!$B$20,S83&gt;'02_Parameters'!$B$21),"Out of accepted range","Valid"))))</f>
        <v/>
      </c>
      <c r="W83" s="16"/>
      <c r="X83" s="16" t="str">
        <f t="shared" si="16"/>
        <v/>
      </c>
      <c r="Y83" t="str">
        <f t="shared" si="17"/>
        <v/>
      </c>
      <c r="Z83" s="16"/>
      <c r="AB83" t="str">
        <f>IF(B83&lt;&gt;"Sensor Snapshot","",IF(ISNUMBER(AA83),--(AA83&lt;&gt;0),IF(ISNUMBER(Z83),--(Z83&lt;'02_Parameters'!$B$15),"")))</f>
        <v/>
      </c>
      <c r="AC83" t="str">
        <f>IF(B83&lt;&gt;"Sensor Snapshot","",IF(ISNUMBER(X83),--(X83&gt;='02_Parameters'!$B$16),""))</f>
        <v/>
      </c>
      <c r="AD83">
        <v>0</v>
      </c>
      <c r="AE83" t="str">
        <f t="shared" si="18"/>
        <v/>
      </c>
      <c r="AF83" s="3" t="str">
        <f t="shared" si="19"/>
        <v/>
      </c>
      <c r="AG83" s="16"/>
      <c r="AH83" s="16" t="str">
        <f>IF(B83&lt;&gt;"Sensor Snapshot","",IF(ISNUMBER(AG83),IF(AG83&lt;0,"",IF(AG83&gt;10,AG83/'02_Parameters'!$B$17,AG83)),""))</f>
        <v/>
      </c>
      <c r="AI83" t="str">
        <f t="shared" si="20"/>
        <v/>
      </c>
      <c r="AJ83" t="str">
        <f t="shared" si="21"/>
        <v/>
      </c>
      <c r="AK83" t="str">
        <f t="shared" si="22"/>
        <v/>
      </c>
      <c r="AL83">
        <v>0</v>
      </c>
      <c r="AM83" t="str">
        <f t="shared" si="23"/>
        <v/>
      </c>
      <c r="AN83" t="str">
        <f>IF(B83&lt;&gt;"Sensor Snapshot","",--(N83&gt;='02_Parameters'!$B$13))</f>
        <v/>
      </c>
      <c r="AO83" t="str">
        <f>IF(B83&lt;&gt;"Sensor Snapshot","",--(AND(L83="PUMPING",ISNUMBER(AH83),AH83&lt;='02_Parameters'!$B$10)))</f>
        <v/>
      </c>
      <c r="AP83" s="16"/>
      <c r="AQ83" s="16" t="str">
        <f t="shared" si="24"/>
        <v/>
      </c>
      <c r="AR83" s="16" t="str">
        <f t="shared" si="25"/>
        <v/>
      </c>
      <c r="AW83" s="3" t="s">
        <v>246</v>
      </c>
      <c r="AX83" s="3" t="str">
        <f t="shared" si="26"/>
        <v/>
      </c>
      <c r="AY83" s="3" t="str">
        <f t="shared" si="27"/>
        <v/>
      </c>
      <c r="AZ83" s="3" t="s">
        <v>247</v>
      </c>
      <c r="BA83" s="3"/>
    </row>
    <row r="84" spans="1:53" ht="27.6">
      <c r="A84" t="s">
        <v>366</v>
      </c>
      <c r="B84" t="s">
        <v>242</v>
      </c>
      <c r="C84" s="14">
        <v>116761</v>
      </c>
      <c r="D84" s="15">
        <f t="shared" si="14"/>
        <v>116.761</v>
      </c>
      <c r="E84" t="s">
        <v>232</v>
      </c>
      <c r="G84" t="s">
        <v>91</v>
      </c>
      <c r="H84" t="s">
        <v>249</v>
      </c>
      <c r="I84" s="3" t="s">
        <v>250</v>
      </c>
      <c r="J84" s="3" t="s">
        <v>251</v>
      </c>
      <c r="M84" t="str">
        <f t="shared" si="15"/>
        <v/>
      </c>
      <c r="O84" s="16"/>
      <c r="P84" s="16" t="str">
        <f>IF(AND(ISNUMBER(O84),O84&lt;&gt;-1,O84&gt;='02_Parameters'!$B$18,O84&lt;='02_Parameters'!$B$19),O84,"")</f>
        <v/>
      </c>
      <c r="Q84" s="16"/>
      <c r="R84" t="str">
        <f>IF(B84&lt;&gt;"Sensor Snapshot","",IF(O84="","Missing",IF(O84=-1,"Sensor failure sentinel (-1)",IF(OR(O84&lt;'02_Parameters'!$B$18,O84&gt;'02_Parameters'!$B$19),"Out of accepted range","Valid"))))</f>
        <v/>
      </c>
      <c r="S84" s="16"/>
      <c r="T84" s="16" t="str">
        <f>IF(AND(ISNUMBER(S84),S84&lt;&gt;-1,S84&gt;='02_Parameters'!$B$20,S84&lt;='02_Parameters'!$B$21),S84,"")</f>
        <v/>
      </c>
      <c r="U84" s="16"/>
      <c r="V84" t="str">
        <f>IF(B84&lt;&gt;"Sensor Snapshot","",IF(S84="","Missing",IF(S84=-1,"Sensor failure sentinel (-1)",IF(OR(S84&lt;'02_Parameters'!$B$20,S84&gt;'02_Parameters'!$B$21),"Out of accepted range","Valid"))))</f>
        <v/>
      </c>
      <c r="W84" s="16"/>
      <c r="X84" s="16" t="str">
        <f t="shared" si="16"/>
        <v/>
      </c>
      <c r="Y84" t="str">
        <f t="shared" si="17"/>
        <v/>
      </c>
      <c r="Z84" s="16"/>
      <c r="AB84" t="str">
        <f>IF(B84&lt;&gt;"Sensor Snapshot","",IF(ISNUMBER(AA84),--(AA84&lt;&gt;0),IF(ISNUMBER(Z84),--(Z84&lt;'02_Parameters'!$B$15),"")))</f>
        <v/>
      </c>
      <c r="AC84" t="str">
        <f>IF(B84&lt;&gt;"Sensor Snapshot","",IF(ISNUMBER(X84),--(X84&gt;='02_Parameters'!$B$16),""))</f>
        <v/>
      </c>
      <c r="AD84">
        <v>0</v>
      </c>
      <c r="AE84" t="str">
        <f t="shared" si="18"/>
        <v/>
      </c>
      <c r="AF84" s="3" t="str">
        <f t="shared" si="19"/>
        <v/>
      </c>
      <c r="AG84" s="16"/>
      <c r="AH84" s="16" t="str">
        <f>IF(B84&lt;&gt;"Sensor Snapshot","",IF(ISNUMBER(AG84),IF(AG84&lt;0,"",IF(AG84&gt;10,AG84/'02_Parameters'!$B$17,AG84)),""))</f>
        <v/>
      </c>
      <c r="AI84" t="str">
        <f t="shared" si="20"/>
        <v/>
      </c>
      <c r="AJ84" t="str">
        <f t="shared" si="21"/>
        <v/>
      </c>
      <c r="AK84" t="str">
        <f t="shared" si="22"/>
        <v/>
      </c>
      <c r="AM84" t="str">
        <f t="shared" si="23"/>
        <v/>
      </c>
      <c r="AN84" t="str">
        <f>IF(B84&lt;&gt;"Sensor Snapshot","",--(N84&gt;='02_Parameters'!$B$13))</f>
        <v/>
      </c>
      <c r="AO84" t="str">
        <f>IF(B84&lt;&gt;"Sensor Snapshot","",--(AND(L84="PUMPING",ISNUMBER(AH84),AH84&lt;='02_Parameters'!$B$10)))</f>
        <v/>
      </c>
      <c r="AP84" s="16"/>
      <c r="AQ84" s="16" t="str">
        <f t="shared" si="24"/>
        <v/>
      </c>
      <c r="AR84" s="16" t="str">
        <f t="shared" si="25"/>
        <v/>
      </c>
      <c r="AW84" s="3" t="s">
        <v>246</v>
      </c>
      <c r="AX84" s="3" t="str">
        <f t="shared" si="26"/>
        <v/>
      </c>
      <c r="AY84" s="3" t="str">
        <f t="shared" si="27"/>
        <v/>
      </c>
      <c r="AZ84" s="3" t="s">
        <v>252</v>
      </c>
      <c r="BA84" s="3"/>
    </row>
    <row r="85" spans="1:53" ht="27.6">
      <c r="A85" t="s">
        <v>367</v>
      </c>
      <c r="B85" t="s">
        <v>242</v>
      </c>
      <c r="C85" s="14">
        <v>116832</v>
      </c>
      <c r="D85" s="15">
        <f t="shared" si="14"/>
        <v>116.83199999999999</v>
      </c>
      <c r="E85" t="s">
        <v>232</v>
      </c>
      <c r="G85" t="s">
        <v>91</v>
      </c>
      <c r="H85" t="s">
        <v>249</v>
      </c>
      <c r="I85" s="3" t="s">
        <v>254</v>
      </c>
      <c r="J85" s="3" t="s">
        <v>255</v>
      </c>
      <c r="M85" t="str">
        <f t="shared" si="15"/>
        <v/>
      </c>
      <c r="O85" s="16"/>
      <c r="P85" s="16" t="str">
        <f>IF(AND(ISNUMBER(O85),O85&lt;&gt;-1,O85&gt;='02_Parameters'!$B$18,O85&lt;='02_Parameters'!$B$19),O85,"")</f>
        <v/>
      </c>
      <c r="Q85" s="16"/>
      <c r="R85" t="str">
        <f>IF(B85&lt;&gt;"Sensor Snapshot","",IF(O85="","Missing",IF(O85=-1,"Sensor failure sentinel (-1)",IF(OR(O85&lt;'02_Parameters'!$B$18,O85&gt;'02_Parameters'!$B$19),"Out of accepted range","Valid"))))</f>
        <v/>
      </c>
      <c r="S85" s="16"/>
      <c r="T85" s="16" t="str">
        <f>IF(AND(ISNUMBER(S85),S85&lt;&gt;-1,S85&gt;='02_Parameters'!$B$20,S85&lt;='02_Parameters'!$B$21),S85,"")</f>
        <v/>
      </c>
      <c r="U85" s="16"/>
      <c r="V85" t="str">
        <f>IF(B85&lt;&gt;"Sensor Snapshot","",IF(S85="","Missing",IF(S85=-1,"Sensor failure sentinel (-1)",IF(OR(S85&lt;'02_Parameters'!$B$20,S85&gt;'02_Parameters'!$B$21),"Out of accepted range","Valid"))))</f>
        <v/>
      </c>
      <c r="W85" s="16"/>
      <c r="X85" s="16" t="str">
        <f t="shared" si="16"/>
        <v/>
      </c>
      <c r="Y85" t="str">
        <f t="shared" si="17"/>
        <v/>
      </c>
      <c r="Z85" s="16"/>
      <c r="AB85" t="str">
        <f>IF(B85&lt;&gt;"Sensor Snapshot","",IF(ISNUMBER(AA85),--(AA85&lt;&gt;0),IF(ISNUMBER(Z85),--(Z85&lt;'02_Parameters'!$B$15),"")))</f>
        <v/>
      </c>
      <c r="AC85" t="str">
        <f>IF(B85&lt;&gt;"Sensor Snapshot","",IF(ISNUMBER(X85),--(X85&gt;='02_Parameters'!$B$16),""))</f>
        <v/>
      </c>
      <c r="AD85">
        <v>0</v>
      </c>
      <c r="AE85" t="str">
        <f t="shared" si="18"/>
        <v/>
      </c>
      <c r="AF85" s="3" t="str">
        <f t="shared" si="19"/>
        <v/>
      </c>
      <c r="AG85" s="16"/>
      <c r="AH85" s="16" t="str">
        <f>IF(B85&lt;&gt;"Sensor Snapshot","",IF(ISNUMBER(AG85),IF(AG85&lt;0,"",IF(AG85&gt;10,AG85/'02_Parameters'!$B$17,AG85)),""))</f>
        <v/>
      </c>
      <c r="AI85" t="str">
        <f t="shared" si="20"/>
        <v/>
      </c>
      <c r="AJ85" t="str">
        <f t="shared" si="21"/>
        <v/>
      </c>
      <c r="AK85" t="str">
        <f t="shared" si="22"/>
        <v/>
      </c>
      <c r="AM85" t="str">
        <f t="shared" si="23"/>
        <v/>
      </c>
      <c r="AN85" t="str">
        <f>IF(B85&lt;&gt;"Sensor Snapshot","",--(N85&gt;='02_Parameters'!$B$13))</f>
        <v/>
      </c>
      <c r="AO85" t="str">
        <f>IF(B85&lt;&gt;"Sensor Snapshot","",--(AND(L85="PUMPING",ISNUMBER(AH85),AH85&lt;='02_Parameters'!$B$10)))</f>
        <v/>
      </c>
      <c r="AP85" s="16"/>
      <c r="AQ85" s="16" t="str">
        <f t="shared" si="24"/>
        <v/>
      </c>
      <c r="AR85" s="16" t="str">
        <f t="shared" si="25"/>
        <v/>
      </c>
      <c r="AW85" s="3" t="s">
        <v>246</v>
      </c>
      <c r="AX85" s="3" t="str">
        <f t="shared" si="26"/>
        <v/>
      </c>
      <c r="AY85" s="3" t="str">
        <f t="shared" si="27"/>
        <v/>
      </c>
      <c r="AZ85" s="3" t="s">
        <v>247</v>
      </c>
      <c r="BA85" s="3"/>
    </row>
    <row r="86" spans="1:53" ht="27.6">
      <c r="A86" t="s">
        <v>368</v>
      </c>
      <c r="B86" t="s">
        <v>231</v>
      </c>
      <c r="C86" s="14">
        <v>132052</v>
      </c>
      <c r="D86" s="15">
        <f t="shared" si="14"/>
        <v>132.05199999999999</v>
      </c>
      <c r="E86" t="s">
        <v>232</v>
      </c>
      <c r="F86" t="s">
        <v>280</v>
      </c>
      <c r="G86" t="s">
        <v>234</v>
      </c>
      <c r="H86" t="s">
        <v>235</v>
      </c>
      <c r="I86" s="3"/>
      <c r="J86" s="3"/>
      <c r="M86" t="str">
        <f t="shared" si="15"/>
        <v/>
      </c>
      <c r="O86" s="16">
        <v>21.7</v>
      </c>
      <c r="P86" s="16">
        <f>IF(AND(ISNUMBER(O86),O86&lt;&gt;-1,O86&gt;='02_Parameters'!$B$18,O86&lt;='02_Parameters'!$B$19),O86,"")</f>
        <v>21.7</v>
      </c>
      <c r="Q86" s="16">
        <v>21.7</v>
      </c>
      <c r="R86" t="str">
        <f>IF(B86&lt;&gt;"Sensor Snapshot","",IF(O86="","Missing",IF(O86=-1,"Sensor failure sentinel (-1)",IF(OR(O86&lt;'02_Parameters'!$B$18,O86&gt;'02_Parameters'!$B$19),"Out of accepted range","Valid"))))</f>
        <v>Valid</v>
      </c>
      <c r="S86" s="16">
        <v>70</v>
      </c>
      <c r="T86" s="16">
        <f>IF(AND(ISNUMBER(S86),S86&lt;&gt;-1,S86&gt;='02_Parameters'!$B$20,S86&lt;='02_Parameters'!$B$21),S86,"")</f>
        <v>70</v>
      </c>
      <c r="U86" s="16">
        <v>70</v>
      </c>
      <c r="V86" t="str">
        <f>IF(B86&lt;&gt;"Sensor Snapshot","",IF(S86="","Missing",IF(S86=-1,"Sensor failure sentinel (-1)",IF(OR(S86&lt;'02_Parameters'!$B$20,S86&gt;'02_Parameters'!$B$21),"Out of accepted range","Valid"))))</f>
        <v>Valid</v>
      </c>
      <c r="W86" s="16">
        <v>-1.3833</v>
      </c>
      <c r="X86" s="16">
        <f t="shared" si="16"/>
        <v>1.3833</v>
      </c>
      <c r="Y86" t="str">
        <f t="shared" si="17"/>
        <v>Sign corrected to positive</v>
      </c>
      <c r="Z86" s="16">
        <v>864</v>
      </c>
      <c r="AB86">
        <f>IF(B86&lt;&gt;"Sensor Snapshot","",IF(ISNUMBER(AA86),--(AA86&lt;&gt;0),IF(ISNUMBER(Z86),--(Z86&lt;'02_Parameters'!$B$15),"")))</f>
        <v>0</v>
      </c>
      <c r="AC86">
        <f>IF(B86&lt;&gt;"Sensor Snapshot","",IF(ISNUMBER(X86),--(X86&gt;='02_Parameters'!$B$16),""))</f>
        <v>0</v>
      </c>
      <c r="AD86">
        <v>0</v>
      </c>
      <c r="AE86">
        <f t="shared" si="18"/>
        <v>0</v>
      </c>
      <c r="AF86" s="3" t="str">
        <f t="shared" si="19"/>
        <v>No detection</v>
      </c>
      <c r="AG86" s="16">
        <v>0</v>
      </c>
      <c r="AH86" s="16">
        <f>IF(B86&lt;&gt;"Sensor Snapshot","",IF(ISNUMBER(AG86),IF(AG86&lt;0,"",IF(AG86&gt;10,AG86/'02_Parameters'!$B$17,AG86)),""))</f>
        <v>0</v>
      </c>
      <c r="AI86" t="str">
        <f t="shared" si="20"/>
        <v>Valid</v>
      </c>
      <c r="AJ86">
        <f t="shared" si="21"/>
        <v>0</v>
      </c>
      <c r="AK86">
        <f t="shared" si="22"/>
        <v>0</v>
      </c>
      <c r="AM86">
        <f t="shared" si="23"/>
        <v>0</v>
      </c>
      <c r="AN86">
        <f>IF(B86&lt;&gt;"Sensor Snapshot","",--(N86&gt;='02_Parameters'!$B$13))</f>
        <v>0</v>
      </c>
      <c r="AO86">
        <f>IF(B86&lt;&gt;"Sensor Snapshot","",--(AND(L86="PUMPING",ISNUMBER(AH86),AH86&lt;='02_Parameters'!$B$10)))</f>
        <v>0</v>
      </c>
      <c r="AP86" s="16"/>
      <c r="AQ86" s="16" t="str">
        <f t="shared" si="24"/>
        <v/>
      </c>
      <c r="AR86" s="16" t="str">
        <f t="shared" si="25"/>
        <v/>
      </c>
      <c r="AU86" t="s">
        <v>236</v>
      </c>
      <c r="AV86" t="s">
        <v>237</v>
      </c>
      <c r="AW86" s="3" t="s">
        <v>238</v>
      </c>
      <c r="AX86" s="3">
        <f t="shared" si="26"/>
        <v>100</v>
      </c>
      <c r="AY86" s="3" t="str">
        <f t="shared" si="27"/>
        <v>A</v>
      </c>
      <c r="AZ86" s="3" t="s">
        <v>239</v>
      </c>
      <c r="BA86" s="3" t="s">
        <v>240</v>
      </c>
    </row>
    <row r="87" spans="1:53" ht="27.6">
      <c r="A87" t="s">
        <v>369</v>
      </c>
      <c r="B87" t="s">
        <v>242</v>
      </c>
      <c r="C87" s="14">
        <v>132276</v>
      </c>
      <c r="D87" s="15">
        <f t="shared" si="14"/>
        <v>132.27600000000001</v>
      </c>
      <c r="E87" t="s">
        <v>232</v>
      </c>
      <c r="G87" t="s">
        <v>157</v>
      </c>
      <c r="H87" t="s">
        <v>243</v>
      </c>
      <c r="I87" s="3" t="s">
        <v>244</v>
      </c>
      <c r="J87" s="3" t="s">
        <v>245</v>
      </c>
      <c r="M87" t="str">
        <f t="shared" si="15"/>
        <v/>
      </c>
      <c r="O87" s="16"/>
      <c r="P87" s="16" t="str">
        <f>IF(AND(ISNUMBER(O87),O87&lt;&gt;-1,O87&gt;='02_Parameters'!$B$18,O87&lt;='02_Parameters'!$B$19),O87,"")</f>
        <v/>
      </c>
      <c r="Q87" s="16"/>
      <c r="R87" t="str">
        <f>IF(B87&lt;&gt;"Sensor Snapshot","",IF(O87="","Missing",IF(O87=-1,"Sensor failure sentinel (-1)",IF(OR(O87&lt;'02_Parameters'!$B$18,O87&gt;'02_Parameters'!$B$19),"Out of accepted range","Valid"))))</f>
        <v/>
      </c>
      <c r="S87" s="16"/>
      <c r="T87" s="16" t="str">
        <f>IF(AND(ISNUMBER(S87),S87&lt;&gt;-1,S87&gt;='02_Parameters'!$B$20,S87&lt;='02_Parameters'!$B$21),S87,"")</f>
        <v/>
      </c>
      <c r="U87" s="16"/>
      <c r="V87" t="str">
        <f>IF(B87&lt;&gt;"Sensor Snapshot","",IF(S87="","Missing",IF(S87=-1,"Sensor failure sentinel (-1)",IF(OR(S87&lt;'02_Parameters'!$B$20,S87&gt;'02_Parameters'!$B$21),"Out of accepted range","Valid"))))</f>
        <v/>
      </c>
      <c r="W87" s="16"/>
      <c r="X87" s="16" t="str">
        <f t="shared" si="16"/>
        <v/>
      </c>
      <c r="Y87" t="str">
        <f t="shared" si="17"/>
        <v/>
      </c>
      <c r="Z87" s="16"/>
      <c r="AB87" t="str">
        <f>IF(B87&lt;&gt;"Sensor Snapshot","",IF(ISNUMBER(AA87),--(AA87&lt;&gt;0),IF(ISNUMBER(Z87),--(Z87&lt;'02_Parameters'!$B$15),"")))</f>
        <v/>
      </c>
      <c r="AC87" t="str">
        <f>IF(B87&lt;&gt;"Sensor Snapshot","",IF(ISNUMBER(X87),--(X87&gt;='02_Parameters'!$B$16),""))</f>
        <v/>
      </c>
      <c r="AD87">
        <v>0</v>
      </c>
      <c r="AE87" t="str">
        <f t="shared" si="18"/>
        <v/>
      </c>
      <c r="AF87" s="3" t="str">
        <f t="shared" si="19"/>
        <v/>
      </c>
      <c r="AG87" s="16"/>
      <c r="AH87" s="16" t="str">
        <f>IF(B87&lt;&gt;"Sensor Snapshot","",IF(ISNUMBER(AG87),IF(AG87&lt;0,"",IF(AG87&gt;10,AG87/'02_Parameters'!$B$17,AG87)),""))</f>
        <v/>
      </c>
      <c r="AI87" t="str">
        <f t="shared" si="20"/>
        <v/>
      </c>
      <c r="AJ87" t="str">
        <f t="shared" si="21"/>
        <v/>
      </c>
      <c r="AK87" t="str">
        <f t="shared" si="22"/>
        <v/>
      </c>
      <c r="AL87">
        <v>1</v>
      </c>
      <c r="AM87" t="str">
        <f t="shared" si="23"/>
        <v/>
      </c>
      <c r="AN87" t="str">
        <f>IF(B87&lt;&gt;"Sensor Snapshot","",--(N87&gt;='02_Parameters'!$B$13))</f>
        <v/>
      </c>
      <c r="AO87" t="str">
        <f>IF(B87&lt;&gt;"Sensor Snapshot","",--(AND(L87="PUMPING",ISNUMBER(AH87),AH87&lt;='02_Parameters'!$B$10)))</f>
        <v/>
      </c>
      <c r="AP87" s="16"/>
      <c r="AQ87" s="16" t="str">
        <f t="shared" si="24"/>
        <v/>
      </c>
      <c r="AR87" s="16" t="str">
        <f t="shared" si="25"/>
        <v/>
      </c>
      <c r="AW87" s="3" t="s">
        <v>246</v>
      </c>
      <c r="AX87" s="3" t="str">
        <f t="shared" si="26"/>
        <v/>
      </c>
      <c r="AY87" s="3" t="str">
        <f t="shared" si="27"/>
        <v/>
      </c>
      <c r="AZ87" s="3" t="s">
        <v>247</v>
      </c>
      <c r="BA87" s="3"/>
    </row>
    <row r="88" spans="1:53" ht="27.6">
      <c r="A88" t="s">
        <v>370</v>
      </c>
      <c r="B88" t="s">
        <v>242</v>
      </c>
      <c r="C88" s="14">
        <v>132316</v>
      </c>
      <c r="D88" s="15">
        <f t="shared" si="14"/>
        <v>132.316</v>
      </c>
      <c r="E88" t="s">
        <v>232</v>
      </c>
      <c r="G88" t="s">
        <v>91</v>
      </c>
      <c r="H88" t="s">
        <v>249</v>
      </c>
      <c r="I88" s="3" t="s">
        <v>250</v>
      </c>
      <c r="J88" s="3" t="s">
        <v>251</v>
      </c>
      <c r="M88" t="str">
        <f t="shared" si="15"/>
        <v/>
      </c>
      <c r="O88" s="16"/>
      <c r="P88" s="16" t="str">
        <f>IF(AND(ISNUMBER(O88),O88&lt;&gt;-1,O88&gt;='02_Parameters'!$B$18,O88&lt;='02_Parameters'!$B$19),O88,"")</f>
        <v/>
      </c>
      <c r="Q88" s="16"/>
      <c r="R88" t="str">
        <f>IF(B88&lt;&gt;"Sensor Snapshot","",IF(O88="","Missing",IF(O88=-1,"Sensor failure sentinel (-1)",IF(OR(O88&lt;'02_Parameters'!$B$18,O88&gt;'02_Parameters'!$B$19),"Out of accepted range","Valid"))))</f>
        <v/>
      </c>
      <c r="S88" s="16"/>
      <c r="T88" s="16" t="str">
        <f>IF(AND(ISNUMBER(S88),S88&lt;&gt;-1,S88&gt;='02_Parameters'!$B$20,S88&lt;='02_Parameters'!$B$21),S88,"")</f>
        <v/>
      </c>
      <c r="U88" s="16"/>
      <c r="V88" t="str">
        <f>IF(B88&lt;&gt;"Sensor Snapshot","",IF(S88="","Missing",IF(S88=-1,"Sensor failure sentinel (-1)",IF(OR(S88&lt;'02_Parameters'!$B$20,S88&gt;'02_Parameters'!$B$21),"Out of accepted range","Valid"))))</f>
        <v/>
      </c>
      <c r="W88" s="16"/>
      <c r="X88" s="16" t="str">
        <f t="shared" si="16"/>
        <v/>
      </c>
      <c r="Y88" t="str">
        <f t="shared" si="17"/>
        <v/>
      </c>
      <c r="Z88" s="16"/>
      <c r="AB88" t="str">
        <f>IF(B88&lt;&gt;"Sensor Snapshot","",IF(ISNUMBER(AA88),--(AA88&lt;&gt;0),IF(ISNUMBER(Z88),--(Z88&lt;'02_Parameters'!$B$15),"")))</f>
        <v/>
      </c>
      <c r="AC88" t="str">
        <f>IF(B88&lt;&gt;"Sensor Snapshot","",IF(ISNUMBER(X88),--(X88&gt;='02_Parameters'!$B$16),""))</f>
        <v/>
      </c>
      <c r="AD88">
        <v>0</v>
      </c>
      <c r="AE88" t="str">
        <f t="shared" si="18"/>
        <v/>
      </c>
      <c r="AF88" s="3" t="str">
        <f t="shared" si="19"/>
        <v/>
      </c>
      <c r="AG88" s="16"/>
      <c r="AH88" s="16" t="str">
        <f>IF(B88&lt;&gt;"Sensor Snapshot","",IF(ISNUMBER(AG88),IF(AG88&lt;0,"",IF(AG88&gt;10,AG88/'02_Parameters'!$B$17,AG88)),""))</f>
        <v/>
      </c>
      <c r="AI88" t="str">
        <f t="shared" si="20"/>
        <v/>
      </c>
      <c r="AJ88" t="str">
        <f t="shared" si="21"/>
        <v/>
      </c>
      <c r="AK88" t="str">
        <f t="shared" si="22"/>
        <v/>
      </c>
      <c r="AM88" t="str">
        <f t="shared" si="23"/>
        <v/>
      </c>
      <c r="AN88" t="str">
        <f>IF(B88&lt;&gt;"Sensor Snapshot","",--(N88&gt;='02_Parameters'!$B$13))</f>
        <v/>
      </c>
      <c r="AO88" t="str">
        <f>IF(B88&lt;&gt;"Sensor Snapshot","",--(AND(L88="PUMPING",ISNUMBER(AH88),AH88&lt;='02_Parameters'!$B$10)))</f>
        <v/>
      </c>
      <c r="AP88" s="16"/>
      <c r="AQ88" s="16" t="str">
        <f t="shared" si="24"/>
        <v/>
      </c>
      <c r="AR88" s="16" t="str">
        <f t="shared" si="25"/>
        <v/>
      </c>
      <c r="AW88" s="3" t="s">
        <v>246</v>
      </c>
      <c r="AX88" s="3" t="str">
        <f t="shared" si="26"/>
        <v/>
      </c>
      <c r="AY88" s="3" t="str">
        <f t="shared" si="27"/>
        <v/>
      </c>
      <c r="AZ88" s="3" t="s">
        <v>252</v>
      </c>
      <c r="BA88" s="3"/>
    </row>
    <row r="89" spans="1:53" ht="27.6">
      <c r="A89" t="s">
        <v>371</v>
      </c>
      <c r="B89" t="s">
        <v>242</v>
      </c>
      <c r="C89" s="14">
        <v>132387</v>
      </c>
      <c r="D89" s="15">
        <f t="shared" si="14"/>
        <v>132.387</v>
      </c>
      <c r="E89" t="s">
        <v>232</v>
      </c>
      <c r="G89" t="s">
        <v>91</v>
      </c>
      <c r="H89" t="s">
        <v>249</v>
      </c>
      <c r="I89" s="3" t="s">
        <v>254</v>
      </c>
      <c r="J89" s="3" t="s">
        <v>255</v>
      </c>
      <c r="M89" t="str">
        <f t="shared" si="15"/>
        <v/>
      </c>
      <c r="O89" s="16"/>
      <c r="P89" s="16" t="str">
        <f>IF(AND(ISNUMBER(O89),O89&lt;&gt;-1,O89&gt;='02_Parameters'!$B$18,O89&lt;='02_Parameters'!$B$19),O89,"")</f>
        <v/>
      </c>
      <c r="Q89" s="16"/>
      <c r="R89" t="str">
        <f>IF(B89&lt;&gt;"Sensor Snapshot","",IF(O89="","Missing",IF(O89=-1,"Sensor failure sentinel (-1)",IF(OR(O89&lt;'02_Parameters'!$B$18,O89&gt;'02_Parameters'!$B$19),"Out of accepted range","Valid"))))</f>
        <v/>
      </c>
      <c r="S89" s="16"/>
      <c r="T89" s="16" t="str">
        <f>IF(AND(ISNUMBER(S89),S89&lt;&gt;-1,S89&gt;='02_Parameters'!$B$20,S89&lt;='02_Parameters'!$B$21),S89,"")</f>
        <v/>
      </c>
      <c r="U89" s="16"/>
      <c r="V89" t="str">
        <f>IF(B89&lt;&gt;"Sensor Snapshot","",IF(S89="","Missing",IF(S89=-1,"Sensor failure sentinel (-1)",IF(OR(S89&lt;'02_Parameters'!$B$20,S89&gt;'02_Parameters'!$B$21),"Out of accepted range","Valid"))))</f>
        <v/>
      </c>
      <c r="W89" s="16"/>
      <c r="X89" s="16" t="str">
        <f t="shared" si="16"/>
        <v/>
      </c>
      <c r="Y89" t="str">
        <f t="shared" si="17"/>
        <v/>
      </c>
      <c r="Z89" s="16"/>
      <c r="AB89" t="str">
        <f>IF(B89&lt;&gt;"Sensor Snapshot","",IF(ISNUMBER(AA89),--(AA89&lt;&gt;0),IF(ISNUMBER(Z89),--(Z89&lt;'02_Parameters'!$B$15),"")))</f>
        <v/>
      </c>
      <c r="AC89" t="str">
        <f>IF(B89&lt;&gt;"Sensor Snapshot","",IF(ISNUMBER(X89),--(X89&gt;='02_Parameters'!$B$16),""))</f>
        <v/>
      </c>
      <c r="AD89">
        <v>0</v>
      </c>
      <c r="AE89" t="str">
        <f t="shared" si="18"/>
        <v/>
      </c>
      <c r="AF89" s="3" t="str">
        <f t="shared" si="19"/>
        <v/>
      </c>
      <c r="AG89" s="16"/>
      <c r="AH89" s="16" t="str">
        <f>IF(B89&lt;&gt;"Sensor Snapshot","",IF(ISNUMBER(AG89),IF(AG89&lt;0,"",IF(AG89&gt;10,AG89/'02_Parameters'!$B$17,AG89)),""))</f>
        <v/>
      </c>
      <c r="AI89" t="str">
        <f t="shared" si="20"/>
        <v/>
      </c>
      <c r="AJ89" t="str">
        <f t="shared" si="21"/>
        <v/>
      </c>
      <c r="AK89" t="str">
        <f t="shared" si="22"/>
        <v/>
      </c>
      <c r="AM89" t="str">
        <f t="shared" si="23"/>
        <v/>
      </c>
      <c r="AN89" t="str">
        <f>IF(B89&lt;&gt;"Sensor Snapshot","",--(N89&gt;='02_Parameters'!$B$13))</f>
        <v/>
      </c>
      <c r="AO89" t="str">
        <f>IF(B89&lt;&gt;"Sensor Snapshot","",--(AND(L89="PUMPING",ISNUMBER(AH89),AH89&lt;='02_Parameters'!$B$10)))</f>
        <v/>
      </c>
      <c r="AP89" s="16"/>
      <c r="AQ89" s="16" t="str">
        <f t="shared" si="24"/>
        <v/>
      </c>
      <c r="AR89" s="16" t="str">
        <f t="shared" si="25"/>
        <v/>
      </c>
      <c r="AW89" s="3" t="s">
        <v>246</v>
      </c>
      <c r="AX89" s="3" t="str">
        <f t="shared" si="26"/>
        <v/>
      </c>
      <c r="AY89" s="3" t="str">
        <f t="shared" si="27"/>
        <v/>
      </c>
      <c r="AZ89" s="3" t="s">
        <v>247</v>
      </c>
      <c r="BA89" s="3"/>
    </row>
    <row r="90" spans="1:53" ht="27.6">
      <c r="A90" t="s">
        <v>372</v>
      </c>
      <c r="B90" t="s">
        <v>242</v>
      </c>
      <c r="C90" s="14">
        <v>0</v>
      </c>
      <c r="D90" s="15">
        <f t="shared" si="14"/>
        <v>0</v>
      </c>
      <c r="E90" t="s">
        <v>232</v>
      </c>
      <c r="G90" t="s">
        <v>373</v>
      </c>
      <c r="H90" t="s">
        <v>374</v>
      </c>
      <c r="I90" s="3" t="s">
        <v>375</v>
      </c>
      <c r="J90" s="3" t="s">
        <v>376</v>
      </c>
      <c r="M90" t="str">
        <f t="shared" si="15"/>
        <v/>
      </c>
      <c r="O90" s="16"/>
      <c r="P90" s="16" t="str">
        <f>IF(AND(ISNUMBER(O90),O90&lt;&gt;-1,O90&gt;='02_Parameters'!$B$18,O90&lt;='02_Parameters'!$B$19),O90,"")</f>
        <v/>
      </c>
      <c r="Q90" s="16"/>
      <c r="R90" t="str">
        <f>IF(B90&lt;&gt;"Sensor Snapshot","",IF(O90="","Missing",IF(O90=-1,"Sensor failure sentinel (-1)",IF(OR(O90&lt;'02_Parameters'!$B$18,O90&gt;'02_Parameters'!$B$19),"Out of accepted range","Valid"))))</f>
        <v/>
      </c>
      <c r="S90" s="16"/>
      <c r="T90" s="16" t="str">
        <f>IF(AND(ISNUMBER(S90),S90&lt;&gt;-1,S90&gt;='02_Parameters'!$B$20,S90&lt;='02_Parameters'!$B$21),S90,"")</f>
        <v/>
      </c>
      <c r="U90" s="16"/>
      <c r="V90" t="str">
        <f>IF(B90&lt;&gt;"Sensor Snapshot","",IF(S90="","Missing",IF(S90=-1,"Sensor failure sentinel (-1)",IF(OR(S90&lt;'02_Parameters'!$B$20,S90&gt;'02_Parameters'!$B$21),"Out of accepted range","Valid"))))</f>
        <v/>
      </c>
      <c r="W90" s="16"/>
      <c r="X90" s="16" t="str">
        <f t="shared" si="16"/>
        <v/>
      </c>
      <c r="Y90" t="str">
        <f t="shared" si="17"/>
        <v/>
      </c>
      <c r="Z90" s="16"/>
      <c r="AB90" t="str">
        <f>IF(B90&lt;&gt;"Sensor Snapshot","",IF(ISNUMBER(AA90),--(AA90&lt;&gt;0),IF(ISNUMBER(Z90),--(Z90&lt;'02_Parameters'!$B$15),"")))</f>
        <v/>
      </c>
      <c r="AC90" t="str">
        <f>IF(B90&lt;&gt;"Sensor Snapshot","",IF(ISNUMBER(X90),--(X90&gt;='02_Parameters'!$B$16),""))</f>
        <v/>
      </c>
      <c r="AD90">
        <v>0</v>
      </c>
      <c r="AE90" t="str">
        <f t="shared" si="18"/>
        <v/>
      </c>
      <c r="AF90" s="3" t="str">
        <f t="shared" si="19"/>
        <v/>
      </c>
      <c r="AG90" s="16"/>
      <c r="AH90" s="16" t="str">
        <f>IF(B90&lt;&gt;"Sensor Snapshot","",IF(ISNUMBER(AG90),IF(AG90&lt;0,"",IF(AG90&gt;10,AG90/'02_Parameters'!$B$17,AG90)),""))</f>
        <v/>
      </c>
      <c r="AI90" t="str">
        <f t="shared" si="20"/>
        <v/>
      </c>
      <c r="AJ90" t="str">
        <f t="shared" si="21"/>
        <v/>
      </c>
      <c r="AK90" t="str">
        <f t="shared" si="22"/>
        <v/>
      </c>
      <c r="AM90" t="str">
        <f t="shared" si="23"/>
        <v/>
      </c>
      <c r="AN90" t="str">
        <f>IF(B90&lt;&gt;"Sensor Snapshot","",--(N90&gt;='02_Parameters'!$B$13))</f>
        <v/>
      </c>
      <c r="AO90" t="str">
        <f>IF(B90&lt;&gt;"Sensor Snapshot","",--(AND(L90="PUMPING",ISNUMBER(AH90),AH90&lt;='02_Parameters'!$B$10)))</f>
        <v/>
      </c>
      <c r="AP90" s="16"/>
      <c r="AQ90" s="16" t="str">
        <f t="shared" si="24"/>
        <v/>
      </c>
      <c r="AR90" s="16" t="str">
        <f t="shared" si="25"/>
        <v/>
      </c>
      <c r="AW90" s="3" t="s">
        <v>377</v>
      </c>
      <c r="AX90" s="3" t="str">
        <f t="shared" si="26"/>
        <v/>
      </c>
      <c r="AY90" s="3" t="str">
        <f t="shared" si="27"/>
        <v/>
      </c>
      <c r="AZ90" s="3" t="s">
        <v>247</v>
      </c>
      <c r="BA90" s="3"/>
    </row>
    <row r="91" spans="1:53" ht="27.6">
      <c r="A91" t="s">
        <v>378</v>
      </c>
      <c r="B91" t="s">
        <v>242</v>
      </c>
      <c r="C91" s="14">
        <v>0</v>
      </c>
      <c r="D91" s="15">
        <f t="shared" si="14"/>
        <v>0</v>
      </c>
      <c r="E91" t="s">
        <v>232</v>
      </c>
      <c r="G91" t="s">
        <v>373</v>
      </c>
      <c r="H91" t="s">
        <v>374</v>
      </c>
      <c r="I91" s="3" t="s">
        <v>379</v>
      </c>
      <c r="J91" s="3" t="s">
        <v>380</v>
      </c>
      <c r="M91" t="str">
        <f t="shared" si="15"/>
        <v/>
      </c>
      <c r="O91" s="16"/>
      <c r="P91" s="16" t="str">
        <f>IF(AND(ISNUMBER(O91),O91&lt;&gt;-1,O91&gt;='02_Parameters'!$B$18,O91&lt;='02_Parameters'!$B$19),O91,"")</f>
        <v/>
      </c>
      <c r="Q91" s="16"/>
      <c r="R91" t="str">
        <f>IF(B91&lt;&gt;"Sensor Snapshot","",IF(O91="","Missing",IF(O91=-1,"Sensor failure sentinel (-1)",IF(OR(O91&lt;'02_Parameters'!$B$18,O91&gt;'02_Parameters'!$B$19),"Out of accepted range","Valid"))))</f>
        <v/>
      </c>
      <c r="S91" s="16"/>
      <c r="T91" s="16" t="str">
        <f>IF(AND(ISNUMBER(S91),S91&lt;&gt;-1,S91&gt;='02_Parameters'!$B$20,S91&lt;='02_Parameters'!$B$21),S91,"")</f>
        <v/>
      </c>
      <c r="U91" s="16"/>
      <c r="V91" t="str">
        <f>IF(B91&lt;&gt;"Sensor Snapshot","",IF(S91="","Missing",IF(S91=-1,"Sensor failure sentinel (-1)",IF(OR(S91&lt;'02_Parameters'!$B$20,S91&gt;'02_Parameters'!$B$21),"Out of accepted range","Valid"))))</f>
        <v/>
      </c>
      <c r="W91" s="16"/>
      <c r="X91" s="16" t="str">
        <f t="shared" si="16"/>
        <v/>
      </c>
      <c r="Y91" t="str">
        <f t="shared" si="17"/>
        <v/>
      </c>
      <c r="Z91" s="16"/>
      <c r="AB91" t="str">
        <f>IF(B91&lt;&gt;"Sensor Snapshot","",IF(ISNUMBER(AA91),--(AA91&lt;&gt;0),IF(ISNUMBER(Z91),--(Z91&lt;'02_Parameters'!$B$15),"")))</f>
        <v/>
      </c>
      <c r="AC91" t="str">
        <f>IF(B91&lt;&gt;"Sensor Snapshot","",IF(ISNUMBER(X91),--(X91&gt;='02_Parameters'!$B$16),""))</f>
        <v/>
      </c>
      <c r="AD91">
        <v>0</v>
      </c>
      <c r="AE91" t="str">
        <f t="shared" si="18"/>
        <v/>
      </c>
      <c r="AF91" s="3" t="str">
        <f t="shared" si="19"/>
        <v/>
      </c>
      <c r="AG91" s="16"/>
      <c r="AH91" s="16" t="str">
        <f>IF(B91&lt;&gt;"Sensor Snapshot","",IF(ISNUMBER(AG91),IF(AG91&lt;0,"",IF(AG91&gt;10,AG91/'02_Parameters'!$B$17,AG91)),""))</f>
        <v/>
      </c>
      <c r="AI91" t="str">
        <f t="shared" si="20"/>
        <v/>
      </c>
      <c r="AJ91" t="str">
        <f t="shared" si="21"/>
        <v/>
      </c>
      <c r="AK91" t="str">
        <f t="shared" si="22"/>
        <v/>
      </c>
      <c r="AM91" t="str">
        <f t="shared" si="23"/>
        <v/>
      </c>
      <c r="AN91" t="str">
        <f>IF(B91&lt;&gt;"Sensor Snapshot","",--(N91&gt;='02_Parameters'!$B$13))</f>
        <v/>
      </c>
      <c r="AO91" t="str">
        <f>IF(B91&lt;&gt;"Sensor Snapshot","",--(AND(L91="PUMPING",ISNUMBER(AH91),AH91&lt;='02_Parameters'!$B$10)))</f>
        <v/>
      </c>
      <c r="AP91" s="16"/>
      <c r="AQ91" s="16" t="str">
        <f t="shared" si="24"/>
        <v/>
      </c>
      <c r="AR91" s="16" t="str">
        <f t="shared" si="25"/>
        <v/>
      </c>
      <c r="AW91" s="3" t="s">
        <v>377</v>
      </c>
      <c r="AX91" s="3" t="str">
        <f t="shared" si="26"/>
        <v/>
      </c>
      <c r="AY91" s="3" t="str">
        <f t="shared" si="27"/>
        <v/>
      </c>
      <c r="AZ91" s="3" t="s">
        <v>247</v>
      </c>
      <c r="BA91" s="3"/>
    </row>
    <row r="92" spans="1:53" ht="27.6">
      <c r="A92" t="s">
        <v>381</v>
      </c>
      <c r="B92" t="s">
        <v>242</v>
      </c>
      <c r="C92" s="14">
        <v>0</v>
      </c>
      <c r="D92" s="15">
        <f t="shared" si="14"/>
        <v>0</v>
      </c>
      <c r="E92" t="s">
        <v>232</v>
      </c>
      <c r="G92" t="s">
        <v>91</v>
      </c>
      <c r="H92" t="s">
        <v>374</v>
      </c>
      <c r="I92" s="3" t="s">
        <v>382</v>
      </c>
      <c r="J92" s="3" t="s">
        <v>383</v>
      </c>
      <c r="M92" t="str">
        <f t="shared" si="15"/>
        <v/>
      </c>
      <c r="O92" s="16"/>
      <c r="P92" s="16" t="str">
        <f>IF(AND(ISNUMBER(O92),O92&lt;&gt;-1,O92&gt;='02_Parameters'!$B$18,O92&lt;='02_Parameters'!$B$19),O92,"")</f>
        <v/>
      </c>
      <c r="Q92" s="16"/>
      <c r="R92" t="str">
        <f>IF(B92&lt;&gt;"Sensor Snapshot","",IF(O92="","Missing",IF(O92=-1,"Sensor failure sentinel (-1)",IF(OR(O92&lt;'02_Parameters'!$B$18,O92&gt;'02_Parameters'!$B$19),"Out of accepted range","Valid"))))</f>
        <v/>
      </c>
      <c r="S92" s="16"/>
      <c r="T92" s="16" t="str">
        <f>IF(AND(ISNUMBER(S92),S92&lt;&gt;-1,S92&gt;='02_Parameters'!$B$20,S92&lt;='02_Parameters'!$B$21),S92,"")</f>
        <v/>
      </c>
      <c r="U92" s="16"/>
      <c r="V92" t="str">
        <f>IF(B92&lt;&gt;"Sensor Snapshot","",IF(S92="","Missing",IF(S92=-1,"Sensor failure sentinel (-1)",IF(OR(S92&lt;'02_Parameters'!$B$20,S92&gt;'02_Parameters'!$B$21),"Out of accepted range","Valid"))))</f>
        <v/>
      </c>
      <c r="W92" s="16"/>
      <c r="X92" s="16" t="str">
        <f t="shared" si="16"/>
        <v/>
      </c>
      <c r="Y92" t="str">
        <f t="shared" si="17"/>
        <v/>
      </c>
      <c r="Z92" s="16"/>
      <c r="AB92" t="str">
        <f>IF(B92&lt;&gt;"Sensor Snapshot","",IF(ISNUMBER(AA92),--(AA92&lt;&gt;0),IF(ISNUMBER(Z92),--(Z92&lt;'02_Parameters'!$B$15),"")))</f>
        <v/>
      </c>
      <c r="AC92" t="str">
        <f>IF(B92&lt;&gt;"Sensor Snapshot","",IF(ISNUMBER(X92),--(X92&gt;='02_Parameters'!$B$16),""))</f>
        <v/>
      </c>
      <c r="AD92">
        <v>0</v>
      </c>
      <c r="AE92" t="str">
        <f t="shared" si="18"/>
        <v/>
      </c>
      <c r="AF92" s="3" t="str">
        <f t="shared" si="19"/>
        <v/>
      </c>
      <c r="AG92" s="16"/>
      <c r="AH92" s="16" t="str">
        <f>IF(B92&lt;&gt;"Sensor Snapshot","",IF(ISNUMBER(AG92),IF(AG92&lt;0,"",IF(AG92&gt;10,AG92/'02_Parameters'!$B$17,AG92)),""))</f>
        <v/>
      </c>
      <c r="AI92" t="str">
        <f t="shared" si="20"/>
        <v/>
      </c>
      <c r="AJ92" t="str">
        <f t="shared" si="21"/>
        <v/>
      </c>
      <c r="AK92" t="str">
        <f t="shared" si="22"/>
        <v/>
      </c>
      <c r="AM92" t="str">
        <f t="shared" si="23"/>
        <v/>
      </c>
      <c r="AN92" t="str">
        <f>IF(B92&lt;&gt;"Sensor Snapshot","",--(N92&gt;='02_Parameters'!$B$13))</f>
        <v/>
      </c>
      <c r="AO92" t="str">
        <f>IF(B92&lt;&gt;"Sensor Snapshot","",--(AND(L92="PUMPING",ISNUMBER(AH92),AH92&lt;='02_Parameters'!$B$10)))</f>
        <v/>
      </c>
      <c r="AP92" s="16"/>
      <c r="AQ92" s="16" t="str">
        <f t="shared" si="24"/>
        <v/>
      </c>
      <c r="AR92" s="16" t="str">
        <f t="shared" si="25"/>
        <v/>
      </c>
      <c r="AW92" s="3" t="s">
        <v>377</v>
      </c>
      <c r="AX92" s="3" t="str">
        <f t="shared" si="26"/>
        <v/>
      </c>
      <c r="AY92" s="3" t="str">
        <f t="shared" si="27"/>
        <v/>
      </c>
      <c r="AZ92" s="3" t="s">
        <v>247</v>
      </c>
      <c r="BA92" s="3"/>
    </row>
    <row r="93" spans="1:53" ht="27.6">
      <c r="A93" t="s">
        <v>384</v>
      </c>
      <c r="B93" t="s">
        <v>231</v>
      </c>
      <c r="C93" s="14">
        <v>5107</v>
      </c>
      <c r="D93" s="15">
        <f t="shared" si="14"/>
        <v>5.1070000000000002</v>
      </c>
      <c r="E93" t="s">
        <v>232</v>
      </c>
      <c r="G93" t="s">
        <v>234</v>
      </c>
      <c r="H93" t="s">
        <v>235</v>
      </c>
      <c r="I93" s="3"/>
      <c r="J93" s="3"/>
      <c r="L93" t="s">
        <v>385</v>
      </c>
      <c r="M93">
        <f t="shared" si="15"/>
        <v>0</v>
      </c>
      <c r="N93">
        <v>0</v>
      </c>
      <c r="O93" s="16">
        <v>27.2</v>
      </c>
      <c r="P93" s="16">
        <f>IF(AND(ISNUMBER(O93),O93&lt;&gt;-1,O93&gt;='02_Parameters'!$B$18,O93&lt;='02_Parameters'!$B$19),O93,"")</f>
        <v>27.2</v>
      </c>
      <c r="Q93" s="16">
        <v>27.2</v>
      </c>
      <c r="R93" t="str">
        <f>IF(B93&lt;&gt;"Sensor Snapshot","",IF(O93="","Missing",IF(O93=-1,"Sensor failure sentinel (-1)",IF(OR(O93&lt;'02_Parameters'!$B$18,O93&gt;'02_Parameters'!$B$19),"Out of accepted range","Valid"))))</f>
        <v>Valid</v>
      </c>
      <c r="S93" s="16">
        <v>81.599999999999994</v>
      </c>
      <c r="T93" s="16">
        <f>IF(AND(ISNUMBER(S93),S93&lt;&gt;-1,S93&gt;='02_Parameters'!$B$20,S93&lt;='02_Parameters'!$B$21),S93,"")</f>
        <v>81.599999999999994</v>
      </c>
      <c r="U93" s="16">
        <v>81.599999999999994</v>
      </c>
      <c r="V93" t="str">
        <f>IF(B93&lt;&gt;"Sensor Snapshot","",IF(S93="","Missing",IF(S93=-1,"Sensor failure sentinel (-1)",IF(OR(S93&lt;'02_Parameters'!$B$20,S93&gt;'02_Parameters'!$B$21),"Out of accepted range","Valid"))))</f>
        <v>Valid</v>
      </c>
      <c r="W93" s="16">
        <v>0</v>
      </c>
      <c r="X93" s="16">
        <f t="shared" si="16"/>
        <v>0</v>
      </c>
      <c r="Y93" t="str">
        <f t="shared" si="17"/>
        <v>Valid</v>
      </c>
      <c r="Z93" s="16"/>
      <c r="AA93">
        <v>1</v>
      </c>
      <c r="AB93">
        <f>IF(B93&lt;&gt;"Sensor Snapshot","",IF(ISNUMBER(AA93),--(AA93&lt;&gt;0),IF(ISNUMBER(Z93),--(Z93&lt;'02_Parameters'!$B$15),"")))</f>
        <v>1</v>
      </c>
      <c r="AC93">
        <f>IF(B93&lt;&gt;"Sensor Snapshot","",IF(ISNUMBER(X93),--(X93&gt;='02_Parameters'!$B$16),""))</f>
        <v>0</v>
      </c>
      <c r="AD93">
        <v>0</v>
      </c>
      <c r="AE93">
        <f t="shared" si="18"/>
        <v>0</v>
      </c>
      <c r="AF93" s="3" t="str">
        <f t="shared" si="19"/>
        <v>Partial detection only</v>
      </c>
      <c r="AG93" s="16">
        <v>0</v>
      </c>
      <c r="AH93" s="16">
        <f>IF(B93&lt;&gt;"Sensor Snapshot","",IF(ISNUMBER(AG93),IF(AG93&lt;0,"",IF(AG93&gt;10,AG93/'02_Parameters'!$B$17,AG93)),""))</f>
        <v>0</v>
      </c>
      <c r="AI93" t="str">
        <f t="shared" si="20"/>
        <v>Valid</v>
      </c>
      <c r="AJ93">
        <f t="shared" si="21"/>
        <v>0</v>
      </c>
      <c r="AK93">
        <f t="shared" si="22"/>
        <v>0</v>
      </c>
      <c r="AM93">
        <f t="shared" si="23"/>
        <v>0</v>
      </c>
      <c r="AN93">
        <f>IF(B93&lt;&gt;"Sensor Snapshot","",--(N93&gt;='02_Parameters'!$B$13))</f>
        <v>0</v>
      </c>
      <c r="AO93">
        <f>IF(B93&lt;&gt;"Sensor Snapshot","",--(AND(L93="PUMPING",ISNUMBER(AH93),AH93&lt;='02_Parameters'!$B$10)))</f>
        <v>0</v>
      </c>
      <c r="AP93" s="16"/>
      <c r="AQ93" s="16" t="str">
        <f t="shared" si="24"/>
        <v/>
      </c>
      <c r="AR93" s="16" t="str">
        <f t="shared" si="25"/>
        <v/>
      </c>
      <c r="AU93" t="s">
        <v>236</v>
      </c>
      <c r="AV93" t="s">
        <v>237</v>
      </c>
      <c r="AW93" s="3" t="s">
        <v>257</v>
      </c>
      <c r="AX93" s="3">
        <f t="shared" si="26"/>
        <v>100</v>
      </c>
      <c r="AY93" s="3" t="str">
        <f t="shared" si="27"/>
        <v>A</v>
      </c>
      <c r="AZ93" s="3" t="s">
        <v>386</v>
      </c>
      <c r="BA93" s="3"/>
    </row>
    <row r="94" spans="1:53" ht="27.6">
      <c r="A94" t="s">
        <v>387</v>
      </c>
      <c r="B94" t="s">
        <v>231</v>
      </c>
      <c r="C94" s="14">
        <v>10128</v>
      </c>
      <c r="D94" s="15">
        <f t="shared" si="14"/>
        <v>10.128</v>
      </c>
      <c r="E94" t="s">
        <v>232</v>
      </c>
      <c r="G94" t="s">
        <v>234</v>
      </c>
      <c r="H94" t="s">
        <v>235</v>
      </c>
      <c r="I94" s="3"/>
      <c r="J94" s="3"/>
      <c r="L94" t="s">
        <v>385</v>
      </c>
      <c r="M94">
        <f t="shared" si="15"/>
        <v>0</v>
      </c>
      <c r="N94">
        <v>0</v>
      </c>
      <c r="O94" s="16">
        <v>27.3</v>
      </c>
      <c r="P94" s="16">
        <f>IF(AND(ISNUMBER(O94),O94&lt;&gt;-1,O94&gt;='02_Parameters'!$B$18,O94&lt;='02_Parameters'!$B$19),O94,"")</f>
        <v>27.3</v>
      </c>
      <c r="Q94" s="16">
        <v>27.3</v>
      </c>
      <c r="R94" t="str">
        <f>IF(B94&lt;&gt;"Sensor Snapshot","",IF(O94="","Missing",IF(O94=-1,"Sensor failure sentinel (-1)",IF(OR(O94&lt;'02_Parameters'!$B$18,O94&gt;'02_Parameters'!$B$19),"Out of accepted range","Valid"))))</f>
        <v>Valid</v>
      </c>
      <c r="S94" s="16">
        <v>82</v>
      </c>
      <c r="T94" s="16">
        <f>IF(AND(ISNUMBER(S94),S94&lt;&gt;-1,S94&gt;='02_Parameters'!$B$20,S94&lt;='02_Parameters'!$B$21),S94,"")</f>
        <v>82</v>
      </c>
      <c r="U94" s="16">
        <v>82</v>
      </c>
      <c r="V94" t="str">
        <f>IF(B94&lt;&gt;"Sensor Snapshot","",IF(S94="","Missing",IF(S94=-1,"Sensor failure sentinel (-1)",IF(OR(S94&lt;'02_Parameters'!$B$20,S94&gt;'02_Parameters'!$B$21),"Out of accepted range","Valid"))))</f>
        <v>Valid</v>
      </c>
      <c r="W94" s="16">
        <v>0.1</v>
      </c>
      <c r="X94" s="16">
        <f t="shared" si="16"/>
        <v>0.1</v>
      </c>
      <c r="Y94" t="str">
        <f t="shared" si="17"/>
        <v>Valid</v>
      </c>
      <c r="Z94" s="16"/>
      <c r="AA94">
        <v>1</v>
      </c>
      <c r="AB94">
        <f>IF(B94&lt;&gt;"Sensor Snapshot","",IF(ISNUMBER(AA94),--(AA94&lt;&gt;0),IF(ISNUMBER(Z94),--(Z94&lt;'02_Parameters'!$B$15),"")))</f>
        <v>1</v>
      </c>
      <c r="AC94">
        <f>IF(B94&lt;&gt;"Sensor Snapshot","",IF(ISNUMBER(X94),--(X94&gt;='02_Parameters'!$B$16),""))</f>
        <v>0</v>
      </c>
      <c r="AD94">
        <v>0</v>
      </c>
      <c r="AE94">
        <f t="shared" si="18"/>
        <v>0</v>
      </c>
      <c r="AF94" s="3" t="str">
        <f t="shared" si="19"/>
        <v>Partial detection only</v>
      </c>
      <c r="AG94" s="16">
        <v>0</v>
      </c>
      <c r="AH94" s="16">
        <f>IF(B94&lt;&gt;"Sensor Snapshot","",IF(ISNUMBER(AG94),IF(AG94&lt;0,"",IF(AG94&gt;10,AG94/'02_Parameters'!$B$17,AG94)),""))</f>
        <v>0</v>
      </c>
      <c r="AI94" t="str">
        <f t="shared" si="20"/>
        <v>Valid</v>
      </c>
      <c r="AJ94">
        <f t="shared" si="21"/>
        <v>0</v>
      </c>
      <c r="AK94">
        <f t="shared" si="22"/>
        <v>0</v>
      </c>
      <c r="AM94">
        <f t="shared" si="23"/>
        <v>0</v>
      </c>
      <c r="AN94">
        <f>IF(B94&lt;&gt;"Sensor Snapshot","",--(N94&gt;='02_Parameters'!$B$13))</f>
        <v>0</v>
      </c>
      <c r="AO94">
        <f>IF(B94&lt;&gt;"Sensor Snapshot","",--(AND(L94="PUMPING",ISNUMBER(AH94),AH94&lt;='02_Parameters'!$B$10)))</f>
        <v>0</v>
      </c>
      <c r="AP94" s="16"/>
      <c r="AQ94" s="16" t="str">
        <f t="shared" si="24"/>
        <v/>
      </c>
      <c r="AR94" s="16" t="str">
        <f t="shared" si="25"/>
        <v/>
      </c>
      <c r="AU94" t="s">
        <v>236</v>
      </c>
      <c r="AV94" t="s">
        <v>237</v>
      </c>
      <c r="AW94" s="3" t="s">
        <v>257</v>
      </c>
      <c r="AX94" s="3">
        <f t="shared" si="26"/>
        <v>100</v>
      </c>
      <c r="AY94" s="3" t="str">
        <f t="shared" si="27"/>
        <v>A</v>
      </c>
      <c r="AZ94" s="3" t="s">
        <v>386</v>
      </c>
      <c r="BA94" s="3"/>
    </row>
    <row r="95" spans="1:53" ht="27.6">
      <c r="A95" t="s">
        <v>388</v>
      </c>
      <c r="B95" t="s">
        <v>231</v>
      </c>
      <c r="C95" s="14">
        <v>15147</v>
      </c>
      <c r="D95" s="15">
        <f t="shared" si="14"/>
        <v>15.147</v>
      </c>
      <c r="E95" t="s">
        <v>232</v>
      </c>
      <c r="G95" t="s">
        <v>234</v>
      </c>
      <c r="H95" t="s">
        <v>235</v>
      </c>
      <c r="I95" s="3"/>
      <c r="J95" s="3"/>
      <c r="L95" t="s">
        <v>385</v>
      </c>
      <c r="M95">
        <f t="shared" si="15"/>
        <v>0</v>
      </c>
      <c r="N95">
        <v>0</v>
      </c>
      <c r="O95" s="16">
        <v>27.3</v>
      </c>
      <c r="P95" s="16">
        <f>IF(AND(ISNUMBER(O95),O95&lt;&gt;-1,O95&gt;='02_Parameters'!$B$18,O95&lt;='02_Parameters'!$B$19),O95,"")</f>
        <v>27.3</v>
      </c>
      <c r="Q95" s="16">
        <v>27.3</v>
      </c>
      <c r="R95" t="str">
        <f>IF(B95&lt;&gt;"Sensor Snapshot","",IF(O95="","Missing",IF(O95=-1,"Sensor failure sentinel (-1)",IF(OR(O95&lt;'02_Parameters'!$B$18,O95&gt;'02_Parameters'!$B$19),"Out of accepted range","Valid"))))</f>
        <v>Valid</v>
      </c>
      <c r="S95" s="16">
        <v>82</v>
      </c>
      <c r="T95" s="16">
        <f>IF(AND(ISNUMBER(S95),S95&lt;&gt;-1,S95&gt;='02_Parameters'!$B$20,S95&lt;='02_Parameters'!$B$21),S95,"")</f>
        <v>82</v>
      </c>
      <c r="U95" s="16">
        <v>82</v>
      </c>
      <c r="V95" t="str">
        <f>IF(B95&lt;&gt;"Sensor Snapshot","",IF(S95="","Missing",IF(S95=-1,"Sensor failure sentinel (-1)",IF(OR(S95&lt;'02_Parameters'!$B$20,S95&gt;'02_Parameters'!$B$21),"Out of accepted range","Valid"))))</f>
        <v>Valid</v>
      </c>
      <c r="W95" s="16">
        <v>0.3</v>
      </c>
      <c r="X95" s="16">
        <f t="shared" si="16"/>
        <v>0.3</v>
      </c>
      <c r="Y95" t="str">
        <f t="shared" si="17"/>
        <v>Valid</v>
      </c>
      <c r="Z95" s="16"/>
      <c r="AA95">
        <v>1</v>
      </c>
      <c r="AB95">
        <f>IF(B95&lt;&gt;"Sensor Snapshot","",IF(ISNUMBER(AA95),--(AA95&lt;&gt;0),IF(ISNUMBER(Z95),--(Z95&lt;'02_Parameters'!$B$15),"")))</f>
        <v>1</v>
      </c>
      <c r="AC95">
        <f>IF(B95&lt;&gt;"Sensor Snapshot","",IF(ISNUMBER(X95),--(X95&gt;='02_Parameters'!$B$16),""))</f>
        <v>0</v>
      </c>
      <c r="AD95">
        <v>0</v>
      </c>
      <c r="AE95">
        <f t="shared" si="18"/>
        <v>0</v>
      </c>
      <c r="AF95" s="3" t="str">
        <f t="shared" si="19"/>
        <v>Partial detection only</v>
      </c>
      <c r="AG95" s="16">
        <v>0</v>
      </c>
      <c r="AH95" s="16">
        <f>IF(B95&lt;&gt;"Sensor Snapshot","",IF(ISNUMBER(AG95),IF(AG95&lt;0,"",IF(AG95&gt;10,AG95/'02_Parameters'!$B$17,AG95)),""))</f>
        <v>0</v>
      </c>
      <c r="AI95" t="str">
        <f t="shared" si="20"/>
        <v>Valid</v>
      </c>
      <c r="AJ95">
        <f t="shared" si="21"/>
        <v>0</v>
      </c>
      <c r="AK95">
        <f t="shared" si="22"/>
        <v>0</v>
      </c>
      <c r="AM95">
        <f t="shared" si="23"/>
        <v>0</v>
      </c>
      <c r="AN95">
        <f>IF(B95&lt;&gt;"Sensor Snapshot","",--(N95&gt;='02_Parameters'!$B$13))</f>
        <v>0</v>
      </c>
      <c r="AO95">
        <f>IF(B95&lt;&gt;"Sensor Snapshot","",--(AND(L95="PUMPING",ISNUMBER(AH95),AH95&lt;='02_Parameters'!$B$10)))</f>
        <v>0</v>
      </c>
      <c r="AP95" s="16"/>
      <c r="AQ95" s="16" t="str">
        <f t="shared" si="24"/>
        <v/>
      </c>
      <c r="AR95" s="16" t="str">
        <f t="shared" si="25"/>
        <v/>
      </c>
      <c r="AU95" t="s">
        <v>236</v>
      </c>
      <c r="AV95" t="s">
        <v>237</v>
      </c>
      <c r="AW95" s="3" t="s">
        <v>257</v>
      </c>
      <c r="AX95" s="3">
        <f t="shared" si="26"/>
        <v>100</v>
      </c>
      <c r="AY95" s="3" t="str">
        <f t="shared" si="27"/>
        <v>A</v>
      </c>
      <c r="AZ95" s="3" t="s">
        <v>386</v>
      </c>
      <c r="BA95" s="3"/>
    </row>
    <row r="96" spans="1:53" ht="27.6">
      <c r="A96" t="s">
        <v>389</v>
      </c>
      <c r="B96" t="s">
        <v>231</v>
      </c>
      <c r="C96" s="14">
        <v>20167</v>
      </c>
      <c r="D96" s="15">
        <f t="shared" si="14"/>
        <v>20.167000000000002</v>
      </c>
      <c r="E96" t="s">
        <v>232</v>
      </c>
      <c r="G96" t="s">
        <v>234</v>
      </c>
      <c r="H96" t="s">
        <v>235</v>
      </c>
      <c r="I96" s="3"/>
      <c r="J96" s="3"/>
      <c r="L96" t="s">
        <v>385</v>
      </c>
      <c r="M96">
        <f t="shared" si="15"/>
        <v>0</v>
      </c>
      <c r="N96">
        <v>0</v>
      </c>
      <c r="O96" s="16">
        <v>27.3</v>
      </c>
      <c r="P96" s="16">
        <f>IF(AND(ISNUMBER(O96),O96&lt;&gt;-1,O96&gt;='02_Parameters'!$B$18,O96&lt;='02_Parameters'!$B$19),O96,"")</f>
        <v>27.3</v>
      </c>
      <c r="Q96" s="16">
        <v>27.3</v>
      </c>
      <c r="R96" t="str">
        <f>IF(B96&lt;&gt;"Sensor Snapshot","",IF(O96="","Missing",IF(O96=-1,"Sensor failure sentinel (-1)",IF(OR(O96&lt;'02_Parameters'!$B$18,O96&gt;'02_Parameters'!$B$19),"Out of accepted range","Valid"))))</f>
        <v>Valid</v>
      </c>
      <c r="S96" s="16">
        <v>82</v>
      </c>
      <c r="T96" s="16">
        <f>IF(AND(ISNUMBER(S96),S96&lt;&gt;-1,S96&gt;='02_Parameters'!$B$20,S96&lt;='02_Parameters'!$B$21),S96,"")</f>
        <v>82</v>
      </c>
      <c r="U96" s="16">
        <v>82</v>
      </c>
      <c r="V96" t="str">
        <f>IF(B96&lt;&gt;"Sensor Snapshot","",IF(S96="","Missing",IF(S96=-1,"Sensor failure sentinel (-1)",IF(OR(S96&lt;'02_Parameters'!$B$20,S96&gt;'02_Parameters'!$B$21),"Out of accepted range","Valid"))))</f>
        <v>Valid</v>
      </c>
      <c r="W96" s="16">
        <v>0.2</v>
      </c>
      <c r="X96" s="16">
        <f t="shared" si="16"/>
        <v>0.2</v>
      </c>
      <c r="Y96" t="str">
        <f t="shared" si="17"/>
        <v>Valid</v>
      </c>
      <c r="Z96" s="16"/>
      <c r="AA96">
        <v>1</v>
      </c>
      <c r="AB96">
        <f>IF(B96&lt;&gt;"Sensor Snapshot","",IF(ISNUMBER(AA96),--(AA96&lt;&gt;0),IF(ISNUMBER(Z96),--(Z96&lt;'02_Parameters'!$B$15),"")))</f>
        <v>1</v>
      </c>
      <c r="AC96">
        <f>IF(B96&lt;&gt;"Sensor Snapshot","",IF(ISNUMBER(X96),--(X96&gt;='02_Parameters'!$B$16),""))</f>
        <v>0</v>
      </c>
      <c r="AD96">
        <v>0</v>
      </c>
      <c r="AE96">
        <f t="shared" si="18"/>
        <v>0</v>
      </c>
      <c r="AF96" s="3" t="str">
        <f t="shared" si="19"/>
        <v>Partial detection only</v>
      </c>
      <c r="AG96" s="16">
        <v>0</v>
      </c>
      <c r="AH96" s="16">
        <f>IF(B96&lt;&gt;"Sensor Snapshot","",IF(ISNUMBER(AG96),IF(AG96&lt;0,"",IF(AG96&gt;10,AG96/'02_Parameters'!$B$17,AG96)),""))</f>
        <v>0</v>
      </c>
      <c r="AI96" t="str">
        <f t="shared" si="20"/>
        <v>Valid</v>
      </c>
      <c r="AJ96">
        <f t="shared" si="21"/>
        <v>0</v>
      </c>
      <c r="AK96">
        <f t="shared" si="22"/>
        <v>0</v>
      </c>
      <c r="AM96">
        <f t="shared" si="23"/>
        <v>0</v>
      </c>
      <c r="AN96">
        <f>IF(B96&lt;&gt;"Sensor Snapshot","",--(N96&gt;='02_Parameters'!$B$13))</f>
        <v>0</v>
      </c>
      <c r="AO96">
        <f>IF(B96&lt;&gt;"Sensor Snapshot","",--(AND(L96="PUMPING",ISNUMBER(AH96),AH96&lt;='02_Parameters'!$B$10)))</f>
        <v>0</v>
      </c>
      <c r="AP96" s="16"/>
      <c r="AQ96" s="16" t="str">
        <f t="shared" si="24"/>
        <v/>
      </c>
      <c r="AR96" s="16" t="str">
        <f t="shared" si="25"/>
        <v/>
      </c>
      <c r="AU96" t="s">
        <v>236</v>
      </c>
      <c r="AV96" t="s">
        <v>237</v>
      </c>
      <c r="AW96" s="3" t="s">
        <v>257</v>
      </c>
      <c r="AX96" s="3">
        <f t="shared" si="26"/>
        <v>100</v>
      </c>
      <c r="AY96" s="3" t="str">
        <f t="shared" si="27"/>
        <v>A</v>
      </c>
      <c r="AZ96" s="3" t="s">
        <v>386</v>
      </c>
      <c r="BA96" s="3"/>
    </row>
    <row r="97" spans="1:53" ht="27.6">
      <c r="A97" t="s">
        <v>390</v>
      </c>
      <c r="B97" t="s">
        <v>231</v>
      </c>
      <c r="C97" s="14">
        <v>25188</v>
      </c>
      <c r="D97" s="15">
        <f t="shared" si="14"/>
        <v>25.187999999999999</v>
      </c>
      <c r="E97" t="s">
        <v>232</v>
      </c>
      <c r="G97" t="s">
        <v>234</v>
      </c>
      <c r="H97" t="s">
        <v>235</v>
      </c>
      <c r="I97" s="3"/>
      <c r="J97" s="3"/>
      <c r="L97" t="s">
        <v>385</v>
      </c>
      <c r="M97">
        <f t="shared" si="15"/>
        <v>0</v>
      </c>
      <c r="N97">
        <v>0</v>
      </c>
      <c r="O97" s="16">
        <v>27.3</v>
      </c>
      <c r="P97" s="16">
        <f>IF(AND(ISNUMBER(O97),O97&lt;&gt;-1,O97&gt;='02_Parameters'!$B$18,O97&lt;='02_Parameters'!$B$19),O97,"")</f>
        <v>27.3</v>
      </c>
      <c r="Q97" s="16">
        <v>27.3</v>
      </c>
      <c r="R97" t="str">
        <f>IF(B97&lt;&gt;"Sensor Snapshot","",IF(O97="","Missing",IF(O97=-1,"Sensor failure sentinel (-1)",IF(OR(O97&lt;'02_Parameters'!$B$18,O97&gt;'02_Parameters'!$B$19),"Out of accepted range","Valid"))))</f>
        <v>Valid</v>
      </c>
      <c r="S97" s="16">
        <v>82.1</v>
      </c>
      <c r="T97" s="16">
        <f>IF(AND(ISNUMBER(S97),S97&lt;&gt;-1,S97&gt;='02_Parameters'!$B$20,S97&lt;='02_Parameters'!$B$21),S97,"")</f>
        <v>82.1</v>
      </c>
      <c r="U97" s="16">
        <v>82.1</v>
      </c>
      <c r="V97" t="str">
        <f>IF(B97&lt;&gt;"Sensor Snapshot","",IF(S97="","Missing",IF(S97=-1,"Sensor failure sentinel (-1)",IF(OR(S97&lt;'02_Parameters'!$B$20,S97&gt;'02_Parameters'!$B$21),"Out of accepted range","Valid"))))</f>
        <v>Valid</v>
      </c>
      <c r="W97" s="16">
        <v>0.4</v>
      </c>
      <c r="X97" s="16">
        <f t="shared" si="16"/>
        <v>0.4</v>
      </c>
      <c r="Y97" t="str">
        <f t="shared" si="17"/>
        <v>Valid</v>
      </c>
      <c r="Z97" s="16"/>
      <c r="AA97">
        <v>1</v>
      </c>
      <c r="AB97">
        <f>IF(B97&lt;&gt;"Sensor Snapshot","",IF(ISNUMBER(AA97),--(AA97&lt;&gt;0),IF(ISNUMBER(Z97),--(Z97&lt;'02_Parameters'!$B$15),"")))</f>
        <v>1</v>
      </c>
      <c r="AC97">
        <f>IF(B97&lt;&gt;"Sensor Snapshot","",IF(ISNUMBER(X97),--(X97&gt;='02_Parameters'!$B$16),""))</f>
        <v>0</v>
      </c>
      <c r="AD97">
        <v>0</v>
      </c>
      <c r="AE97">
        <f t="shared" si="18"/>
        <v>0</v>
      </c>
      <c r="AF97" s="3" t="str">
        <f t="shared" si="19"/>
        <v>Partial detection only</v>
      </c>
      <c r="AG97" s="16">
        <v>0</v>
      </c>
      <c r="AH97" s="16">
        <f>IF(B97&lt;&gt;"Sensor Snapshot","",IF(ISNUMBER(AG97),IF(AG97&lt;0,"",IF(AG97&gt;10,AG97/'02_Parameters'!$B$17,AG97)),""))</f>
        <v>0</v>
      </c>
      <c r="AI97" t="str">
        <f t="shared" si="20"/>
        <v>Valid</v>
      </c>
      <c r="AJ97">
        <f t="shared" si="21"/>
        <v>0</v>
      </c>
      <c r="AK97">
        <f t="shared" si="22"/>
        <v>0</v>
      </c>
      <c r="AM97">
        <f t="shared" si="23"/>
        <v>0</v>
      </c>
      <c r="AN97">
        <f>IF(B97&lt;&gt;"Sensor Snapshot","",--(N97&gt;='02_Parameters'!$B$13))</f>
        <v>0</v>
      </c>
      <c r="AO97">
        <f>IF(B97&lt;&gt;"Sensor Snapshot","",--(AND(L97="PUMPING",ISNUMBER(AH97),AH97&lt;='02_Parameters'!$B$10)))</f>
        <v>0</v>
      </c>
      <c r="AP97" s="16"/>
      <c r="AQ97" s="16" t="str">
        <f t="shared" si="24"/>
        <v/>
      </c>
      <c r="AR97" s="16" t="str">
        <f t="shared" si="25"/>
        <v/>
      </c>
      <c r="AU97" t="s">
        <v>236</v>
      </c>
      <c r="AV97" t="s">
        <v>237</v>
      </c>
      <c r="AW97" s="3" t="s">
        <v>257</v>
      </c>
      <c r="AX97" s="3">
        <f t="shared" si="26"/>
        <v>100</v>
      </c>
      <c r="AY97" s="3" t="str">
        <f t="shared" si="27"/>
        <v>A</v>
      </c>
      <c r="AZ97" s="3" t="s">
        <v>386</v>
      </c>
      <c r="BA97" s="3"/>
    </row>
    <row r="98" spans="1:53" ht="27.6">
      <c r="A98" t="s">
        <v>391</v>
      </c>
      <c r="B98" t="s">
        <v>231</v>
      </c>
      <c r="C98" s="14">
        <v>30206</v>
      </c>
      <c r="D98" s="15">
        <f t="shared" si="14"/>
        <v>30.206</v>
      </c>
      <c r="E98" t="s">
        <v>232</v>
      </c>
      <c r="G98" t="s">
        <v>234</v>
      </c>
      <c r="H98" t="s">
        <v>235</v>
      </c>
      <c r="I98" s="3"/>
      <c r="J98" s="3"/>
      <c r="L98" t="s">
        <v>385</v>
      </c>
      <c r="M98">
        <f t="shared" si="15"/>
        <v>0</v>
      </c>
      <c r="N98">
        <v>0</v>
      </c>
      <c r="O98" s="16">
        <v>27.3</v>
      </c>
      <c r="P98" s="16">
        <f>IF(AND(ISNUMBER(O98),O98&lt;&gt;-1,O98&gt;='02_Parameters'!$B$18,O98&lt;='02_Parameters'!$B$19),O98,"")</f>
        <v>27.3</v>
      </c>
      <c r="Q98" s="16">
        <v>27.3</v>
      </c>
      <c r="R98" t="str">
        <f>IF(B98&lt;&gt;"Sensor Snapshot","",IF(O98="","Missing",IF(O98=-1,"Sensor failure sentinel (-1)",IF(OR(O98&lt;'02_Parameters'!$B$18,O98&gt;'02_Parameters'!$B$19),"Out of accepted range","Valid"))))</f>
        <v>Valid</v>
      </c>
      <c r="S98" s="16">
        <v>82.1</v>
      </c>
      <c r="T98" s="16">
        <f>IF(AND(ISNUMBER(S98),S98&lt;&gt;-1,S98&gt;='02_Parameters'!$B$20,S98&lt;='02_Parameters'!$B$21),S98,"")</f>
        <v>82.1</v>
      </c>
      <c r="U98" s="16">
        <v>82.1</v>
      </c>
      <c r="V98" t="str">
        <f>IF(B98&lt;&gt;"Sensor Snapshot","",IF(S98="","Missing",IF(S98=-1,"Sensor failure sentinel (-1)",IF(OR(S98&lt;'02_Parameters'!$B$20,S98&gt;'02_Parameters'!$B$21),"Out of accepted range","Valid"))))</f>
        <v>Valid</v>
      </c>
      <c r="W98" s="16">
        <v>0.3</v>
      </c>
      <c r="X98" s="16">
        <f t="shared" si="16"/>
        <v>0.3</v>
      </c>
      <c r="Y98" t="str">
        <f t="shared" si="17"/>
        <v>Valid</v>
      </c>
      <c r="Z98" s="16"/>
      <c r="AA98">
        <v>1</v>
      </c>
      <c r="AB98">
        <f>IF(B98&lt;&gt;"Sensor Snapshot","",IF(ISNUMBER(AA98),--(AA98&lt;&gt;0),IF(ISNUMBER(Z98),--(Z98&lt;'02_Parameters'!$B$15),"")))</f>
        <v>1</v>
      </c>
      <c r="AC98">
        <f>IF(B98&lt;&gt;"Sensor Snapshot","",IF(ISNUMBER(X98),--(X98&gt;='02_Parameters'!$B$16),""))</f>
        <v>0</v>
      </c>
      <c r="AD98">
        <v>0</v>
      </c>
      <c r="AE98">
        <f t="shared" si="18"/>
        <v>0</v>
      </c>
      <c r="AF98" s="3" t="str">
        <f t="shared" si="19"/>
        <v>Partial detection only</v>
      </c>
      <c r="AG98" s="16">
        <v>0</v>
      </c>
      <c r="AH98" s="16">
        <f>IF(B98&lt;&gt;"Sensor Snapshot","",IF(ISNUMBER(AG98),IF(AG98&lt;0,"",IF(AG98&gt;10,AG98/'02_Parameters'!$B$17,AG98)),""))</f>
        <v>0</v>
      </c>
      <c r="AI98" t="str">
        <f t="shared" si="20"/>
        <v>Valid</v>
      </c>
      <c r="AJ98">
        <f t="shared" si="21"/>
        <v>0</v>
      </c>
      <c r="AK98">
        <f t="shared" si="22"/>
        <v>0</v>
      </c>
      <c r="AM98">
        <f t="shared" si="23"/>
        <v>0</v>
      </c>
      <c r="AN98">
        <f>IF(B98&lt;&gt;"Sensor Snapshot","",--(N98&gt;='02_Parameters'!$B$13))</f>
        <v>0</v>
      </c>
      <c r="AO98">
        <f>IF(B98&lt;&gt;"Sensor Snapshot","",--(AND(L98="PUMPING",ISNUMBER(AH98),AH98&lt;='02_Parameters'!$B$10)))</f>
        <v>0</v>
      </c>
      <c r="AP98" s="16"/>
      <c r="AQ98" s="16" t="str">
        <f t="shared" si="24"/>
        <v/>
      </c>
      <c r="AR98" s="16" t="str">
        <f t="shared" si="25"/>
        <v/>
      </c>
      <c r="AU98" t="s">
        <v>236</v>
      </c>
      <c r="AV98" t="s">
        <v>237</v>
      </c>
      <c r="AW98" s="3" t="s">
        <v>257</v>
      </c>
      <c r="AX98" s="3">
        <f t="shared" si="26"/>
        <v>100</v>
      </c>
      <c r="AY98" s="3" t="str">
        <f t="shared" si="27"/>
        <v>A</v>
      </c>
      <c r="AZ98" s="3" t="s">
        <v>386</v>
      </c>
      <c r="BA98" s="3"/>
    </row>
    <row r="99" spans="1:53" ht="27.6">
      <c r="A99" t="s">
        <v>392</v>
      </c>
      <c r="B99" t="s">
        <v>231</v>
      </c>
      <c r="C99" s="14">
        <v>35227</v>
      </c>
      <c r="D99" s="15">
        <f t="shared" si="14"/>
        <v>35.226999999999997</v>
      </c>
      <c r="E99" t="s">
        <v>232</v>
      </c>
      <c r="G99" t="s">
        <v>234</v>
      </c>
      <c r="H99" t="s">
        <v>235</v>
      </c>
      <c r="I99" s="3"/>
      <c r="J99" s="3"/>
      <c r="L99" t="s">
        <v>385</v>
      </c>
      <c r="M99">
        <f t="shared" si="15"/>
        <v>0</v>
      </c>
      <c r="N99">
        <v>0</v>
      </c>
      <c r="O99" s="16">
        <v>27.3</v>
      </c>
      <c r="P99" s="16">
        <f>IF(AND(ISNUMBER(O99),O99&lt;&gt;-1,O99&gt;='02_Parameters'!$B$18,O99&lt;='02_Parameters'!$B$19),O99,"")</f>
        <v>27.3</v>
      </c>
      <c r="Q99" s="16">
        <v>27.3</v>
      </c>
      <c r="R99" t="str">
        <f>IF(B99&lt;&gt;"Sensor Snapshot","",IF(O99="","Missing",IF(O99=-1,"Sensor failure sentinel (-1)",IF(OR(O99&lt;'02_Parameters'!$B$18,O99&gt;'02_Parameters'!$B$19),"Out of accepted range","Valid"))))</f>
        <v>Valid</v>
      </c>
      <c r="S99" s="16">
        <v>82.1</v>
      </c>
      <c r="T99" s="16">
        <f>IF(AND(ISNUMBER(S99),S99&lt;&gt;-1,S99&gt;='02_Parameters'!$B$20,S99&lt;='02_Parameters'!$B$21),S99,"")</f>
        <v>82.1</v>
      </c>
      <c r="U99" s="16">
        <v>82.1</v>
      </c>
      <c r="V99" t="str">
        <f>IF(B99&lt;&gt;"Sensor Snapshot","",IF(S99="","Missing",IF(S99=-1,"Sensor failure sentinel (-1)",IF(OR(S99&lt;'02_Parameters'!$B$20,S99&gt;'02_Parameters'!$B$21),"Out of accepted range","Valid"))))</f>
        <v>Valid</v>
      </c>
      <c r="W99" s="16">
        <v>0.5</v>
      </c>
      <c r="X99" s="16">
        <f t="shared" si="16"/>
        <v>0.5</v>
      </c>
      <c r="Y99" t="str">
        <f t="shared" si="17"/>
        <v>Valid</v>
      </c>
      <c r="Z99" s="16"/>
      <c r="AA99">
        <v>1</v>
      </c>
      <c r="AB99">
        <f>IF(B99&lt;&gt;"Sensor Snapshot","",IF(ISNUMBER(AA99),--(AA99&lt;&gt;0),IF(ISNUMBER(Z99),--(Z99&lt;'02_Parameters'!$B$15),"")))</f>
        <v>1</v>
      </c>
      <c r="AC99">
        <f>IF(B99&lt;&gt;"Sensor Snapshot","",IF(ISNUMBER(X99),--(X99&gt;='02_Parameters'!$B$16),""))</f>
        <v>0</v>
      </c>
      <c r="AD99">
        <v>0</v>
      </c>
      <c r="AE99">
        <f t="shared" si="18"/>
        <v>0</v>
      </c>
      <c r="AF99" s="3" t="str">
        <f t="shared" si="19"/>
        <v>Partial detection only</v>
      </c>
      <c r="AG99" s="16">
        <v>0</v>
      </c>
      <c r="AH99" s="16">
        <f>IF(B99&lt;&gt;"Sensor Snapshot","",IF(ISNUMBER(AG99),IF(AG99&lt;0,"",IF(AG99&gt;10,AG99/'02_Parameters'!$B$17,AG99)),""))</f>
        <v>0</v>
      </c>
      <c r="AI99" t="str">
        <f t="shared" si="20"/>
        <v>Valid</v>
      </c>
      <c r="AJ99">
        <f t="shared" si="21"/>
        <v>0</v>
      </c>
      <c r="AK99">
        <f t="shared" si="22"/>
        <v>0</v>
      </c>
      <c r="AM99">
        <f t="shared" si="23"/>
        <v>0</v>
      </c>
      <c r="AN99">
        <f>IF(B99&lt;&gt;"Sensor Snapshot","",--(N99&gt;='02_Parameters'!$B$13))</f>
        <v>0</v>
      </c>
      <c r="AO99">
        <f>IF(B99&lt;&gt;"Sensor Snapshot","",--(AND(L99="PUMPING",ISNUMBER(AH99),AH99&lt;='02_Parameters'!$B$10)))</f>
        <v>0</v>
      </c>
      <c r="AP99" s="16"/>
      <c r="AQ99" s="16" t="str">
        <f t="shared" si="24"/>
        <v/>
      </c>
      <c r="AR99" s="16" t="str">
        <f t="shared" si="25"/>
        <v/>
      </c>
      <c r="AU99" t="s">
        <v>236</v>
      </c>
      <c r="AV99" t="s">
        <v>237</v>
      </c>
      <c r="AW99" s="3" t="s">
        <v>257</v>
      </c>
      <c r="AX99" s="3">
        <f t="shared" si="26"/>
        <v>100</v>
      </c>
      <c r="AY99" s="3" t="str">
        <f t="shared" si="27"/>
        <v>A</v>
      </c>
      <c r="AZ99" s="3" t="s">
        <v>386</v>
      </c>
      <c r="BA99" s="3"/>
    </row>
    <row r="100" spans="1:53" ht="27.6">
      <c r="A100" t="s">
        <v>393</v>
      </c>
      <c r="B100" t="s">
        <v>231</v>
      </c>
      <c r="C100" s="14">
        <v>40246</v>
      </c>
      <c r="D100" s="15">
        <f t="shared" si="14"/>
        <v>40.246000000000002</v>
      </c>
      <c r="E100" t="s">
        <v>232</v>
      </c>
      <c r="G100" t="s">
        <v>234</v>
      </c>
      <c r="H100" t="s">
        <v>235</v>
      </c>
      <c r="I100" s="3"/>
      <c r="J100" s="3"/>
      <c r="L100" t="s">
        <v>385</v>
      </c>
      <c r="M100">
        <f t="shared" si="15"/>
        <v>0</v>
      </c>
      <c r="N100">
        <v>0</v>
      </c>
      <c r="O100" s="16">
        <v>27.3</v>
      </c>
      <c r="P100" s="16">
        <f>IF(AND(ISNUMBER(O100),O100&lt;&gt;-1,O100&gt;='02_Parameters'!$B$18,O100&lt;='02_Parameters'!$B$19),O100,"")</f>
        <v>27.3</v>
      </c>
      <c r="Q100" s="16">
        <v>27.3</v>
      </c>
      <c r="R100" t="str">
        <f>IF(B100&lt;&gt;"Sensor Snapshot","",IF(O100="","Missing",IF(O100=-1,"Sensor failure sentinel (-1)",IF(OR(O100&lt;'02_Parameters'!$B$18,O100&gt;'02_Parameters'!$B$19),"Out of accepted range","Valid"))))</f>
        <v>Valid</v>
      </c>
      <c r="S100" s="16">
        <v>82.3</v>
      </c>
      <c r="T100" s="16">
        <f>IF(AND(ISNUMBER(S100),S100&lt;&gt;-1,S100&gt;='02_Parameters'!$B$20,S100&lt;='02_Parameters'!$B$21),S100,"")</f>
        <v>82.3</v>
      </c>
      <c r="U100" s="16">
        <v>82.3</v>
      </c>
      <c r="V100" t="str">
        <f>IF(B100&lt;&gt;"Sensor Snapshot","",IF(S100="","Missing",IF(S100=-1,"Sensor failure sentinel (-1)",IF(OR(S100&lt;'02_Parameters'!$B$20,S100&gt;'02_Parameters'!$B$21),"Out of accepted range","Valid"))))</f>
        <v>Valid</v>
      </c>
      <c r="W100" s="16">
        <v>0.5</v>
      </c>
      <c r="X100" s="16">
        <f t="shared" si="16"/>
        <v>0.5</v>
      </c>
      <c r="Y100" t="str">
        <f t="shared" si="17"/>
        <v>Valid</v>
      </c>
      <c r="Z100" s="16"/>
      <c r="AA100">
        <v>1</v>
      </c>
      <c r="AB100">
        <f>IF(B100&lt;&gt;"Sensor Snapshot","",IF(ISNUMBER(AA100),--(AA100&lt;&gt;0),IF(ISNUMBER(Z100),--(Z100&lt;'02_Parameters'!$B$15),"")))</f>
        <v>1</v>
      </c>
      <c r="AC100">
        <f>IF(B100&lt;&gt;"Sensor Snapshot","",IF(ISNUMBER(X100),--(X100&gt;='02_Parameters'!$B$16),""))</f>
        <v>0</v>
      </c>
      <c r="AD100">
        <v>0</v>
      </c>
      <c r="AE100">
        <f t="shared" si="18"/>
        <v>0</v>
      </c>
      <c r="AF100" s="3" t="str">
        <f t="shared" si="19"/>
        <v>Partial detection only</v>
      </c>
      <c r="AG100" s="16">
        <v>0</v>
      </c>
      <c r="AH100" s="16">
        <f>IF(B100&lt;&gt;"Sensor Snapshot","",IF(ISNUMBER(AG100),IF(AG100&lt;0,"",IF(AG100&gt;10,AG100/'02_Parameters'!$B$17,AG100)),""))</f>
        <v>0</v>
      </c>
      <c r="AI100" t="str">
        <f t="shared" si="20"/>
        <v>Valid</v>
      </c>
      <c r="AJ100">
        <f t="shared" si="21"/>
        <v>0</v>
      </c>
      <c r="AK100">
        <f t="shared" si="22"/>
        <v>0</v>
      </c>
      <c r="AM100">
        <f t="shared" si="23"/>
        <v>0</v>
      </c>
      <c r="AN100">
        <f>IF(B100&lt;&gt;"Sensor Snapshot","",--(N100&gt;='02_Parameters'!$B$13))</f>
        <v>0</v>
      </c>
      <c r="AO100">
        <f>IF(B100&lt;&gt;"Sensor Snapshot","",--(AND(L100="PUMPING",ISNUMBER(AH100),AH100&lt;='02_Parameters'!$B$10)))</f>
        <v>0</v>
      </c>
      <c r="AP100" s="16"/>
      <c r="AQ100" s="16" t="str">
        <f t="shared" si="24"/>
        <v/>
      </c>
      <c r="AR100" s="16" t="str">
        <f t="shared" si="25"/>
        <v/>
      </c>
      <c r="AU100" t="s">
        <v>236</v>
      </c>
      <c r="AV100" t="s">
        <v>237</v>
      </c>
      <c r="AW100" s="3" t="s">
        <v>257</v>
      </c>
      <c r="AX100" s="3">
        <f t="shared" si="26"/>
        <v>100</v>
      </c>
      <c r="AY100" s="3" t="str">
        <f t="shared" si="27"/>
        <v>A</v>
      </c>
      <c r="AZ100" s="3" t="s">
        <v>386</v>
      </c>
      <c r="BA100" s="3"/>
    </row>
    <row r="101" spans="1:53" ht="27.6">
      <c r="A101" t="s">
        <v>394</v>
      </c>
      <c r="B101" t="s">
        <v>231</v>
      </c>
      <c r="C101" s="14">
        <v>45264</v>
      </c>
      <c r="D101" s="15">
        <f t="shared" si="14"/>
        <v>45.264000000000003</v>
      </c>
      <c r="E101" t="s">
        <v>232</v>
      </c>
      <c r="G101" t="s">
        <v>234</v>
      </c>
      <c r="H101" t="s">
        <v>235</v>
      </c>
      <c r="I101" s="3"/>
      <c r="J101" s="3"/>
      <c r="L101" t="s">
        <v>385</v>
      </c>
      <c r="M101">
        <f t="shared" si="15"/>
        <v>0</v>
      </c>
      <c r="N101">
        <v>0</v>
      </c>
      <c r="O101" s="16">
        <v>27.3</v>
      </c>
      <c r="P101" s="16">
        <f>IF(AND(ISNUMBER(O101),O101&lt;&gt;-1,O101&gt;='02_Parameters'!$B$18,O101&lt;='02_Parameters'!$B$19),O101,"")</f>
        <v>27.3</v>
      </c>
      <c r="Q101" s="16">
        <v>27.3</v>
      </c>
      <c r="R101" t="str">
        <f>IF(B101&lt;&gt;"Sensor Snapshot","",IF(O101="","Missing",IF(O101=-1,"Sensor failure sentinel (-1)",IF(OR(O101&lt;'02_Parameters'!$B$18,O101&gt;'02_Parameters'!$B$19),"Out of accepted range","Valid"))))</f>
        <v>Valid</v>
      </c>
      <c r="S101" s="16">
        <v>82.1</v>
      </c>
      <c r="T101" s="16">
        <f>IF(AND(ISNUMBER(S101),S101&lt;&gt;-1,S101&gt;='02_Parameters'!$B$20,S101&lt;='02_Parameters'!$B$21),S101,"")</f>
        <v>82.1</v>
      </c>
      <c r="U101" s="16">
        <v>82.1</v>
      </c>
      <c r="V101" t="str">
        <f>IF(B101&lt;&gt;"Sensor Snapshot","",IF(S101="","Missing",IF(S101=-1,"Sensor failure sentinel (-1)",IF(OR(S101&lt;'02_Parameters'!$B$20,S101&gt;'02_Parameters'!$B$21),"Out of accepted range","Valid"))))</f>
        <v>Valid</v>
      </c>
      <c r="W101" s="16">
        <v>0.5</v>
      </c>
      <c r="X101" s="16">
        <f t="shared" si="16"/>
        <v>0.5</v>
      </c>
      <c r="Y101" t="str">
        <f t="shared" si="17"/>
        <v>Valid</v>
      </c>
      <c r="Z101" s="16"/>
      <c r="AA101">
        <v>1</v>
      </c>
      <c r="AB101">
        <f>IF(B101&lt;&gt;"Sensor Snapshot","",IF(ISNUMBER(AA101),--(AA101&lt;&gt;0),IF(ISNUMBER(Z101),--(Z101&lt;'02_Parameters'!$B$15),"")))</f>
        <v>1</v>
      </c>
      <c r="AC101">
        <f>IF(B101&lt;&gt;"Sensor Snapshot","",IF(ISNUMBER(X101),--(X101&gt;='02_Parameters'!$B$16),""))</f>
        <v>0</v>
      </c>
      <c r="AD101">
        <v>0</v>
      </c>
      <c r="AE101">
        <f t="shared" si="18"/>
        <v>0</v>
      </c>
      <c r="AF101" s="3" t="str">
        <f t="shared" si="19"/>
        <v>Partial detection only</v>
      </c>
      <c r="AG101" s="16">
        <v>0</v>
      </c>
      <c r="AH101" s="16">
        <f>IF(B101&lt;&gt;"Sensor Snapshot","",IF(ISNUMBER(AG101),IF(AG101&lt;0,"",IF(AG101&gt;10,AG101/'02_Parameters'!$B$17,AG101)),""))</f>
        <v>0</v>
      </c>
      <c r="AI101" t="str">
        <f t="shared" si="20"/>
        <v>Valid</v>
      </c>
      <c r="AJ101">
        <f t="shared" si="21"/>
        <v>0</v>
      </c>
      <c r="AK101">
        <f t="shared" si="22"/>
        <v>0</v>
      </c>
      <c r="AM101">
        <f t="shared" si="23"/>
        <v>0</v>
      </c>
      <c r="AN101">
        <f>IF(B101&lt;&gt;"Sensor Snapshot","",--(N101&gt;='02_Parameters'!$B$13))</f>
        <v>0</v>
      </c>
      <c r="AO101">
        <f>IF(B101&lt;&gt;"Sensor Snapshot","",--(AND(L101="PUMPING",ISNUMBER(AH101),AH101&lt;='02_Parameters'!$B$10)))</f>
        <v>0</v>
      </c>
      <c r="AP101" s="16"/>
      <c r="AQ101" s="16" t="str">
        <f t="shared" si="24"/>
        <v/>
      </c>
      <c r="AR101" s="16" t="str">
        <f t="shared" si="25"/>
        <v/>
      </c>
      <c r="AU101" t="s">
        <v>236</v>
      </c>
      <c r="AV101" t="s">
        <v>237</v>
      </c>
      <c r="AW101" s="3" t="s">
        <v>257</v>
      </c>
      <c r="AX101" s="3">
        <f t="shared" si="26"/>
        <v>100</v>
      </c>
      <c r="AY101" s="3" t="str">
        <f t="shared" si="27"/>
        <v>A</v>
      </c>
      <c r="AZ101" s="3" t="s">
        <v>386</v>
      </c>
      <c r="BA101" s="3"/>
    </row>
    <row r="102" spans="1:53" ht="27.6">
      <c r="A102" t="s">
        <v>395</v>
      </c>
      <c r="B102" t="s">
        <v>231</v>
      </c>
      <c r="C102" s="14">
        <v>50285</v>
      </c>
      <c r="D102" s="15">
        <f t="shared" si="14"/>
        <v>50.284999999999997</v>
      </c>
      <c r="E102" t="s">
        <v>232</v>
      </c>
      <c r="G102" t="s">
        <v>234</v>
      </c>
      <c r="H102" t="s">
        <v>235</v>
      </c>
      <c r="I102" s="3"/>
      <c r="J102" s="3"/>
      <c r="L102" t="s">
        <v>385</v>
      </c>
      <c r="M102">
        <f t="shared" si="15"/>
        <v>0</v>
      </c>
      <c r="N102">
        <v>0</v>
      </c>
      <c r="O102" s="16">
        <v>27.3</v>
      </c>
      <c r="P102" s="16">
        <f>IF(AND(ISNUMBER(O102),O102&lt;&gt;-1,O102&gt;='02_Parameters'!$B$18,O102&lt;='02_Parameters'!$B$19),O102,"")</f>
        <v>27.3</v>
      </c>
      <c r="Q102" s="16">
        <v>27.3</v>
      </c>
      <c r="R102" t="str">
        <f>IF(B102&lt;&gt;"Sensor Snapshot","",IF(O102="","Missing",IF(O102=-1,"Sensor failure sentinel (-1)",IF(OR(O102&lt;'02_Parameters'!$B$18,O102&gt;'02_Parameters'!$B$19),"Out of accepted range","Valid"))))</f>
        <v>Valid</v>
      </c>
      <c r="S102" s="16">
        <v>82</v>
      </c>
      <c r="T102" s="16">
        <f>IF(AND(ISNUMBER(S102),S102&lt;&gt;-1,S102&gt;='02_Parameters'!$B$20,S102&lt;='02_Parameters'!$B$21),S102,"")</f>
        <v>82</v>
      </c>
      <c r="U102" s="16">
        <v>82</v>
      </c>
      <c r="V102" t="str">
        <f>IF(B102&lt;&gt;"Sensor Snapshot","",IF(S102="","Missing",IF(S102=-1,"Sensor failure sentinel (-1)",IF(OR(S102&lt;'02_Parameters'!$B$20,S102&gt;'02_Parameters'!$B$21),"Out of accepted range","Valid"))))</f>
        <v>Valid</v>
      </c>
      <c r="W102" s="16">
        <v>0.5</v>
      </c>
      <c r="X102" s="16">
        <f t="shared" si="16"/>
        <v>0.5</v>
      </c>
      <c r="Y102" t="str">
        <f t="shared" si="17"/>
        <v>Valid</v>
      </c>
      <c r="Z102" s="16"/>
      <c r="AA102">
        <v>1</v>
      </c>
      <c r="AB102">
        <f>IF(B102&lt;&gt;"Sensor Snapshot","",IF(ISNUMBER(AA102),--(AA102&lt;&gt;0),IF(ISNUMBER(Z102),--(Z102&lt;'02_Parameters'!$B$15),"")))</f>
        <v>1</v>
      </c>
      <c r="AC102">
        <f>IF(B102&lt;&gt;"Sensor Snapshot","",IF(ISNUMBER(X102),--(X102&gt;='02_Parameters'!$B$16),""))</f>
        <v>0</v>
      </c>
      <c r="AD102">
        <v>0</v>
      </c>
      <c r="AE102">
        <f t="shared" si="18"/>
        <v>0</v>
      </c>
      <c r="AF102" s="3" t="str">
        <f t="shared" si="19"/>
        <v>Partial detection only</v>
      </c>
      <c r="AG102" s="16">
        <v>0</v>
      </c>
      <c r="AH102" s="16">
        <f>IF(B102&lt;&gt;"Sensor Snapshot","",IF(ISNUMBER(AG102),IF(AG102&lt;0,"",IF(AG102&gt;10,AG102/'02_Parameters'!$B$17,AG102)),""))</f>
        <v>0</v>
      </c>
      <c r="AI102" t="str">
        <f t="shared" si="20"/>
        <v>Valid</v>
      </c>
      <c r="AJ102">
        <f t="shared" si="21"/>
        <v>0</v>
      </c>
      <c r="AK102">
        <f t="shared" si="22"/>
        <v>0</v>
      </c>
      <c r="AM102">
        <f t="shared" si="23"/>
        <v>0</v>
      </c>
      <c r="AN102">
        <f>IF(B102&lt;&gt;"Sensor Snapshot","",--(N102&gt;='02_Parameters'!$B$13))</f>
        <v>0</v>
      </c>
      <c r="AO102">
        <f>IF(B102&lt;&gt;"Sensor Snapshot","",--(AND(L102="PUMPING",ISNUMBER(AH102),AH102&lt;='02_Parameters'!$B$10)))</f>
        <v>0</v>
      </c>
      <c r="AP102" s="16"/>
      <c r="AQ102" s="16" t="str">
        <f t="shared" si="24"/>
        <v/>
      </c>
      <c r="AR102" s="16" t="str">
        <f t="shared" si="25"/>
        <v/>
      </c>
      <c r="AU102" t="s">
        <v>236</v>
      </c>
      <c r="AV102" t="s">
        <v>237</v>
      </c>
      <c r="AW102" s="3" t="s">
        <v>257</v>
      </c>
      <c r="AX102" s="3">
        <f t="shared" si="26"/>
        <v>100</v>
      </c>
      <c r="AY102" s="3" t="str">
        <f t="shared" si="27"/>
        <v>A</v>
      </c>
      <c r="AZ102" s="3" t="s">
        <v>386</v>
      </c>
      <c r="BA102" s="3"/>
    </row>
    <row r="103" spans="1:53" ht="27.6">
      <c r="A103" t="s">
        <v>396</v>
      </c>
      <c r="B103" t="s">
        <v>231</v>
      </c>
      <c r="C103" s="14">
        <v>55304</v>
      </c>
      <c r="D103" s="15">
        <f t="shared" si="14"/>
        <v>55.304000000000002</v>
      </c>
      <c r="E103" t="s">
        <v>232</v>
      </c>
      <c r="G103" t="s">
        <v>234</v>
      </c>
      <c r="H103" t="s">
        <v>235</v>
      </c>
      <c r="I103" s="3"/>
      <c r="J103" s="3"/>
      <c r="L103" t="s">
        <v>385</v>
      </c>
      <c r="M103">
        <f t="shared" si="15"/>
        <v>0</v>
      </c>
      <c r="N103">
        <v>0</v>
      </c>
      <c r="O103" s="16">
        <v>27.3</v>
      </c>
      <c r="P103" s="16">
        <f>IF(AND(ISNUMBER(O103),O103&lt;&gt;-1,O103&gt;='02_Parameters'!$B$18,O103&lt;='02_Parameters'!$B$19),O103,"")</f>
        <v>27.3</v>
      </c>
      <c r="Q103" s="16">
        <v>27.3</v>
      </c>
      <c r="R103" t="str">
        <f>IF(B103&lt;&gt;"Sensor Snapshot","",IF(O103="","Missing",IF(O103=-1,"Sensor failure sentinel (-1)",IF(OR(O103&lt;'02_Parameters'!$B$18,O103&gt;'02_Parameters'!$B$19),"Out of accepted range","Valid"))))</f>
        <v>Valid</v>
      </c>
      <c r="S103" s="16">
        <v>81.599999999999994</v>
      </c>
      <c r="T103" s="16">
        <f>IF(AND(ISNUMBER(S103),S103&lt;&gt;-1,S103&gt;='02_Parameters'!$B$20,S103&lt;='02_Parameters'!$B$21),S103,"")</f>
        <v>81.599999999999994</v>
      </c>
      <c r="U103" s="16">
        <v>81.599999999999994</v>
      </c>
      <c r="V103" t="str">
        <f>IF(B103&lt;&gt;"Sensor Snapshot","",IF(S103="","Missing",IF(S103=-1,"Sensor failure sentinel (-1)",IF(OR(S103&lt;'02_Parameters'!$B$20,S103&gt;'02_Parameters'!$B$21),"Out of accepted range","Valid"))))</f>
        <v>Valid</v>
      </c>
      <c r="W103" s="16">
        <v>0.4</v>
      </c>
      <c r="X103" s="16">
        <f t="shared" si="16"/>
        <v>0.4</v>
      </c>
      <c r="Y103" t="str">
        <f t="shared" si="17"/>
        <v>Valid</v>
      </c>
      <c r="Z103" s="16"/>
      <c r="AA103">
        <v>1</v>
      </c>
      <c r="AB103">
        <f>IF(B103&lt;&gt;"Sensor Snapshot","",IF(ISNUMBER(AA103),--(AA103&lt;&gt;0),IF(ISNUMBER(Z103),--(Z103&lt;'02_Parameters'!$B$15),"")))</f>
        <v>1</v>
      </c>
      <c r="AC103">
        <f>IF(B103&lt;&gt;"Sensor Snapshot","",IF(ISNUMBER(X103),--(X103&gt;='02_Parameters'!$B$16),""))</f>
        <v>0</v>
      </c>
      <c r="AD103">
        <v>0</v>
      </c>
      <c r="AE103">
        <f t="shared" si="18"/>
        <v>0</v>
      </c>
      <c r="AF103" s="3" t="str">
        <f t="shared" si="19"/>
        <v>Partial detection only</v>
      </c>
      <c r="AG103" s="16">
        <v>0</v>
      </c>
      <c r="AH103" s="16">
        <f>IF(B103&lt;&gt;"Sensor Snapshot","",IF(ISNUMBER(AG103),IF(AG103&lt;0,"",IF(AG103&gt;10,AG103/'02_Parameters'!$B$17,AG103)),""))</f>
        <v>0</v>
      </c>
      <c r="AI103" t="str">
        <f t="shared" si="20"/>
        <v>Valid</v>
      </c>
      <c r="AJ103">
        <f t="shared" si="21"/>
        <v>0</v>
      </c>
      <c r="AK103">
        <f t="shared" si="22"/>
        <v>0</v>
      </c>
      <c r="AM103">
        <f t="shared" si="23"/>
        <v>0</v>
      </c>
      <c r="AN103">
        <f>IF(B103&lt;&gt;"Sensor Snapshot","",--(N103&gt;='02_Parameters'!$B$13))</f>
        <v>0</v>
      </c>
      <c r="AO103">
        <f>IF(B103&lt;&gt;"Sensor Snapshot","",--(AND(L103="PUMPING",ISNUMBER(AH103),AH103&lt;='02_Parameters'!$B$10)))</f>
        <v>0</v>
      </c>
      <c r="AP103" s="16"/>
      <c r="AQ103" s="16" t="str">
        <f t="shared" si="24"/>
        <v/>
      </c>
      <c r="AR103" s="16" t="str">
        <f t="shared" si="25"/>
        <v/>
      </c>
      <c r="AU103" t="s">
        <v>236</v>
      </c>
      <c r="AV103" t="s">
        <v>237</v>
      </c>
      <c r="AW103" s="3" t="s">
        <v>257</v>
      </c>
      <c r="AX103" s="3">
        <f t="shared" si="26"/>
        <v>100</v>
      </c>
      <c r="AY103" s="3" t="str">
        <f t="shared" si="27"/>
        <v>A</v>
      </c>
      <c r="AZ103" s="3" t="s">
        <v>386</v>
      </c>
      <c r="BA103" s="3"/>
    </row>
    <row r="104" spans="1:53" ht="27.6">
      <c r="A104" t="s">
        <v>397</v>
      </c>
      <c r="B104" t="s">
        <v>231</v>
      </c>
      <c r="C104" s="14">
        <v>60324</v>
      </c>
      <c r="D104" s="15">
        <f t="shared" si="14"/>
        <v>60.323999999999998</v>
      </c>
      <c r="E104" t="s">
        <v>232</v>
      </c>
      <c r="G104" t="s">
        <v>234</v>
      </c>
      <c r="H104" t="s">
        <v>235</v>
      </c>
      <c r="I104" s="3"/>
      <c r="J104" s="3"/>
      <c r="L104" t="s">
        <v>385</v>
      </c>
      <c r="M104">
        <f t="shared" si="15"/>
        <v>0</v>
      </c>
      <c r="N104">
        <v>0</v>
      </c>
      <c r="O104" s="16">
        <v>27.3</v>
      </c>
      <c r="P104" s="16">
        <f>IF(AND(ISNUMBER(O104),O104&lt;&gt;-1,O104&gt;='02_Parameters'!$B$18,O104&lt;='02_Parameters'!$B$19),O104,"")</f>
        <v>27.3</v>
      </c>
      <c r="Q104" s="16">
        <v>27.3</v>
      </c>
      <c r="R104" t="str">
        <f>IF(B104&lt;&gt;"Sensor Snapshot","",IF(O104="","Missing",IF(O104=-1,"Sensor failure sentinel (-1)",IF(OR(O104&lt;'02_Parameters'!$B$18,O104&gt;'02_Parameters'!$B$19),"Out of accepted range","Valid"))))</f>
        <v>Valid</v>
      </c>
      <c r="S104" s="16">
        <v>81.3</v>
      </c>
      <c r="T104" s="16">
        <f>IF(AND(ISNUMBER(S104),S104&lt;&gt;-1,S104&gt;='02_Parameters'!$B$20,S104&lt;='02_Parameters'!$B$21),S104,"")</f>
        <v>81.3</v>
      </c>
      <c r="U104" s="16">
        <v>81.3</v>
      </c>
      <c r="V104" t="str">
        <f>IF(B104&lt;&gt;"Sensor Snapshot","",IF(S104="","Missing",IF(S104=-1,"Sensor failure sentinel (-1)",IF(OR(S104&lt;'02_Parameters'!$B$20,S104&gt;'02_Parameters'!$B$21),"Out of accepted range","Valid"))))</f>
        <v>Valid</v>
      </c>
      <c r="W104" s="16">
        <v>0.4</v>
      </c>
      <c r="X104" s="16">
        <f t="shared" si="16"/>
        <v>0.4</v>
      </c>
      <c r="Y104" t="str">
        <f t="shared" si="17"/>
        <v>Valid</v>
      </c>
      <c r="Z104" s="16"/>
      <c r="AA104">
        <v>1</v>
      </c>
      <c r="AB104">
        <f>IF(B104&lt;&gt;"Sensor Snapshot","",IF(ISNUMBER(AA104),--(AA104&lt;&gt;0),IF(ISNUMBER(Z104),--(Z104&lt;'02_Parameters'!$B$15),"")))</f>
        <v>1</v>
      </c>
      <c r="AC104">
        <f>IF(B104&lt;&gt;"Sensor Snapshot","",IF(ISNUMBER(X104),--(X104&gt;='02_Parameters'!$B$16),""))</f>
        <v>0</v>
      </c>
      <c r="AD104">
        <v>0</v>
      </c>
      <c r="AE104">
        <f t="shared" si="18"/>
        <v>0</v>
      </c>
      <c r="AF104" s="3" t="str">
        <f t="shared" si="19"/>
        <v>Partial detection only</v>
      </c>
      <c r="AG104" s="16">
        <v>0</v>
      </c>
      <c r="AH104" s="16">
        <f>IF(B104&lt;&gt;"Sensor Snapshot","",IF(ISNUMBER(AG104),IF(AG104&lt;0,"",IF(AG104&gt;10,AG104/'02_Parameters'!$B$17,AG104)),""))</f>
        <v>0</v>
      </c>
      <c r="AI104" t="str">
        <f t="shared" si="20"/>
        <v>Valid</v>
      </c>
      <c r="AJ104">
        <f t="shared" si="21"/>
        <v>0</v>
      </c>
      <c r="AK104">
        <f t="shared" si="22"/>
        <v>0</v>
      </c>
      <c r="AM104">
        <f t="shared" si="23"/>
        <v>0</v>
      </c>
      <c r="AN104">
        <f>IF(B104&lt;&gt;"Sensor Snapshot","",--(N104&gt;='02_Parameters'!$B$13))</f>
        <v>0</v>
      </c>
      <c r="AO104">
        <f>IF(B104&lt;&gt;"Sensor Snapshot","",--(AND(L104="PUMPING",ISNUMBER(AH104),AH104&lt;='02_Parameters'!$B$10)))</f>
        <v>0</v>
      </c>
      <c r="AP104" s="16"/>
      <c r="AQ104" s="16" t="str">
        <f t="shared" si="24"/>
        <v/>
      </c>
      <c r="AR104" s="16" t="str">
        <f t="shared" si="25"/>
        <v/>
      </c>
      <c r="AU104" t="s">
        <v>236</v>
      </c>
      <c r="AV104" t="s">
        <v>237</v>
      </c>
      <c r="AW104" s="3" t="s">
        <v>257</v>
      </c>
      <c r="AX104" s="3">
        <f t="shared" si="26"/>
        <v>100</v>
      </c>
      <c r="AY104" s="3" t="str">
        <f t="shared" si="27"/>
        <v>A</v>
      </c>
      <c r="AZ104" s="3" t="s">
        <v>386</v>
      </c>
      <c r="BA104" s="3"/>
    </row>
    <row r="105" spans="1:53" ht="27.6">
      <c r="A105" t="s">
        <v>398</v>
      </c>
      <c r="B105" t="s">
        <v>231</v>
      </c>
      <c r="C105" s="14">
        <v>65343</v>
      </c>
      <c r="D105" s="15">
        <f t="shared" si="14"/>
        <v>65.343000000000004</v>
      </c>
      <c r="E105" t="s">
        <v>232</v>
      </c>
      <c r="G105" t="s">
        <v>234</v>
      </c>
      <c r="H105" t="s">
        <v>235</v>
      </c>
      <c r="I105" s="3"/>
      <c r="J105" s="3"/>
      <c r="L105" t="s">
        <v>385</v>
      </c>
      <c r="M105">
        <f t="shared" si="15"/>
        <v>0</v>
      </c>
      <c r="N105">
        <v>0</v>
      </c>
      <c r="O105" s="16">
        <v>27.3</v>
      </c>
      <c r="P105" s="16">
        <f>IF(AND(ISNUMBER(O105),O105&lt;&gt;-1,O105&gt;='02_Parameters'!$B$18,O105&lt;='02_Parameters'!$B$19),O105,"")</f>
        <v>27.3</v>
      </c>
      <c r="Q105" s="16">
        <v>27.3</v>
      </c>
      <c r="R105" t="str">
        <f>IF(B105&lt;&gt;"Sensor Snapshot","",IF(O105="","Missing",IF(O105=-1,"Sensor failure sentinel (-1)",IF(OR(O105&lt;'02_Parameters'!$B$18,O105&gt;'02_Parameters'!$B$19),"Out of accepted range","Valid"))))</f>
        <v>Valid</v>
      </c>
      <c r="S105" s="16">
        <v>81.099999999999994</v>
      </c>
      <c r="T105" s="16">
        <f>IF(AND(ISNUMBER(S105),S105&lt;&gt;-1,S105&gt;='02_Parameters'!$B$20,S105&lt;='02_Parameters'!$B$21),S105,"")</f>
        <v>81.099999999999994</v>
      </c>
      <c r="U105" s="16">
        <v>81.099999999999994</v>
      </c>
      <c r="V105" t="str">
        <f>IF(B105&lt;&gt;"Sensor Snapshot","",IF(S105="","Missing",IF(S105=-1,"Sensor failure sentinel (-1)",IF(OR(S105&lt;'02_Parameters'!$B$20,S105&gt;'02_Parameters'!$B$21),"Out of accepted range","Valid"))))</f>
        <v>Valid</v>
      </c>
      <c r="W105" s="16">
        <v>0.2</v>
      </c>
      <c r="X105" s="16">
        <f t="shared" si="16"/>
        <v>0.2</v>
      </c>
      <c r="Y105" t="str">
        <f t="shared" si="17"/>
        <v>Valid</v>
      </c>
      <c r="Z105" s="16"/>
      <c r="AA105">
        <v>1</v>
      </c>
      <c r="AB105">
        <f>IF(B105&lt;&gt;"Sensor Snapshot","",IF(ISNUMBER(AA105),--(AA105&lt;&gt;0),IF(ISNUMBER(Z105),--(Z105&lt;'02_Parameters'!$B$15),"")))</f>
        <v>1</v>
      </c>
      <c r="AC105">
        <f>IF(B105&lt;&gt;"Sensor Snapshot","",IF(ISNUMBER(X105),--(X105&gt;='02_Parameters'!$B$16),""))</f>
        <v>0</v>
      </c>
      <c r="AD105">
        <v>0</v>
      </c>
      <c r="AE105">
        <f t="shared" si="18"/>
        <v>0</v>
      </c>
      <c r="AF105" s="3" t="str">
        <f t="shared" si="19"/>
        <v>Partial detection only</v>
      </c>
      <c r="AG105" s="16">
        <v>0</v>
      </c>
      <c r="AH105" s="16">
        <f>IF(B105&lt;&gt;"Sensor Snapshot","",IF(ISNUMBER(AG105),IF(AG105&lt;0,"",IF(AG105&gt;10,AG105/'02_Parameters'!$B$17,AG105)),""))</f>
        <v>0</v>
      </c>
      <c r="AI105" t="str">
        <f t="shared" si="20"/>
        <v>Valid</v>
      </c>
      <c r="AJ105">
        <f t="shared" si="21"/>
        <v>0</v>
      </c>
      <c r="AK105">
        <f t="shared" si="22"/>
        <v>0</v>
      </c>
      <c r="AM105">
        <f t="shared" si="23"/>
        <v>0</v>
      </c>
      <c r="AN105">
        <f>IF(B105&lt;&gt;"Sensor Snapshot","",--(N105&gt;='02_Parameters'!$B$13))</f>
        <v>0</v>
      </c>
      <c r="AO105">
        <f>IF(B105&lt;&gt;"Sensor Snapshot","",--(AND(L105="PUMPING",ISNUMBER(AH105),AH105&lt;='02_Parameters'!$B$10)))</f>
        <v>0</v>
      </c>
      <c r="AP105" s="16"/>
      <c r="AQ105" s="16" t="str">
        <f t="shared" si="24"/>
        <v/>
      </c>
      <c r="AR105" s="16" t="str">
        <f t="shared" si="25"/>
        <v/>
      </c>
      <c r="AU105" t="s">
        <v>236</v>
      </c>
      <c r="AV105" t="s">
        <v>237</v>
      </c>
      <c r="AW105" s="3" t="s">
        <v>257</v>
      </c>
      <c r="AX105" s="3">
        <f t="shared" si="26"/>
        <v>100</v>
      </c>
      <c r="AY105" s="3" t="str">
        <f t="shared" si="27"/>
        <v>A</v>
      </c>
      <c r="AZ105" s="3" t="s">
        <v>386</v>
      </c>
      <c r="BA105" s="3"/>
    </row>
    <row r="106" spans="1:53" ht="27.6">
      <c r="A106" t="s">
        <v>399</v>
      </c>
      <c r="B106" t="s">
        <v>231</v>
      </c>
      <c r="C106" s="14">
        <v>70362</v>
      </c>
      <c r="D106" s="15">
        <f t="shared" si="14"/>
        <v>70.361999999999995</v>
      </c>
      <c r="E106" t="s">
        <v>232</v>
      </c>
      <c r="G106" t="s">
        <v>234</v>
      </c>
      <c r="H106" t="s">
        <v>235</v>
      </c>
      <c r="I106" s="3"/>
      <c r="J106" s="3"/>
      <c r="L106" t="s">
        <v>385</v>
      </c>
      <c r="M106">
        <f t="shared" si="15"/>
        <v>0</v>
      </c>
      <c r="N106">
        <v>0</v>
      </c>
      <c r="O106" s="16">
        <v>27.3</v>
      </c>
      <c r="P106" s="16">
        <f>IF(AND(ISNUMBER(O106),O106&lt;&gt;-1,O106&gt;='02_Parameters'!$B$18,O106&lt;='02_Parameters'!$B$19),O106,"")</f>
        <v>27.3</v>
      </c>
      <c r="Q106" s="16">
        <v>27.3</v>
      </c>
      <c r="R106" t="str">
        <f>IF(B106&lt;&gt;"Sensor Snapshot","",IF(O106="","Missing",IF(O106=-1,"Sensor failure sentinel (-1)",IF(OR(O106&lt;'02_Parameters'!$B$18,O106&gt;'02_Parameters'!$B$19),"Out of accepted range","Valid"))))</f>
        <v>Valid</v>
      </c>
      <c r="S106" s="16">
        <v>81.099999999999994</v>
      </c>
      <c r="T106" s="16">
        <f>IF(AND(ISNUMBER(S106),S106&lt;&gt;-1,S106&gt;='02_Parameters'!$B$20,S106&lt;='02_Parameters'!$B$21),S106,"")</f>
        <v>81.099999999999994</v>
      </c>
      <c r="U106" s="16">
        <v>81.099999999999994</v>
      </c>
      <c r="V106" t="str">
        <f>IF(B106&lt;&gt;"Sensor Snapshot","",IF(S106="","Missing",IF(S106=-1,"Sensor failure sentinel (-1)",IF(OR(S106&lt;'02_Parameters'!$B$20,S106&gt;'02_Parameters'!$B$21),"Out of accepted range","Valid"))))</f>
        <v>Valid</v>
      </c>
      <c r="W106" s="16">
        <v>0.7</v>
      </c>
      <c r="X106" s="16">
        <f t="shared" si="16"/>
        <v>0.7</v>
      </c>
      <c r="Y106" t="str">
        <f t="shared" si="17"/>
        <v>Valid</v>
      </c>
      <c r="Z106" s="16"/>
      <c r="AA106">
        <v>1</v>
      </c>
      <c r="AB106">
        <f>IF(B106&lt;&gt;"Sensor Snapshot","",IF(ISNUMBER(AA106),--(AA106&lt;&gt;0),IF(ISNUMBER(Z106),--(Z106&lt;'02_Parameters'!$B$15),"")))</f>
        <v>1</v>
      </c>
      <c r="AC106">
        <f>IF(B106&lt;&gt;"Sensor Snapshot","",IF(ISNUMBER(X106),--(X106&gt;='02_Parameters'!$B$16),""))</f>
        <v>0</v>
      </c>
      <c r="AD106">
        <v>0</v>
      </c>
      <c r="AE106">
        <f t="shared" si="18"/>
        <v>0</v>
      </c>
      <c r="AF106" s="3" t="str">
        <f t="shared" si="19"/>
        <v>Partial detection only</v>
      </c>
      <c r="AG106" s="16">
        <v>0</v>
      </c>
      <c r="AH106" s="16">
        <f>IF(B106&lt;&gt;"Sensor Snapshot","",IF(ISNUMBER(AG106),IF(AG106&lt;0,"",IF(AG106&gt;10,AG106/'02_Parameters'!$B$17,AG106)),""))</f>
        <v>0</v>
      </c>
      <c r="AI106" t="str">
        <f t="shared" si="20"/>
        <v>Valid</v>
      </c>
      <c r="AJ106">
        <f t="shared" si="21"/>
        <v>0</v>
      </c>
      <c r="AK106">
        <f t="shared" si="22"/>
        <v>0</v>
      </c>
      <c r="AM106">
        <f t="shared" si="23"/>
        <v>0</v>
      </c>
      <c r="AN106">
        <f>IF(B106&lt;&gt;"Sensor Snapshot","",--(N106&gt;='02_Parameters'!$B$13))</f>
        <v>0</v>
      </c>
      <c r="AO106">
        <f>IF(B106&lt;&gt;"Sensor Snapshot","",--(AND(L106="PUMPING",ISNUMBER(AH106),AH106&lt;='02_Parameters'!$B$10)))</f>
        <v>0</v>
      </c>
      <c r="AP106" s="16"/>
      <c r="AQ106" s="16" t="str">
        <f t="shared" si="24"/>
        <v/>
      </c>
      <c r="AR106" s="16" t="str">
        <f t="shared" si="25"/>
        <v/>
      </c>
      <c r="AU106" t="s">
        <v>236</v>
      </c>
      <c r="AV106" t="s">
        <v>237</v>
      </c>
      <c r="AW106" s="3" t="s">
        <v>257</v>
      </c>
      <c r="AX106" s="3">
        <f t="shared" si="26"/>
        <v>100</v>
      </c>
      <c r="AY106" s="3" t="str">
        <f t="shared" si="27"/>
        <v>A</v>
      </c>
      <c r="AZ106" s="3" t="s">
        <v>386</v>
      </c>
      <c r="BA106" s="3"/>
    </row>
    <row r="107" spans="1:53" ht="27.6">
      <c r="A107" t="s">
        <v>400</v>
      </c>
      <c r="B107" t="s">
        <v>231</v>
      </c>
      <c r="C107" s="14">
        <v>75382</v>
      </c>
      <c r="D107" s="15">
        <f t="shared" si="14"/>
        <v>75.382000000000005</v>
      </c>
      <c r="E107" t="s">
        <v>232</v>
      </c>
      <c r="G107" t="s">
        <v>234</v>
      </c>
      <c r="H107" t="s">
        <v>235</v>
      </c>
      <c r="I107" s="3"/>
      <c r="J107" s="3"/>
      <c r="L107" t="s">
        <v>385</v>
      </c>
      <c r="M107">
        <f t="shared" si="15"/>
        <v>0</v>
      </c>
      <c r="N107">
        <v>0</v>
      </c>
      <c r="O107" s="16">
        <v>27.3</v>
      </c>
      <c r="P107" s="16">
        <f>IF(AND(ISNUMBER(O107),O107&lt;&gt;-1,O107&gt;='02_Parameters'!$B$18,O107&lt;='02_Parameters'!$B$19),O107,"")</f>
        <v>27.3</v>
      </c>
      <c r="Q107" s="16">
        <v>27.3</v>
      </c>
      <c r="R107" t="str">
        <f>IF(B107&lt;&gt;"Sensor Snapshot","",IF(O107="","Missing",IF(O107=-1,"Sensor failure sentinel (-1)",IF(OR(O107&lt;'02_Parameters'!$B$18,O107&gt;'02_Parameters'!$B$19),"Out of accepted range","Valid"))))</f>
        <v>Valid</v>
      </c>
      <c r="S107" s="16">
        <v>81.3</v>
      </c>
      <c r="T107" s="16">
        <f>IF(AND(ISNUMBER(S107),S107&lt;&gt;-1,S107&gt;='02_Parameters'!$B$20,S107&lt;='02_Parameters'!$B$21),S107,"")</f>
        <v>81.3</v>
      </c>
      <c r="U107" s="16">
        <v>81.3</v>
      </c>
      <c r="V107" t="str">
        <f>IF(B107&lt;&gt;"Sensor Snapshot","",IF(S107="","Missing",IF(S107=-1,"Sensor failure sentinel (-1)",IF(OR(S107&lt;'02_Parameters'!$B$20,S107&gt;'02_Parameters'!$B$21),"Out of accepted range","Valid"))))</f>
        <v>Valid</v>
      </c>
      <c r="W107" s="16">
        <v>0.3</v>
      </c>
      <c r="X107" s="16">
        <f t="shared" si="16"/>
        <v>0.3</v>
      </c>
      <c r="Y107" t="str">
        <f t="shared" si="17"/>
        <v>Valid</v>
      </c>
      <c r="Z107" s="16"/>
      <c r="AA107">
        <v>1</v>
      </c>
      <c r="AB107">
        <f>IF(B107&lt;&gt;"Sensor Snapshot","",IF(ISNUMBER(AA107),--(AA107&lt;&gt;0),IF(ISNUMBER(Z107),--(Z107&lt;'02_Parameters'!$B$15),"")))</f>
        <v>1</v>
      </c>
      <c r="AC107">
        <f>IF(B107&lt;&gt;"Sensor Snapshot","",IF(ISNUMBER(X107),--(X107&gt;='02_Parameters'!$B$16),""))</f>
        <v>0</v>
      </c>
      <c r="AD107">
        <v>0</v>
      </c>
      <c r="AE107">
        <f t="shared" si="18"/>
        <v>0</v>
      </c>
      <c r="AF107" s="3" t="str">
        <f t="shared" si="19"/>
        <v>Partial detection only</v>
      </c>
      <c r="AG107" s="16">
        <v>0</v>
      </c>
      <c r="AH107" s="16">
        <f>IF(B107&lt;&gt;"Sensor Snapshot","",IF(ISNUMBER(AG107),IF(AG107&lt;0,"",IF(AG107&gt;10,AG107/'02_Parameters'!$B$17,AG107)),""))</f>
        <v>0</v>
      </c>
      <c r="AI107" t="str">
        <f t="shared" si="20"/>
        <v>Valid</v>
      </c>
      <c r="AJ107">
        <f t="shared" si="21"/>
        <v>0</v>
      </c>
      <c r="AK107">
        <f t="shared" si="22"/>
        <v>0</v>
      </c>
      <c r="AM107">
        <f t="shared" si="23"/>
        <v>0</v>
      </c>
      <c r="AN107">
        <f>IF(B107&lt;&gt;"Sensor Snapshot","",--(N107&gt;='02_Parameters'!$B$13))</f>
        <v>0</v>
      </c>
      <c r="AO107">
        <f>IF(B107&lt;&gt;"Sensor Snapshot","",--(AND(L107="PUMPING",ISNUMBER(AH107),AH107&lt;='02_Parameters'!$B$10)))</f>
        <v>0</v>
      </c>
      <c r="AP107" s="16"/>
      <c r="AQ107" s="16" t="str">
        <f t="shared" si="24"/>
        <v/>
      </c>
      <c r="AR107" s="16" t="str">
        <f t="shared" si="25"/>
        <v/>
      </c>
      <c r="AU107" t="s">
        <v>236</v>
      </c>
      <c r="AV107" t="s">
        <v>237</v>
      </c>
      <c r="AW107" s="3" t="s">
        <v>257</v>
      </c>
      <c r="AX107" s="3">
        <f t="shared" si="26"/>
        <v>100</v>
      </c>
      <c r="AY107" s="3" t="str">
        <f t="shared" si="27"/>
        <v>A</v>
      </c>
      <c r="AZ107" s="3" t="s">
        <v>386</v>
      </c>
      <c r="BA107" s="3"/>
    </row>
    <row r="108" spans="1:53" ht="27.6">
      <c r="A108" t="s">
        <v>401</v>
      </c>
      <c r="B108" t="s">
        <v>231</v>
      </c>
      <c r="C108" s="14">
        <v>80401</v>
      </c>
      <c r="D108" s="15">
        <f t="shared" si="14"/>
        <v>80.400999999999996</v>
      </c>
      <c r="E108" t="s">
        <v>232</v>
      </c>
      <c r="G108" t="s">
        <v>234</v>
      </c>
      <c r="H108" t="s">
        <v>235</v>
      </c>
      <c r="I108" s="3"/>
      <c r="J108" s="3"/>
      <c r="L108" t="s">
        <v>385</v>
      </c>
      <c r="M108">
        <f t="shared" si="15"/>
        <v>0</v>
      </c>
      <c r="N108">
        <v>0</v>
      </c>
      <c r="O108" s="16">
        <v>27.3</v>
      </c>
      <c r="P108" s="16">
        <f>IF(AND(ISNUMBER(O108),O108&lt;&gt;-1,O108&gt;='02_Parameters'!$B$18,O108&lt;='02_Parameters'!$B$19),O108,"")</f>
        <v>27.3</v>
      </c>
      <c r="Q108" s="16">
        <v>27.3</v>
      </c>
      <c r="R108" t="str">
        <f>IF(B108&lt;&gt;"Sensor Snapshot","",IF(O108="","Missing",IF(O108=-1,"Sensor failure sentinel (-1)",IF(OR(O108&lt;'02_Parameters'!$B$18,O108&gt;'02_Parameters'!$B$19),"Out of accepted range","Valid"))))</f>
        <v>Valid</v>
      </c>
      <c r="S108" s="16">
        <v>81.099999999999994</v>
      </c>
      <c r="T108" s="16">
        <f>IF(AND(ISNUMBER(S108),S108&lt;&gt;-1,S108&gt;='02_Parameters'!$B$20,S108&lt;='02_Parameters'!$B$21),S108,"")</f>
        <v>81.099999999999994</v>
      </c>
      <c r="U108" s="16">
        <v>81.099999999999994</v>
      </c>
      <c r="V108" t="str">
        <f>IF(B108&lt;&gt;"Sensor Snapshot","",IF(S108="","Missing",IF(S108=-1,"Sensor failure sentinel (-1)",IF(OR(S108&lt;'02_Parameters'!$B$20,S108&gt;'02_Parameters'!$B$21),"Out of accepted range","Valid"))))</f>
        <v>Valid</v>
      </c>
      <c r="W108" s="16">
        <v>0.2</v>
      </c>
      <c r="X108" s="16">
        <f t="shared" si="16"/>
        <v>0.2</v>
      </c>
      <c r="Y108" t="str">
        <f t="shared" si="17"/>
        <v>Valid</v>
      </c>
      <c r="Z108" s="16"/>
      <c r="AA108">
        <v>1</v>
      </c>
      <c r="AB108">
        <f>IF(B108&lt;&gt;"Sensor Snapshot","",IF(ISNUMBER(AA108),--(AA108&lt;&gt;0),IF(ISNUMBER(Z108),--(Z108&lt;'02_Parameters'!$B$15),"")))</f>
        <v>1</v>
      </c>
      <c r="AC108">
        <f>IF(B108&lt;&gt;"Sensor Snapshot","",IF(ISNUMBER(X108),--(X108&gt;='02_Parameters'!$B$16),""))</f>
        <v>0</v>
      </c>
      <c r="AD108">
        <v>0</v>
      </c>
      <c r="AE108">
        <f t="shared" si="18"/>
        <v>0</v>
      </c>
      <c r="AF108" s="3" t="str">
        <f t="shared" si="19"/>
        <v>Partial detection only</v>
      </c>
      <c r="AG108" s="16">
        <v>0</v>
      </c>
      <c r="AH108" s="16">
        <f>IF(B108&lt;&gt;"Sensor Snapshot","",IF(ISNUMBER(AG108),IF(AG108&lt;0,"",IF(AG108&gt;10,AG108/'02_Parameters'!$B$17,AG108)),""))</f>
        <v>0</v>
      </c>
      <c r="AI108" t="str">
        <f t="shared" si="20"/>
        <v>Valid</v>
      </c>
      <c r="AJ108">
        <f t="shared" si="21"/>
        <v>0</v>
      </c>
      <c r="AK108">
        <f t="shared" si="22"/>
        <v>0</v>
      </c>
      <c r="AM108">
        <f t="shared" si="23"/>
        <v>0</v>
      </c>
      <c r="AN108">
        <f>IF(B108&lt;&gt;"Sensor Snapshot","",--(N108&gt;='02_Parameters'!$B$13))</f>
        <v>0</v>
      </c>
      <c r="AO108">
        <f>IF(B108&lt;&gt;"Sensor Snapshot","",--(AND(L108="PUMPING",ISNUMBER(AH108),AH108&lt;='02_Parameters'!$B$10)))</f>
        <v>0</v>
      </c>
      <c r="AP108" s="16"/>
      <c r="AQ108" s="16" t="str">
        <f t="shared" si="24"/>
        <v/>
      </c>
      <c r="AR108" s="16" t="str">
        <f t="shared" si="25"/>
        <v/>
      </c>
      <c r="AU108" t="s">
        <v>236</v>
      </c>
      <c r="AV108" t="s">
        <v>237</v>
      </c>
      <c r="AW108" s="3" t="s">
        <v>257</v>
      </c>
      <c r="AX108" s="3">
        <f t="shared" si="26"/>
        <v>100</v>
      </c>
      <c r="AY108" s="3" t="str">
        <f t="shared" si="27"/>
        <v>A</v>
      </c>
      <c r="AZ108" s="3" t="s">
        <v>386</v>
      </c>
      <c r="BA108" s="3"/>
    </row>
    <row r="109" spans="1:53" ht="27.6">
      <c r="A109" t="s">
        <v>402</v>
      </c>
      <c r="B109" t="s">
        <v>231</v>
      </c>
      <c r="C109" s="14">
        <v>85421</v>
      </c>
      <c r="D109" s="15">
        <f t="shared" si="14"/>
        <v>85.421000000000006</v>
      </c>
      <c r="E109" t="s">
        <v>232</v>
      </c>
      <c r="G109" t="s">
        <v>234</v>
      </c>
      <c r="H109" t="s">
        <v>235</v>
      </c>
      <c r="I109" s="3"/>
      <c r="J109" s="3"/>
      <c r="L109" t="s">
        <v>385</v>
      </c>
      <c r="M109">
        <f t="shared" si="15"/>
        <v>0</v>
      </c>
      <c r="N109">
        <v>0</v>
      </c>
      <c r="O109" s="16">
        <v>27.3</v>
      </c>
      <c r="P109" s="16">
        <f>IF(AND(ISNUMBER(O109),O109&lt;&gt;-1,O109&gt;='02_Parameters'!$B$18,O109&lt;='02_Parameters'!$B$19),O109,"")</f>
        <v>27.3</v>
      </c>
      <c r="Q109" s="16">
        <v>27.3</v>
      </c>
      <c r="R109" t="str">
        <f>IF(B109&lt;&gt;"Sensor Snapshot","",IF(O109="","Missing",IF(O109=-1,"Sensor failure sentinel (-1)",IF(OR(O109&lt;'02_Parameters'!$B$18,O109&gt;'02_Parameters'!$B$19),"Out of accepted range","Valid"))))</f>
        <v>Valid</v>
      </c>
      <c r="S109" s="16">
        <v>81</v>
      </c>
      <c r="T109" s="16">
        <f>IF(AND(ISNUMBER(S109),S109&lt;&gt;-1,S109&gt;='02_Parameters'!$B$20,S109&lt;='02_Parameters'!$B$21),S109,"")</f>
        <v>81</v>
      </c>
      <c r="U109" s="16">
        <v>81</v>
      </c>
      <c r="V109" t="str">
        <f>IF(B109&lt;&gt;"Sensor Snapshot","",IF(S109="","Missing",IF(S109=-1,"Sensor failure sentinel (-1)",IF(OR(S109&lt;'02_Parameters'!$B$20,S109&gt;'02_Parameters'!$B$21),"Out of accepted range","Valid"))))</f>
        <v>Valid</v>
      </c>
      <c r="W109" s="16">
        <v>0</v>
      </c>
      <c r="X109" s="16">
        <f t="shared" si="16"/>
        <v>0</v>
      </c>
      <c r="Y109" t="str">
        <f t="shared" si="17"/>
        <v>Valid</v>
      </c>
      <c r="Z109" s="16"/>
      <c r="AA109">
        <v>1</v>
      </c>
      <c r="AB109">
        <f>IF(B109&lt;&gt;"Sensor Snapshot","",IF(ISNUMBER(AA109),--(AA109&lt;&gt;0),IF(ISNUMBER(Z109),--(Z109&lt;'02_Parameters'!$B$15),"")))</f>
        <v>1</v>
      </c>
      <c r="AC109">
        <f>IF(B109&lt;&gt;"Sensor Snapshot","",IF(ISNUMBER(X109),--(X109&gt;='02_Parameters'!$B$16),""))</f>
        <v>0</v>
      </c>
      <c r="AD109">
        <v>0</v>
      </c>
      <c r="AE109">
        <f t="shared" si="18"/>
        <v>0</v>
      </c>
      <c r="AF109" s="3" t="str">
        <f t="shared" si="19"/>
        <v>Partial detection only</v>
      </c>
      <c r="AG109" s="16">
        <v>0</v>
      </c>
      <c r="AH109" s="16">
        <f>IF(B109&lt;&gt;"Sensor Snapshot","",IF(ISNUMBER(AG109),IF(AG109&lt;0,"",IF(AG109&gt;10,AG109/'02_Parameters'!$B$17,AG109)),""))</f>
        <v>0</v>
      </c>
      <c r="AI109" t="str">
        <f t="shared" si="20"/>
        <v>Valid</v>
      </c>
      <c r="AJ109">
        <f t="shared" si="21"/>
        <v>0</v>
      </c>
      <c r="AK109">
        <f t="shared" si="22"/>
        <v>0</v>
      </c>
      <c r="AM109">
        <f t="shared" si="23"/>
        <v>0</v>
      </c>
      <c r="AN109">
        <f>IF(B109&lt;&gt;"Sensor Snapshot","",--(N109&gt;='02_Parameters'!$B$13))</f>
        <v>0</v>
      </c>
      <c r="AO109">
        <f>IF(B109&lt;&gt;"Sensor Snapshot","",--(AND(L109="PUMPING",ISNUMBER(AH109),AH109&lt;='02_Parameters'!$B$10)))</f>
        <v>0</v>
      </c>
      <c r="AP109" s="16"/>
      <c r="AQ109" s="16" t="str">
        <f t="shared" si="24"/>
        <v/>
      </c>
      <c r="AR109" s="16" t="str">
        <f t="shared" si="25"/>
        <v/>
      </c>
      <c r="AU109" t="s">
        <v>236</v>
      </c>
      <c r="AV109" t="s">
        <v>237</v>
      </c>
      <c r="AW109" s="3" t="s">
        <v>257</v>
      </c>
      <c r="AX109" s="3">
        <f t="shared" si="26"/>
        <v>100</v>
      </c>
      <c r="AY109" s="3" t="str">
        <f t="shared" si="27"/>
        <v>A</v>
      </c>
      <c r="AZ109" s="3" t="s">
        <v>386</v>
      </c>
      <c r="BA109" s="3"/>
    </row>
    <row r="110" spans="1:53" ht="27.6">
      <c r="A110" t="s">
        <v>403</v>
      </c>
      <c r="B110" t="s">
        <v>231</v>
      </c>
      <c r="C110" s="14">
        <v>90439</v>
      </c>
      <c r="D110" s="15">
        <f t="shared" si="14"/>
        <v>90.438999999999993</v>
      </c>
      <c r="E110" t="s">
        <v>232</v>
      </c>
      <c r="G110" t="s">
        <v>234</v>
      </c>
      <c r="H110" t="s">
        <v>235</v>
      </c>
      <c r="I110" s="3"/>
      <c r="J110" s="3"/>
      <c r="L110" t="s">
        <v>385</v>
      </c>
      <c r="M110">
        <f t="shared" si="15"/>
        <v>0</v>
      </c>
      <c r="N110">
        <v>0</v>
      </c>
      <c r="O110" s="16">
        <v>27.3</v>
      </c>
      <c r="P110" s="16">
        <f>IF(AND(ISNUMBER(O110),O110&lt;&gt;-1,O110&gt;='02_Parameters'!$B$18,O110&lt;='02_Parameters'!$B$19),O110,"")</f>
        <v>27.3</v>
      </c>
      <c r="Q110" s="16">
        <v>27.3</v>
      </c>
      <c r="R110" t="str">
        <f>IF(B110&lt;&gt;"Sensor Snapshot","",IF(O110="","Missing",IF(O110=-1,"Sensor failure sentinel (-1)",IF(OR(O110&lt;'02_Parameters'!$B$18,O110&gt;'02_Parameters'!$B$19),"Out of accepted range","Valid"))))</f>
        <v>Valid</v>
      </c>
      <c r="S110" s="16">
        <v>81</v>
      </c>
      <c r="T110" s="16">
        <f>IF(AND(ISNUMBER(S110),S110&lt;&gt;-1,S110&gt;='02_Parameters'!$B$20,S110&lt;='02_Parameters'!$B$21),S110,"")</f>
        <v>81</v>
      </c>
      <c r="U110" s="16">
        <v>81</v>
      </c>
      <c r="V110" t="str">
        <f>IF(B110&lt;&gt;"Sensor Snapshot","",IF(S110="","Missing",IF(S110=-1,"Sensor failure sentinel (-1)",IF(OR(S110&lt;'02_Parameters'!$B$20,S110&gt;'02_Parameters'!$B$21),"Out of accepted range","Valid"))))</f>
        <v>Valid</v>
      </c>
      <c r="W110" s="16">
        <v>0.2</v>
      </c>
      <c r="X110" s="16">
        <f t="shared" si="16"/>
        <v>0.2</v>
      </c>
      <c r="Y110" t="str">
        <f t="shared" si="17"/>
        <v>Valid</v>
      </c>
      <c r="Z110" s="16"/>
      <c r="AA110">
        <v>1</v>
      </c>
      <c r="AB110">
        <f>IF(B110&lt;&gt;"Sensor Snapshot","",IF(ISNUMBER(AA110),--(AA110&lt;&gt;0),IF(ISNUMBER(Z110),--(Z110&lt;'02_Parameters'!$B$15),"")))</f>
        <v>1</v>
      </c>
      <c r="AC110">
        <f>IF(B110&lt;&gt;"Sensor Snapshot","",IF(ISNUMBER(X110),--(X110&gt;='02_Parameters'!$B$16),""))</f>
        <v>0</v>
      </c>
      <c r="AD110">
        <v>0</v>
      </c>
      <c r="AE110">
        <f t="shared" si="18"/>
        <v>0</v>
      </c>
      <c r="AF110" s="3" t="str">
        <f t="shared" si="19"/>
        <v>Partial detection only</v>
      </c>
      <c r="AG110" s="16">
        <v>0</v>
      </c>
      <c r="AH110" s="16">
        <f>IF(B110&lt;&gt;"Sensor Snapshot","",IF(ISNUMBER(AG110),IF(AG110&lt;0,"",IF(AG110&gt;10,AG110/'02_Parameters'!$B$17,AG110)),""))</f>
        <v>0</v>
      </c>
      <c r="AI110" t="str">
        <f t="shared" si="20"/>
        <v>Valid</v>
      </c>
      <c r="AJ110">
        <f t="shared" si="21"/>
        <v>0</v>
      </c>
      <c r="AK110">
        <f t="shared" si="22"/>
        <v>0</v>
      </c>
      <c r="AM110">
        <f t="shared" si="23"/>
        <v>0</v>
      </c>
      <c r="AN110">
        <f>IF(B110&lt;&gt;"Sensor Snapshot","",--(N110&gt;='02_Parameters'!$B$13))</f>
        <v>0</v>
      </c>
      <c r="AO110">
        <f>IF(B110&lt;&gt;"Sensor Snapshot","",--(AND(L110="PUMPING",ISNUMBER(AH110),AH110&lt;='02_Parameters'!$B$10)))</f>
        <v>0</v>
      </c>
      <c r="AP110" s="16"/>
      <c r="AQ110" s="16" t="str">
        <f t="shared" si="24"/>
        <v/>
      </c>
      <c r="AR110" s="16" t="str">
        <f t="shared" si="25"/>
        <v/>
      </c>
      <c r="AU110" t="s">
        <v>236</v>
      </c>
      <c r="AV110" t="s">
        <v>237</v>
      </c>
      <c r="AW110" s="3" t="s">
        <v>257</v>
      </c>
      <c r="AX110" s="3">
        <f t="shared" si="26"/>
        <v>100</v>
      </c>
      <c r="AY110" s="3" t="str">
        <f t="shared" si="27"/>
        <v>A</v>
      </c>
      <c r="AZ110" s="3" t="s">
        <v>386</v>
      </c>
      <c r="BA110" s="3"/>
    </row>
    <row r="111" spans="1:53" ht="27.6">
      <c r="A111" t="s">
        <v>404</v>
      </c>
      <c r="B111" t="s">
        <v>231</v>
      </c>
      <c r="C111" s="14">
        <v>95458</v>
      </c>
      <c r="D111" s="15">
        <f t="shared" si="14"/>
        <v>95.457999999999998</v>
      </c>
      <c r="E111" t="s">
        <v>232</v>
      </c>
      <c r="G111" t="s">
        <v>234</v>
      </c>
      <c r="H111" t="s">
        <v>235</v>
      </c>
      <c r="I111" s="3"/>
      <c r="J111" s="3"/>
      <c r="L111" t="s">
        <v>385</v>
      </c>
      <c r="M111">
        <f t="shared" si="15"/>
        <v>0</v>
      </c>
      <c r="N111">
        <v>0</v>
      </c>
      <c r="O111" s="16">
        <v>27.3</v>
      </c>
      <c r="P111" s="16">
        <f>IF(AND(ISNUMBER(O111),O111&lt;&gt;-1,O111&gt;='02_Parameters'!$B$18,O111&lt;='02_Parameters'!$B$19),O111,"")</f>
        <v>27.3</v>
      </c>
      <c r="Q111" s="16">
        <v>27.3</v>
      </c>
      <c r="R111" t="str">
        <f>IF(B111&lt;&gt;"Sensor Snapshot","",IF(O111="","Missing",IF(O111=-1,"Sensor failure sentinel (-1)",IF(OR(O111&lt;'02_Parameters'!$B$18,O111&gt;'02_Parameters'!$B$19),"Out of accepted range","Valid"))))</f>
        <v>Valid</v>
      </c>
      <c r="S111" s="16">
        <v>80.8</v>
      </c>
      <c r="T111" s="16">
        <f>IF(AND(ISNUMBER(S111),S111&lt;&gt;-1,S111&gt;='02_Parameters'!$B$20,S111&lt;='02_Parameters'!$B$21),S111,"")</f>
        <v>80.8</v>
      </c>
      <c r="U111" s="16">
        <v>80.8</v>
      </c>
      <c r="V111" t="str">
        <f>IF(B111&lt;&gt;"Sensor Snapshot","",IF(S111="","Missing",IF(S111=-1,"Sensor failure sentinel (-1)",IF(OR(S111&lt;'02_Parameters'!$B$20,S111&gt;'02_Parameters'!$B$21),"Out of accepted range","Valid"))))</f>
        <v>Valid</v>
      </c>
      <c r="W111" s="16">
        <v>0.2</v>
      </c>
      <c r="X111" s="16">
        <f t="shared" si="16"/>
        <v>0.2</v>
      </c>
      <c r="Y111" t="str">
        <f t="shared" si="17"/>
        <v>Valid</v>
      </c>
      <c r="Z111" s="16"/>
      <c r="AA111">
        <v>1</v>
      </c>
      <c r="AB111">
        <f>IF(B111&lt;&gt;"Sensor Snapshot","",IF(ISNUMBER(AA111),--(AA111&lt;&gt;0),IF(ISNUMBER(Z111),--(Z111&lt;'02_Parameters'!$B$15),"")))</f>
        <v>1</v>
      </c>
      <c r="AC111">
        <f>IF(B111&lt;&gt;"Sensor Snapshot","",IF(ISNUMBER(X111),--(X111&gt;='02_Parameters'!$B$16),""))</f>
        <v>0</v>
      </c>
      <c r="AD111">
        <v>0</v>
      </c>
      <c r="AE111">
        <f t="shared" si="18"/>
        <v>0</v>
      </c>
      <c r="AF111" s="3" t="str">
        <f t="shared" si="19"/>
        <v>Partial detection only</v>
      </c>
      <c r="AG111" s="16">
        <v>0</v>
      </c>
      <c r="AH111" s="16">
        <f>IF(B111&lt;&gt;"Sensor Snapshot","",IF(ISNUMBER(AG111),IF(AG111&lt;0,"",IF(AG111&gt;10,AG111/'02_Parameters'!$B$17,AG111)),""))</f>
        <v>0</v>
      </c>
      <c r="AI111" t="str">
        <f t="shared" si="20"/>
        <v>Valid</v>
      </c>
      <c r="AJ111">
        <f t="shared" si="21"/>
        <v>0</v>
      </c>
      <c r="AK111">
        <f t="shared" si="22"/>
        <v>0</v>
      </c>
      <c r="AM111">
        <f t="shared" si="23"/>
        <v>0</v>
      </c>
      <c r="AN111">
        <f>IF(B111&lt;&gt;"Sensor Snapshot","",--(N111&gt;='02_Parameters'!$B$13))</f>
        <v>0</v>
      </c>
      <c r="AO111">
        <f>IF(B111&lt;&gt;"Sensor Snapshot","",--(AND(L111="PUMPING",ISNUMBER(AH111),AH111&lt;='02_Parameters'!$B$10)))</f>
        <v>0</v>
      </c>
      <c r="AP111" s="16"/>
      <c r="AQ111" s="16" t="str">
        <f t="shared" si="24"/>
        <v/>
      </c>
      <c r="AR111" s="16" t="str">
        <f t="shared" si="25"/>
        <v/>
      </c>
      <c r="AU111" t="s">
        <v>236</v>
      </c>
      <c r="AV111" t="s">
        <v>237</v>
      </c>
      <c r="AW111" s="3" t="s">
        <v>257</v>
      </c>
      <c r="AX111" s="3">
        <f t="shared" si="26"/>
        <v>100</v>
      </c>
      <c r="AY111" s="3" t="str">
        <f t="shared" si="27"/>
        <v>A</v>
      </c>
      <c r="AZ111" s="3" t="s">
        <v>386</v>
      </c>
      <c r="BA111" s="3"/>
    </row>
    <row r="112" spans="1:53" ht="27.6">
      <c r="A112" t="s">
        <v>405</v>
      </c>
      <c r="B112" t="s">
        <v>231</v>
      </c>
      <c r="C112" s="14">
        <v>100478</v>
      </c>
      <c r="D112" s="15">
        <f t="shared" si="14"/>
        <v>100.47799999999999</v>
      </c>
      <c r="E112" t="s">
        <v>232</v>
      </c>
      <c r="G112" t="s">
        <v>234</v>
      </c>
      <c r="H112" t="s">
        <v>235</v>
      </c>
      <c r="I112" s="3"/>
      <c r="J112" s="3"/>
      <c r="L112" t="s">
        <v>385</v>
      </c>
      <c r="M112">
        <f t="shared" si="15"/>
        <v>0</v>
      </c>
      <c r="N112">
        <v>0</v>
      </c>
      <c r="O112" s="16">
        <v>27.3</v>
      </c>
      <c r="P112" s="16">
        <f>IF(AND(ISNUMBER(O112),O112&lt;&gt;-1,O112&gt;='02_Parameters'!$B$18,O112&lt;='02_Parameters'!$B$19),O112,"")</f>
        <v>27.3</v>
      </c>
      <c r="Q112" s="16">
        <v>27.3</v>
      </c>
      <c r="R112" t="str">
        <f>IF(B112&lt;&gt;"Sensor Snapshot","",IF(O112="","Missing",IF(O112=-1,"Sensor failure sentinel (-1)",IF(OR(O112&lt;'02_Parameters'!$B$18,O112&gt;'02_Parameters'!$B$19),"Out of accepted range","Valid"))))</f>
        <v>Valid</v>
      </c>
      <c r="S112" s="16">
        <v>80.8</v>
      </c>
      <c r="T112" s="16">
        <f>IF(AND(ISNUMBER(S112),S112&lt;&gt;-1,S112&gt;='02_Parameters'!$B$20,S112&lt;='02_Parameters'!$B$21),S112,"")</f>
        <v>80.8</v>
      </c>
      <c r="U112" s="16">
        <v>80.8</v>
      </c>
      <c r="V112" t="str">
        <f>IF(B112&lt;&gt;"Sensor Snapshot","",IF(S112="","Missing",IF(S112=-1,"Sensor failure sentinel (-1)",IF(OR(S112&lt;'02_Parameters'!$B$20,S112&gt;'02_Parameters'!$B$21),"Out of accepted range","Valid"))))</f>
        <v>Valid</v>
      </c>
      <c r="W112" s="16">
        <v>0.1</v>
      </c>
      <c r="X112" s="16">
        <f t="shared" si="16"/>
        <v>0.1</v>
      </c>
      <c r="Y112" t="str">
        <f t="shared" si="17"/>
        <v>Valid</v>
      </c>
      <c r="Z112" s="16"/>
      <c r="AA112">
        <v>1</v>
      </c>
      <c r="AB112">
        <f>IF(B112&lt;&gt;"Sensor Snapshot","",IF(ISNUMBER(AA112),--(AA112&lt;&gt;0),IF(ISNUMBER(Z112),--(Z112&lt;'02_Parameters'!$B$15),"")))</f>
        <v>1</v>
      </c>
      <c r="AC112">
        <f>IF(B112&lt;&gt;"Sensor Snapshot","",IF(ISNUMBER(X112),--(X112&gt;='02_Parameters'!$B$16),""))</f>
        <v>0</v>
      </c>
      <c r="AD112">
        <v>0</v>
      </c>
      <c r="AE112">
        <f t="shared" si="18"/>
        <v>0</v>
      </c>
      <c r="AF112" s="3" t="str">
        <f t="shared" si="19"/>
        <v>Partial detection only</v>
      </c>
      <c r="AG112" s="16">
        <v>0</v>
      </c>
      <c r="AH112" s="16">
        <f>IF(B112&lt;&gt;"Sensor Snapshot","",IF(ISNUMBER(AG112),IF(AG112&lt;0,"",IF(AG112&gt;10,AG112/'02_Parameters'!$B$17,AG112)),""))</f>
        <v>0</v>
      </c>
      <c r="AI112" t="str">
        <f t="shared" si="20"/>
        <v>Valid</v>
      </c>
      <c r="AJ112">
        <f t="shared" si="21"/>
        <v>0</v>
      </c>
      <c r="AK112">
        <f t="shared" si="22"/>
        <v>0</v>
      </c>
      <c r="AM112">
        <f t="shared" si="23"/>
        <v>0</v>
      </c>
      <c r="AN112">
        <f>IF(B112&lt;&gt;"Sensor Snapshot","",--(N112&gt;='02_Parameters'!$B$13))</f>
        <v>0</v>
      </c>
      <c r="AO112">
        <f>IF(B112&lt;&gt;"Sensor Snapshot","",--(AND(L112="PUMPING",ISNUMBER(AH112),AH112&lt;='02_Parameters'!$B$10)))</f>
        <v>0</v>
      </c>
      <c r="AP112" s="16"/>
      <c r="AQ112" s="16" t="str">
        <f t="shared" si="24"/>
        <v/>
      </c>
      <c r="AR112" s="16" t="str">
        <f t="shared" si="25"/>
        <v/>
      </c>
      <c r="AU112" t="s">
        <v>236</v>
      </c>
      <c r="AV112" t="s">
        <v>237</v>
      </c>
      <c r="AW112" s="3" t="s">
        <v>257</v>
      </c>
      <c r="AX112" s="3">
        <f t="shared" si="26"/>
        <v>100</v>
      </c>
      <c r="AY112" s="3" t="str">
        <f t="shared" si="27"/>
        <v>A</v>
      </c>
      <c r="AZ112" s="3" t="s">
        <v>386</v>
      </c>
      <c r="BA112" s="3"/>
    </row>
    <row r="113" spans="1:53" ht="27.6">
      <c r="A113" t="s">
        <v>406</v>
      </c>
      <c r="B113" t="s">
        <v>231</v>
      </c>
      <c r="C113" s="14">
        <v>105498</v>
      </c>
      <c r="D113" s="15">
        <f t="shared" si="14"/>
        <v>105.498</v>
      </c>
      <c r="E113" t="s">
        <v>232</v>
      </c>
      <c r="G113" t="s">
        <v>234</v>
      </c>
      <c r="H113" t="s">
        <v>235</v>
      </c>
      <c r="I113" s="3"/>
      <c r="J113" s="3"/>
      <c r="L113" t="s">
        <v>385</v>
      </c>
      <c r="M113">
        <f t="shared" si="15"/>
        <v>0</v>
      </c>
      <c r="N113">
        <v>0</v>
      </c>
      <c r="O113" s="16">
        <v>27.3</v>
      </c>
      <c r="P113" s="16">
        <f>IF(AND(ISNUMBER(O113),O113&lt;&gt;-1,O113&gt;='02_Parameters'!$B$18,O113&lt;='02_Parameters'!$B$19),O113,"")</f>
        <v>27.3</v>
      </c>
      <c r="Q113" s="16">
        <v>27.3</v>
      </c>
      <c r="R113" t="str">
        <f>IF(B113&lt;&gt;"Sensor Snapshot","",IF(O113="","Missing",IF(O113=-1,"Sensor failure sentinel (-1)",IF(OR(O113&lt;'02_Parameters'!$B$18,O113&gt;'02_Parameters'!$B$19),"Out of accepted range","Valid"))))</f>
        <v>Valid</v>
      </c>
      <c r="S113" s="16">
        <v>80.7</v>
      </c>
      <c r="T113" s="16">
        <f>IF(AND(ISNUMBER(S113),S113&lt;&gt;-1,S113&gt;='02_Parameters'!$B$20,S113&lt;='02_Parameters'!$B$21),S113,"")</f>
        <v>80.7</v>
      </c>
      <c r="U113" s="16">
        <v>80.7</v>
      </c>
      <c r="V113" t="str">
        <f>IF(B113&lt;&gt;"Sensor Snapshot","",IF(S113="","Missing",IF(S113=-1,"Sensor failure sentinel (-1)",IF(OR(S113&lt;'02_Parameters'!$B$20,S113&gt;'02_Parameters'!$B$21),"Out of accepted range","Valid"))))</f>
        <v>Valid</v>
      </c>
      <c r="W113" s="16">
        <v>0</v>
      </c>
      <c r="X113" s="16">
        <f t="shared" si="16"/>
        <v>0</v>
      </c>
      <c r="Y113" t="str">
        <f t="shared" si="17"/>
        <v>Valid</v>
      </c>
      <c r="Z113" s="16"/>
      <c r="AA113">
        <v>1</v>
      </c>
      <c r="AB113">
        <f>IF(B113&lt;&gt;"Sensor Snapshot","",IF(ISNUMBER(AA113),--(AA113&lt;&gt;0),IF(ISNUMBER(Z113),--(Z113&lt;'02_Parameters'!$B$15),"")))</f>
        <v>1</v>
      </c>
      <c r="AC113">
        <f>IF(B113&lt;&gt;"Sensor Snapshot","",IF(ISNUMBER(X113),--(X113&gt;='02_Parameters'!$B$16),""))</f>
        <v>0</v>
      </c>
      <c r="AD113">
        <v>0</v>
      </c>
      <c r="AE113">
        <f t="shared" si="18"/>
        <v>0</v>
      </c>
      <c r="AF113" s="3" t="str">
        <f t="shared" si="19"/>
        <v>Partial detection only</v>
      </c>
      <c r="AG113" s="16">
        <v>0</v>
      </c>
      <c r="AH113" s="16">
        <f>IF(B113&lt;&gt;"Sensor Snapshot","",IF(ISNUMBER(AG113),IF(AG113&lt;0,"",IF(AG113&gt;10,AG113/'02_Parameters'!$B$17,AG113)),""))</f>
        <v>0</v>
      </c>
      <c r="AI113" t="str">
        <f t="shared" si="20"/>
        <v>Valid</v>
      </c>
      <c r="AJ113">
        <f t="shared" si="21"/>
        <v>0</v>
      </c>
      <c r="AK113">
        <f t="shared" si="22"/>
        <v>0</v>
      </c>
      <c r="AM113">
        <f t="shared" si="23"/>
        <v>0</v>
      </c>
      <c r="AN113">
        <f>IF(B113&lt;&gt;"Sensor Snapshot","",--(N113&gt;='02_Parameters'!$B$13))</f>
        <v>0</v>
      </c>
      <c r="AO113">
        <f>IF(B113&lt;&gt;"Sensor Snapshot","",--(AND(L113="PUMPING",ISNUMBER(AH113),AH113&lt;='02_Parameters'!$B$10)))</f>
        <v>0</v>
      </c>
      <c r="AP113" s="16"/>
      <c r="AQ113" s="16" t="str">
        <f t="shared" si="24"/>
        <v/>
      </c>
      <c r="AR113" s="16" t="str">
        <f t="shared" si="25"/>
        <v/>
      </c>
      <c r="AU113" t="s">
        <v>236</v>
      </c>
      <c r="AV113" t="s">
        <v>237</v>
      </c>
      <c r="AW113" s="3" t="s">
        <v>257</v>
      </c>
      <c r="AX113" s="3">
        <f t="shared" si="26"/>
        <v>100</v>
      </c>
      <c r="AY113" s="3" t="str">
        <f t="shared" si="27"/>
        <v>A</v>
      </c>
      <c r="AZ113" s="3" t="s">
        <v>386</v>
      </c>
      <c r="BA113" s="3"/>
    </row>
    <row r="114" spans="1:53" ht="27.6">
      <c r="A114" t="s">
        <v>407</v>
      </c>
      <c r="B114" t="s">
        <v>231</v>
      </c>
      <c r="C114" s="14">
        <v>110517</v>
      </c>
      <c r="D114" s="15">
        <f t="shared" si="14"/>
        <v>110.517</v>
      </c>
      <c r="E114" t="s">
        <v>232</v>
      </c>
      <c r="G114" t="s">
        <v>234</v>
      </c>
      <c r="H114" t="s">
        <v>235</v>
      </c>
      <c r="I114" s="3"/>
      <c r="J114" s="3"/>
      <c r="L114" t="s">
        <v>385</v>
      </c>
      <c r="M114">
        <f t="shared" si="15"/>
        <v>0</v>
      </c>
      <c r="N114">
        <v>0</v>
      </c>
      <c r="O114" s="16">
        <v>27.3</v>
      </c>
      <c r="P114" s="16">
        <f>IF(AND(ISNUMBER(O114),O114&lt;&gt;-1,O114&gt;='02_Parameters'!$B$18,O114&lt;='02_Parameters'!$B$19),O114,"")</f>
        <v>27.3</v>
      </c>
      <c r="Q114" s="16">
        <v>27.3</v>
      </c>
      <c r="R114" t="str">
        <f>IF(B114&lt;&gt;"Sensor Snapshot","",IF(O114="","Missing",IF(O114=-1,"Sensor failure sentinel (-1)",IF(OR(O114&lt;'02_Parameters'!$B$18,O114&gt;'02_Parameters'!$B$19),"Out of accepted range","Valid"))))</f>
        <v>Valid</v>
      </c>
      <c r="S114" s="16">
        <v>80.5</v>
      </c>
      <c r="T114" s="16">
        <f>IF(AND(ISNUMBER(S114),S114&lt;&gt;-1,S114&gt;='02_Parameters'!$B$20,S114&lt;='02_Parameters'!$B$21),S114,"")</f>
        <v>80.5</v>
      </c>
      <c r="U114" s="16">
        <v>80.5</v>
      </c>
      <c r="V114" t="str">
        <f>IF(B114&lt;&gt;"Sensor Snapshot","",IF(S114="","Missing",IF(S114=-1,"Sensor failure sentinel (-1)",IF(OR(S114&lt;'02_Parameters'!$B$20,S114&gt;'02_Parameters'!$B$21),"Out of accepted range","Valid"))))</f>
        <v>Valid</v>
      </c>
      <c r="W114" s="16">
        <v>0.1</v>
      </c>
      <c r="X114" s="16">
        <f t="shared" si="16"/>
        <v>0.1</v>
      </c>
      <c r="Y114" t="str">
        <f t="shared" si="17"/>
        <v>Valid</v>
      </c>
      <c r="Z114" s="16"/>
      <c r="AA114">
        <v>1</v>
      </c>
      <c r="AB114">
        <f>IF(B114&lt;&gt;"Sensor Snapshot","",IF(ISNUMBER(AA114),--(AA114&lt;&gt;0),IF(ISNUMBER(Z114),--(Z114&lt;'02_Parameters'!$B$15),"")))</f>
        <v>1</v>
      </c>
      <c r="AC114">
        <f>IF(B114&lt;&gt;"Sensor Snapshot","",IF(ISNUMBER(X114),--(X114&gt;='02_Parameters'!$B$16),""))</f>
        <v>0</v>
      </c>
      <c r="AD114">
        <v>0</v>
      </c>
      <c r="AE114">
        <f t="shared" si="18"/>
        <v>0</v>
      </c>
      <c r="AF114" s="3" t="str">
        <f t="shared" si="19"/>
        <v>Partial detection only</v>
      </c>
      <c r="AG114" s="16">
        <v>0</v>
      </c>
      <c r="AH114" s="16">
        <f>IF(B114&lt;&gt;"Sensor Snapshot","",IF(ISNUMBER(AG114),IF(AG114&lt;0,"",IF(AG114&gt;10,AG114/'02_Parameters'!$B$17,AG114)),""))</f>
        <v>0</v>
      </c>
      <c r="AI114" t="str">
        <f t="shared" si="20"/>
        <v>Valid</v>
      </c>
      <c r="AJ114">
        <f t="shared" si="21"/>
        <v>0</v>
      </c>
      <c r="AK114">
        <f t="shared" si="22"/>
        <v>0</v>
      </c>
      <c r="AM114">
        <f t="shared" si="23"/>
        <v>0</v>
      </c>
      <c r="AN114">
        <f>IF(B114&lt;&gt;"Sensor Snapshot","",--(N114&gt;='02_Parameters'!$B$13))</f>
        <v>0</v>
      </c>
      <c r="AO114">
        <f>IF(B114&lt;&gt;"Sensor Snapshot","",--(AND(L114="PUMPING",ISNUMBER(AH114),AH114&lt;='02_Parameters'!$B$10)))</f>
        <v>0</v>
      </c>
      <c r="AP114" s="16"/>
      <c r="AQ114" s="16" t="str">
        <f t="shared" si="24"/>
        <v/>
      </c>
      <c r="AR114" s="16" t="str">
        <f t="shared" si="25"/>
        <v/>
      </c>
      <c r="AU114" t="s">
        <v>236</v>
      </c>
      <c r="AV114" t="s">
        <v>237</v>
      </c>
      <c r="AW114" s="3" t="s">
        <v>257</v>
      </c>
      <c r="AX114" s="3">
        <f t="shared" si="26"/>
        <v>100</v>
      </c>
      <c r="AY114" s="3" t="str">
        <f t="shared" si="27"/>
        <v>A</v>
      </c>
      <c r="AZ114" s="3" t="s">
        <v>386</v>
      </c>
      <c r="BA114" s="3"/>
    </row>
    <row r="115" spans="1:53" ht="27.6">
      <c r="A115" t="s">
        <v>408</v>
      </c>
      <c r="B115" t="s">
        <v>231</v>
      </c>
      <c r="C115" s="14">
        <v>115535</v>
      </c>
      <c r="D115" s="15">
        <f t="shared" si="14"/>
        <v>115.535</v>
      </c>
      <c r="E115" t="s">
        <v>232</v>
      </c>
      <c r="G115" t="s">
        <v>234</v>
      </c>
      <c r="H115" t="s">
        <v>235</v>
      </c>
      <c r="I115" s="3"/>
      <c r="J115" s="3"/>
      <c r="L115" t="s">
        <v>385</v>
      </c>
      <c r="M115">
        <f t="shared" si="15"/>
        <v>0</v>
      </c>
      <c r="N115">
        <v>0</v>
      </c>
      <c r="O115" s="16">
        <v>27.3</v>
      </c>
      <c r="P115" s="16">
        <f>IF(AND(ISNUMBER(O115),O115&lt;&gt;-1,O115&gt;='02_Parameters'!$B$18,O115&lt;='02_Parameters'!$B$19),O115,"")</f>
        <v>27.3</v>
      </c>
      <c r="Q115" s="16">
        <v>27.3</v>
      </c>
      <c r="R115" t="str">
        <f>IF(B115&lt;&gt;"Sensor Snapshot","",IF(O115="","Missing",IF(O115=-1,"Sensor failure sentinel (-1)",IF(OR(O115&lt;'02_Parameters'!$B$18,O115&gt;'02_Parameters'!$B$19),"Out of accepted range","Valid"))))</f>
        <v>Valid</v>
      </c>
      <c r="S115" s="16">
        <v>80.400000000000006</v>
      </c>
      <c r="T115" s="16">
        <f>IF(AND(ISNUMBER(S115),S115&lt;&gt;-1,S115&gt;='02_Parameters'!$B$20,S115&lt;='02_Parameters'!$B$21),S115,"")</f>
        <v>80.400000000000006</v>
      </c>
      <c r="U115" s="16">
        <v>80.400000000000006</v>
      </c>
      <c r="V115" t="str">
        <f>IF(B115&lt;&gt;"Sensor Snapshot","",IF(S115="","Missing",IF(S115=-1,"Sensor failure sentinel (-1)",IF(OR(S115&lt;'02_Parameters'!$B$20,S115&gt;'02_Parameters'!$B$21),"Out of accepted range","Valid"))))</f>
        <v>Valid</v>
      </c>
      <c r="W115" s="16">
        <v>-0.1</v>
      </c>
      <c r="X115" s="16">
        <f t="shared" si="16"/>
        <v>0.1</v>
      </c>
      <c r="Y115" t="str">
        <f t="shared" si="17"/>
        <v>Sign corrected to positive</v>
      </c>
      <c r="Z115" s="16"/>
      <c r="AA115">
        <v>1</v>
      </c>
      <c r="AB115">
        <f>IF(B115&lt;&gt;"Sensor Snapshot","",IF(ISNUMBER(AA115),--(AA115&lt;&gt;0),IF(ISNUMBER(Z115),--(Z115&lt;'02_Parameters'!$B$15),"")))</f>
        <v>1</v>
      </c>
      <c r="AC115">
        <f>IF(B115&lt;&gt;"Sensor Snapshot","",IF(ISNUMBER(X115),--(X115&gt;='02_Parameters'!$B$16),""))</f>
        <v>0</v>
      </c>
      <c r="AD115">
        <v>0</v>
      </c>
      <c r="AE115">
        <f t="shared" si="18"/>
        <v>0</v>
      </c>
      <c r="AF115" s="3" t="str">
        <f t="shared" si="19"/>
        <v>Partial detection only</v>
      </c>
      <c r="AG115" s="16">
        <v>0</v>
      </c>
      <c r="AH115" s="16">
        <f>IF(B115&lt;&gt;"Sensor Snapshot","",IF(ISNUMBER(AG115),IF(AG115&lt;0,"",IF(AG115&gt;10,AG115/'02_Parameters'!$B$17,AG115)),""))</f>
        <v>0</v>
      </c>
      <c r="AI115" t="str">
        <f t="shared" si="20"/>
        <v>Valid</v>
      </c>
      <c r="AJ115">
        <f t="shared" si="21"/>
        <v>0</v>
      </c>
      <c r="AK115">
        <f t="shared" si="22"/>
        <v>0</v>
      </c>
      <c r="AM115">
        <f t="shared" si="23"/>
        <v>0</v>
      </c>
      <c r="AN115">
        <f>IF(B115&lt;&gt;"Sensor Snapshot","",--(N115&gt;='02_Parameters'!$B$13))</f>
        <v>0</v>
      </c>
      <c r="AO115">
        <f>IF(B115&lt;&gt;"Sensor Snapshot","",--(AND(L115="PUMPING",ISNUMBER(AH115),AH115&lt;='02_Parameters'!$B$10)))</f>
        <v>0</v>
      </c>
      <c r="AP115" s="16"/>
      <c r="AQ115" s="16" t="str">
        <f t="shared" si="24"/>
        <v/>
      </c>
      <c r="AR115" s="16" t="str">
        <f t="shared" si="25"/>
        <v/>
      </c>
      <c r="AU115" t="s">
        <v>236</v>
      </c>
      <c r="AV115" t="s">
        <v>237</v>
      </c>
      <c r="AW115" s="3" t="s">
        <v>238</v>
      </c>
      <c r="AX115" s="3">
        <f t="shared" si="26"/>
        <v>100</v>
      </c>
      <c r="AY115" s="3" t="str">
        <f t="shared" si="27"/>
        <v>A</v>
      </c>
      <c r="AZ115" s="3" t="s">
        <v>386</v>
      </c>
      <c r="BA115" s="3"/>
    </row>
    <row r="116" spans="1:53" ht="27.6">
      <c r="A116" t="s">
        <v>409</v>
      </c>
      <c r="B116" t="s">
        <v>231</v>
      </c>
      <c r="C116" s="14">
        <v>120556</v>
      </c>
      <c r="D116" s="15">
        <f t="shared" si="14"/>
        <v>120.556</v>
      </c>
      <c r="E116" t="s">
        <v>232</v>
      </c>
      <c r="G116" t="s">
        <v>234</v>
      </c>
      <c r="H116" t="s">
        <v>235</v>
      </c>
      <c r="I116" s="3"/>
      <c r="J116" s="3"/>
      <c r="L116" t="s">
        <v>385</v>
      </c>
      <c r="M116">
        <f t="shared" si="15"/>
        <v>0</v>
      </c>
      <c r="N116">
        <v>0</v>
      </c>
      <c r="O116" s="16">
        <v>27.3</v>
      </c>
      <c r="P116" s="16">
        <f>IF(AND(ISNUMBER(O116),O116&lt;&gt;-1,O116&gt;='02_Parameters'!$B$18,O116&lt;='02_Parameters'!$B$19),O116,"")</f>
        <v>27.3</v>
      </c>
      <c r="Q116" s="16">
        <v>27.3</v>
      </c>
      <c r="R116" t="str">
        <f>IF(B116&lt;&gt;"Sensor Snapshot","",IF(O116="","Missing",IF(O116=-1,"Sensor failure sentinel (-1)",IF(OR(O116&lt;'02_Parameters'!$B$18,O116&gt;'02_Parameters'!$B$19),"Out of accepted range","Valid"))))</f>
        <v>Valid</v>
      </c>
      <c r="S116" s="16">
        <v>80.400000000000006</v>
      </c>
      <c r="T116" s="16">
        <f>IF(AND(ISNUMBER(S116),S116&lt;&gt;-1,S116&gt;='02_Parameters'!$B$20,S116&lt;='02_Parameters'!$B$21),S116,"")</f>
        <v>80.400000000000006</v>
      </c>
      <c r="U116" s="16">
        <v>80.400000000000006</v>
      </c>
      <c r="V116" t="str">
        <f>IF(B116&lt;&gt;"Sensor Snapshot","",IF(S116="","Missing",IF(S116=-1,"Sensor failure sentinel (-1)",IF(OR(S116&lt;'02_Parameters'!$B$20,S116&gt;'02_Parameters'!$B$21),"Out of accepted range","Valid"))))</f>
        <v>Valid</v>
      </c>
      <c r="W116" s="16">
        <v>0.2</v>
      </c>
      <c r="X116" s="16">
        <f t="shared" si="16"/>
        <v>0.2</v>
      </c>
      <c r="Y116" t="str">
        <f t="shared" si="17"/>
        <v>Valid</v>
      </c>
      <c r="Z116" s="16"/>
      <c r="AA116">
        <v>1</v>
      </c>
      <c r="AB116">
        <f>IF(B116&lt;&gt;"Sensor Snapshot","",IF(ISNUMBER(AA116),--(AA116&lt;&gt;0),IF(ISNUMBER(Z116),--(Z116&lt;'02_Parameters'!$B$15),"")))</f>
        <v>1</v>
      </c>
      <c r="AC116">
        <f>IF(B116&lt;&gt;"Sensor Snapshot","",IF(ISNUMBER(X116),--(X116&gt;='02_Parameters'!$B$16),""))</f>
        <v>0</v>
      </c>
      <c r="AD116">
        <v>0</v>
      </c>
      <c r="AE116">
        <f t="shared" si="18"/>
        <v>0</v>
      </c>
      <c r="AF116" s="3" t="str">
        <f t="shared" si="19"/>
        <v>Partial detection only</v>
      </c>
      <c r="AG116" s="16">
        <v>0</v>
      </c>
      <c r="AH116" s="16">
        <f>IF(B116&lt;&gt;"Sensor Snapshot","",IF(ISNUMBER(AG116),IF(AG116&lt;0,"",IF(AG116&gt;10,AG116/'02_Parameters'!$B$17,AG116)),""))</f>
        <v>0</v>
      </c>
      <c r="AI116" t="str">
        <f t="shared" si="20"/>
        <v>Valid</v>
      </c>
      <c r="AJ116">
        <f t="shared" si="21"/>
        <v>0</v>
      </c>
      <c r="AK116">
        <f t="shared" si="22"/>
        <v>0</v>
      </c>
      <c r="AM116">
        <f t="shared" si="23"/>
        <v>0</v>
      </c>
      <c r="AN116">
        <f>IF(B116&lt;&gt;"Sensor Snapshot","",--(N116&gt;='02_Parameters'!$B$13))</f>
        <v>0</v>
      </c>
      <c r="AO116">
        <f>IF(B116&lt;&gt;"Sensor Snapshot","",--(AND(L116="PUMPING",ISNUMBER(AH116),AH116&lt;='02_Parameters'!$B$10)))</f>
        <v>0</v>
      </c>
      <c r="AP116" s="16"/>
      <c r="AQ116" s="16" t="str">
        <f t="shared" si="24"/>
        <v/>
      </c>
      <c r="AR116" s="16" t="str">
        <f t="shared" si="25"/>
        <v/>
      </c>
      <c r="AU116" t="s">
        <v>236</v>
      </c>
      <c r="AV116" t="s">
        <v>237</v>
      </c>
      <c r="AW116" s="3" t="s">
        <v>257</v>
      </c>
      <c r="AX116" s="3">
        <f t="shared" si="26"/>
        <v>100</v>
      </c>
      <c r="AY116" s="3" t="str">
        <f t="shared" si="27"/>
        <v>A</v>
      </c>
      <c r="AZ116" s="3" t="s">
        <v>386</v>
      </c>
      <c r="BA116" s="3"/>
    </row>
    <row r="117" spans="1:53" ht="27.6">
      <c r="A117" t="s">
        <v>410</v>
      </c>
      <c r="B117" t="s">
        <v>231</v>
      </c>
      <c r="C117" s="14">
        <v>125575</v>
      </c>
      <c r="D117" s="15">
        <f t="shared" si="14"/>
        <v>125.575</v>
      </c>
      <c r="E117" t="s">
        <v>232</v>
      </c>
      <c r="G117" t="s">
        <v>234</v>
      </c>
      <c r="H117" t="s">
        <v>235</v>
      </c>
      <c r="I117" s="3"/>
      <c r="J117" s="3"/>
      <c r="L117" t="s">
        <v>385</v>
      </c>
      <c r="M117">
        <f t="shared" si="15"/>
        <v>0</v>
      </c>
      <c r="N117">
        <v>0</v>
      </c>
      <c r="O117" s="16">
        <v>27.3</v>
      </c>
      <c r="P117" s="16">
        <f>IF(AND(ISNUMBER(O117),O117&lt;&gt;-1,O117&gt;='02_Parameters'!$B$18,O117&lt;='02_Parameters'!$B$19),O117,"")</f>
        <v>27.3</v>
      </c>
      <c r="Q117" s="16">
        <v>27.3</v>
      </c>
      <c r="R117" t="str">
        <f>IF(B117&lt;&gt;"Sensor Snapshot","",IF(O117="","Missing",IF(O117=-1,"Sensor failure sentinel (-1)",IF(OR(O117&lt;'02_Parameters'!$B$18,O117&gt;'02_Parameters'!$B$19),"Out of accepted range","Valid"))))</f>
        <v>Valid</v>
      </c>
      <c r="S117" s="16">
        <v>80.5</v>
      </c>
      <c r="T117" s="16">
        <f>IF(AND(ISNUMBER(S117),S117&lt;&gt;-1,S117&gt;='02_Parameters'!$B$20,S117&lt;='02_Parameters'!$B$21),S117,"")</f>
        <v>80.5</v>
      </c>
      <c r="U117" s="16">
        <v>80.5</v>
      </c>
      <c r="V117" t="str">
        <f>IF(B117&lt;&gt;"Sensor Snapshot","",IF(S117="","Missing",IF(S117=-1,"Sensor failure sentinel (-1)",IF(OR(S117&lt;'02_Parameters'!$B$20,S117&gt;'02_Parameters'!$B$21),"Out of accepted range","Valid"))))</f>
        <v>Valid</v>
      </c>
      <c r="W117" s="16">
        <v>0</v>
      </c>
      <c r="X117" s="16">
        <f t="shared" si="16"/>
        <v>0</v>
      </c>
      <c r="Y117" t="str">
        <f t="shared" si="17"/>
        <v>Valid</v>
      </c>
      <c r="Z117" s="16"/>
      <c r="AA117">
        <v>1</v>
      </c>
      <c r="AB117">
        <f>IF(B117&lt;&gt;"Sensor Snapshot","",IF(ISNUMBER(AA117),--(AA117&lt;&gt;0),IF(ISNUMBER(Z117),--(Z117&lt;'02_Parameters'!$B$15),"")))</f>
        <v>1</v>
      </c>
      <c r="AC117">
        <f>IF(B117&lt;&gt;"Sensor Snapshot","",IF(ISNUMBER(X117),--(X117&gt;='02_Parameters'!$B$16),""))</f>
        <v>0</v>
      </c>
      <c r="AD117">
        <v>0</v>
      </c>
      <c r="AE117">
        <f t="shared" si="18"/>
        <v>0</v>
      </c>
      <c r="AF117" s="3" t="str">
        <f t="shared" si="19"/>
        <v>Partial detection only</v>
      </c>
      <c r="AG117" s="16">
        <v>0</v>
      </c>
      <c r="AH117" s="16">
        <f>IF(B117&lt;&gt;"Sensor Snapshot","",IF(ISNUMBER(AG117),IF(AG117&lt;0,"",IF(AG117&gt;10,AG117/'02_Parameters'!$B$17,AG117)),""))</f>
        <v>0</v>
      </c>
      <c r="AI117" t="str">
        <f t="shared" si="20"/>
        <v>Valid</v>
      </c>
      <c r="AJ117">
        <f t="shared" si="21"/>
        <v>0</v>
      </c>
      <c r="AK117">
        <f t="shared" si="22"/>
        <v>0</v>
      </c>
      <c r="AM117">
        <f t="shared" si="23"/>
        <v>0</v>
      </c>
      <c r="AN117">
        <f>IF(B117&lt;&gt;"Sensor Snapshot","",--(N117&gt;='02_Parameters'!$B$13))</f>
        <v>0</v>
      </c>
      <c r="AO117">
        <f>IF(B117&lt;&gt;"Sensor Snapshot","",--(AND(L117="PUMPING",ISNUMBER(AH117),AH117&lt;='02_Parameters'!$B$10)))</f>
        <v>0</v>
      </c>
      <c r="AP117" s="16"/>
      <c r="AQ117" s="16" t="str">
        <f t="shared" si="24"/>
        <v/>
      </c>
      <c r="AR117" s="16" t="str">
        <f t="shared" si="25"/>
        <v/>
      </c>
      <c r="AU117" t="s">
        <v>236</v>
      </c>
      <c r="AV117" t="s">
        <v>237</v>
      </c>
      <c r="AW117" s="3" t="s">
        <v>257</v>
      </c>
      <c r="AX117" s="3">
        <f t="shared" si="26"/>
        <v>100</v>
      </c>
      <c r="AY117" s="3" t="str">
        <f t="shared" si="27"/>
        <v>A</v>
      </c>
      <c r="AZ117" s="3" t="s">
        <v>386</v>
      </c>
      <c r="BA117" s="3"/>
    </row>
    <row r="118" spans="1:53" ht="27.6">
      <c r="A118" t="s">
        <v>411</v>
      </c>
      <c r="B118" t="s">
        <v>231</v>
      </c>
      <c r="C118" s="14">
        <v>130595</v>
      </c>
      <c r="D118" s="15">
        <f t="shared" si="14"/>
        <v>130.595</v>
      </c>
      <c r="E118" t="s">
        <v>232</v>
      </c>
      <c r="G118" t="s">
        <v>234</v>
      </c>
      <c r="H118" t="s">
        <v>235</v>
      </c>
      <c r="I118" s="3"/>
      <c r="J118" s="3"/>
      <c r="L118" t="s">
        <v>385</v>
      </c>
      <c r="M118">
        <f t="shared" si="15"/>
        <v>0</v>
      </c>
      <c r="N118">
        <v>0</v>
      </c>
      <c r="O118" s="16">
        <v>27.3</v>
      </c>
      <c r="P118" s="16">
        <f>IF(AND(ISNUMBER(O118),O118&lt;&gt;-1,O118&gt;='02_Parameters'!$B$18,O118&lt;='02_Parameters'!$B$19),O118,"")</f>
        <v>27.3</v>
      </c>
      <c r="Q118" s="16">
        <v>27.3</v>
      </c>
      <c r="R118" t="str">
        <f>IF(B118&lt;&gt;"Sensor Snapshot","",IF(O118="","Missing",IF(O118=-1,"Sensor failure sentinel (-1)",IF(OR(O118&lt;'02_Parameters'!$B$18,O118&gt;'02_Parameters'!$B$19),"Out of accepted range","Valid"))))</f>
        <v>Valid</v>
      </c>
      <c r="S118" s="16">
        <v>80.8</v>
      </c>
      <c r="T118" s="16">
        <f>IF(AND(ISNUMBER(S118),S118&lt;&gt;-1,S118&gt;='02_Parameters'!$B$20,S118&lt;='02_Parameters'!$B$21),S118,"")</f>
        <v>80.8</v>
      </c>
      <c r="U118" s="16">
        <v>80.8</v>
      </c>
      <c r="V118" t="str">
        <f>IF(B118&lt;&gt;"Sensor Snapshot","",IF(S118="","Missing",IF(S118=-1,"Sensor failure sentinel (-1)",IF(OR(S118&lt;'02_Parameters'!$B$20,S118&gt;'02_Parameters'!$B$21),"Out of accepted range","Valid"))))</f>
        <v>Valid</v>
      </c>
      <c r="W118" s="16">
        <v>0.1</v>
      </c>
      <c r="X118" s="16">
        <f t="shared" si="16"/>
        <v>0.1</v>
      </c>
      <c r="Y118" t="str">
        <f t="shared" si="17"/>
        <v>Valid</v>
      </c>
      <c r="Z118" s="16"/>
      <c r="AA118">
        <v>1</v>
      </c>
      <c r="AB118">
        <f>IF(B118&lt;&gt;"Sensor Snapshot","",IF(ISNUMBER(AA118),--(AA118&lt;&gt;0),IF(ISNUMBER(Z118),--(Z118&lt;'02_Parameters'!$B$15),"")))</f>
        <v>1</v>
      </c>
      <c r="AC118">
        <f>IF(B118&lt;&gt;"Sensor Snapshot","",IF(ISNUMBER(X118),--(X118&gt;='02_Parameters'!$B$16),""))</f>
        <v>0</v>
      </c>
      <c r="AD118">
        <v>0</v>
      </c>
      <c r="AE118">
        <f t="shared" si="18"/>
        <v>0</v>
      </c>
      <c r="AF118" s="3" t="str">
        <f t="shared" si="19"/>
        <v>Partial detection only</v>
      </c>
      <c r="AG118" s="16">
        <v>0</v>
      </c>
      <c r="AH118" s="16">
        <f>IF(B118&lt;&gt;"Sensor Snapshot","",IF(ISNUMBER(AG118),IF(AG118&lt;0,"",IF(AG118&gt;10,AG118/'02_Parameters'!$B$17,AG118)),""))</f>
        <v>0</v>
      </c>
      <c r="AI118" t="str">
        <f t="shared" si="20"/>
        <v>Valid</v>
      </c>
      <c r="AJ118">
        <f t="shared" si="21"/>
        <v>0</v>
      </c>
      <c r="AK118">
        <f t="shared" si="22"/>
        <v>0</v>
      </c>
      <c r="AM118">
        <f t="shared" si="23"/>
        <v>0</v>
      </c>
      <c r="AN118">
        <f>IF(B118&lt;&gt;"Sensor Snapshot","",--(N118&gt;='02_Parameters'!$B$13))</f>
        <v>0</v>
      </c>
      <c r="AO118">
        <f>IF(B118&lt;&gt;"Sensor Snapshot","",--(AND(L118="PUMPING",ISNUMBER(AH118),AH118&lt;='02_Parameters'!$B$10)))</f>
        <v>0</v>
      </c>
      <c r="AP118" s="16"/>
      <c r="AQ118" s="16" t="str">
        <f t="shared" si="24"/>
        <v/>
      </c>
      <c r="AR118" s="16" t="str">
        <f t="shared" si="25"/>
        <v/>
      </c>
      <c r="AU118" t="s">
        <v>236</v>
      </c>
      <c r="AV118" t="s">
        <v>237</v>
      </c>
      <c r="AW118" s="3" t="s">
        <v>257</v>
      </c>
      <c r="AX118" s="3">
        <f t="shared" si="26"/>
        <v>100</v>
      </c>
      <c r="AY118" s="3" t="str">
        <f t="shared" si="27"/>
        <v>A</v>
      </c>
      <c r="AZ118" s="3" t="s">
        <v>386</v>
      </c>
      <c r="BA118" s="3"/>
    </row>
    <row r="119" spans="1:53" ht="27.6">
      <c r="A119" t="s">
        <v>412</v>
      </c>
      <c r="B119" t="s">
        <v>231</v>
      </c>
      <c r="C119" s="14">
        <v>135614</v>
      </c>
      <c r="D119" s="15">
        <f t="shared" si="14"/>
        <v>135.614</v>
      </c>
      <c r="E119" t="s">
        <v>232</v>
      </c>
      <c r="G119" t="s">
        <v>234</v>
      </c>
      <c r="H119" t="s">
        <v>235</v>
      </c>
      <c r="I119" s="3"/>
      <c r="J119" s="3"/>
      <c r="L119" t="s">
        <v>385</v>
      </c>
      <c r="M119">
        <f t="shared" si="15"/>
        <v>0</v>
      </c>
      <c r="N119">
        <v>0</v>
      </c>
      <c r="O119" s="16">
        <v>27.3</v>
      </c>
      <c r="P119" s="16">
        <f>IF(AND(ISNUMBER(O119),O119&lt;&gt;-1,O119&gt;='02_Parameters'!$B$18,O119&lt;='02_Parameters'!$B$19),O119,"")</f>
        <v>27.3</v>
      </c>
      <c r="Q119" s="16">
        <v>27.3</v>
      </c>
      <c r="R119" t="str">
        <f>IF(B119&lt;&gt;"Sensor Snapshot","",IF(O119="","Missing",IF(O119=-1,"Sensor failure sentinel (-1)",IF(OR(O119&lt;'02_Parameters'!$B$18,O119&gt;'02_Parameters'!$B$19),"Out of accepted range","Valid"))))</f>
        <v>Valid</v>
      </c>
      <c r="S119" s="16">
        <v>80.8</v>
      </c>
      <c r="T119" s="16">
        <f>IF(AND(ISNUMBER(S119),S119&lt;&gt;-1,S119&gt;='02_Parameters'!$B$20,S119&lt;='02_Parameters'!$B$21),S119,"")</f>
        <v>80.8</v>
      </c>
      <c r="U119" s="16">
        <v>80.8</v>
      </c>
      <c r="V119" t="str">
        <f>IF(B119&lt;&gt;"Sensor Snapshot","",IF(S119="","Missing",IF(S119=-1,"Sensor failure sentinel (-1)",IF(OR(S119&lt;'02_Parameters'!$B$20,S119&gt;'02_Parameters'!$B$21),"Out of accepted range","Valid"))))</f>
        <v>Valid</v>
      </c>
      <c r="W119" s="16">
        <v>0.1</v>
      </c>
      <c r="X119" s="16">
        <f t="shared" si="16"/>
        <v>0.1</v>
      </c>
      <c r="Y119" t="str">
        <f t="shared" si="17"/>
        <v>Valid</v>
      </c>
      <c r="Z119" s="16"/>
      <c r="AA119">
        <v>1</v>
      </c>
      <c r="AB119">
        <f>IF(B119&lt;&gt;"Sensor Snapshot","",IF(ISNUMBER(AA119),--(AA119&lt;&gt;0),IF(ISNUMBER(Z119),--(Z119&lt;'02_Parameters'!$B$15),"")))</f>
        <v>1</v>
      </c>
      <c r="AC119">
        <f>IF(B119&lt;&gt;"Sensor Snapshot","",IF(ISNUMBER(X119),--(X119&gt;='02_Parameters'!$B$16),""))</f>
        <v>0</v>
      </c>
      <c r="AD119">
        <v>0</v>
      </c>
      <c r="AE119">
        <f t="shared" si="18"/>
        <v>0</v>
      </c>
      <c r="AF119" s="3" t="str">
        <f t="shared" si="19"/>
        <v>Partial detection only</v>
      </c>
      <c r="AG119" s="16">
        <v>0</v>
      </c>
      <c r="AH119" s="16">
        <f>IF(B119&lt;&gt;"Sensor Snapshot","",IF(ISNUMBER(AG119),IF(AG119&lt;0,"",IF(AG119&gt;10,AG119/'02_Parameters'!$B$17,AG119)),""))</f>
        <v>0</v>
      </c>
      <c r="AI119" t="str">
        <f t="shared" si="20"/>
        <v>Valid</v>
      </c>
      <c r="AJ119">
        <f t="shared" si="21"/>
        <v>0</v>
      </c>
      <c r="AK119">
        <f t="shared" si="22"/>
        <v>0</v>
      </c>
      <c r="AM119">
        <f t="shared" si="23"/>
        <v>0</v>
      </c>
      <c r="AN119">
        <f>IF(B119&lt;&gt;"Sensor Snapshot","",--(N119&gt;='02_Parameters'!$B$13))</f>
        <v>0</v>
      </c>
      <c r="AO119">
        <f>IF(B119&lt;&gt;"Sensor Snapshot","",--(AND(L119="PUMPING",ISNUMBER(AH119),AH119&lt;='02_Parameters'!$B$10)))</f>
        <v>0</v>
      </c>
      <c r="AP119" s="16"/>
      <c r="AQ119" s="16" t="str">
        <f t="shared" si="24"/>
        <v/>
      </c>
      <c r="AR119" s="16" t="str">
        <f t="shared" si="25"/>
        <v/>
      </c>
      <c r="AU119" t="s">
        <v>236</v>
      </c>
      <c r="AV119" t="s">
        <v>237</v>
      </c>
      <c r="AW119" s="3" t="s">
        <v>257</v>
      </c>
      <c r="AX119" s="3">
        <f t="shared" si="26"/>
        <v>100</v>
      </c>
      <c r="AY119" s="3" t="str">
        <f t="shared" si="27"/>
        <v>A</v>
      </c>
      <c r="AZ119" s="3" t="s">
        <v>386</v>
      </c>
      <c r="BA119" s="3"/>
    </row>
    <row r="120" spans="1:53" ht="27.6">
      <c r="A120" t="s">
        <v>413</v>
      </c>
      <c r="B120" t="s">
        <v>231</v>
      </c>
      <c r="C120" s="14">
        <v>140634</v>
      </c>
      <c r="D120" s="15">
        <f t="shared" si="14"/>
        <v>140.63399999999999</v>
      </c>
      <c r="E120" t="s">
        <v>232</v>
      </c>
      <c r="G120" t="s">
        <v>234</v>
      </c>
      <c r="H120" t="s">
        <v>235</v>
      </c>
      <c r="I120" s="3"/>
      <c r="J120" s="3"/>
      <c r="L120" t="s">
        <v>385</v>
      </c>
      <c r="M120">
        <f t="shared" si="15"/>
        <v>0</v>
      </c>
      <c r="N120">
        <v>0</v>
      </c>
      <c r="O120" s="16">
        <v>27.3</v>
      </c>
      <c r="P120" s="16">
        <f>IF(AND(ISNUMBER(O120),O120&lt;&gt;-1,O120&gt;='02_Parameters'!$B$18,O120&lt;='02_Parameters'!$B$19),O120,"")</f>
        <v>27.3</v>
      </c>
      <c r="Q120" s="16">
        <v>27.3</v>
      </c>
      <c r="R120" t="str">
        <f>IF(B120&lt;&gt;"Sensor Snapshot","",IF(O120="","Missing",IF(O120=-1,"Sensor failure sentinel (-1)",IF(OR(O120&lt;'02_Parameters'!$B$18,O120&gt;'02_Parameters'!$B$19),"Out of accepted range","Valid"))))</f>
        <v>Valid</v>
      </c>
      <c r="S120" s="16">
        <v>80.900000000000006</v>
      </c>
      <c r="T120" s="16">
        <f>IF(AND(ISNUMBER(S120),S120&lt;&gt;-1,S120&gt;='02_Parameters'!$B$20,S120&lt;='02_Parameters'!$B$21),S120,"")</f>
        <v>80.900000000000006</v>
      </c>
      <c r="U120" s="16">
        <v>80.900000000000006</v>
      </c>
      <c r="V120" t="str">
        <f>IF(B120&lt;&gt;"Sensor Snapshot","",IF(S120="","Missing",IF(S120=-1,"Sensor failure sentinel (-1)",IF(OR(S120&lt;'02_Parameters'!$B$20,S120&gt;'02_Parameters'!$B$21),"Out of accepted range","Valid"))))</f>
        <v>Valid</v>
      </c>
      <c r="W120" s="16">
        <v>0</v>
      </c>
      <c r="X120" s="16">
        <f t="shared" si="16"/>
        <v>0</v>
      </c>
      <c r="Y120" t="str">
        <f t="shared" si="17"/>
        <v>Valid</v>
      </c>
      <c r="Z120" s="16"/>
      <c r="AA120">
        <v>1</v>
      </c>
      <c r="AB120">
        <f>IF(B120&lt;&gt;"Sensor Snapshot","",IF(ISNUMBER(AA120),--(AA120&lt;&gt;0),IF(ISNUMBER(Z120),--(Z120&lt;'02_Parameters'!$B$15),"")))</f>
        <v>1</v>
      </c>
      <c r="AC120">
        <f>IF(B120&lt;&gt;"Sensor Snapshot","",IF(ISNUMBER(X120),--(X120&gt;='02_Parameters'!$B$16),""))</f>
        <v>0</v>
      </c>
      <c r="AD120">
        <v>0</v>
      </c>
      <c r="AE120">
        <f t="shared" si="18"/>
        <v>0</v>
      </c>
      <c r="AF120" s="3" t="str">
        <f t="shared" si="19"/>
        <v>Partial detection only</v>
      </c>
      <c r="AG120" s="16">
        <v>0</v>
      </c>
      <c r="AH120" s="16">
        <f>IF(B120&lt;&gt;"Sensor Snapshot","",IF(ISNUMBER(AG120),IF(AG120&lt;0,"",IF(AG120&gt;10,AG120/'02_Parameters'!$B$17,AG120)),""))</f>
        <v>0</v>
      </c>
      <c r="AI120" t="str">
        <f t="shared" si="20"/>
        <v>Valid</v>
      </c>
      <c r="AJ120">
        <f t="shared" si="21"/>
        <v>0</v>
      </c>
      <c r="AK120">
        <f t="shared" si="22"/>
        <v>0</v>
      </c>
      <c r="AM120">
        <f t="shared" si="23"/>
        <v>0</v>
      </c>
      <c r="AN120">
        <f>IF(B120&lt;&gt;"Sensor Snapshot","",--(N120&gt;='02_Parameters'!$B$13))</f>
        <v>0</v>
      </c>
      <c r="AO120">
        <f>IF(B120&lt;&gt;"Sensor Snapshot","",--(AND(L120="PUMPING",ISNUMBER(AH120),AH120&lt;='02_Parameters'!$B$10)))</f>
        <v>0</v>
      </c>
      <c r="AP120" s="16"/>
      <c r="AQ120" s="16" t="str">
        <f t="shared" si="24"/>
        <v/>
      </c>
      <c r="AR120" s="16" t="str">
        <f t="shared" si="25"/>
        <v/>
      </c>
      <c r="AU120" t="s">
        <v>236</v>
      </c>
      <c r="AV120" t="s">
        <v>237</v>
      </c>
      <c r="AW120" s="3" t="s">
        <v>257</v>
      </c>
      <c r="AX120" s="3">
        <f t="shared" si="26"/>
        <v>100</v>
      </c>
      <c r="AY120" s="3" t="str">
        <f t="shared" si="27"/>
        <v>A</v>
      </c>
      <c r="AZ120" s="3" t="s">
        <v>386</v>
      </c>
      <c r="BA120" s="3"/>
    </row>
    <row r="121" spans="1:53" ht="27.6">
      <c r="A121" t="s">
        <v>414</v>
      </c>
      <c r="B121" t="s">
        <v>231</v>
      </c>
      <c r="C121" s="14">
        <v>145653</v>
      </c>
      <c r="D121" s="15">
        <f t="shared" si="14"/>
        <v>145.65299999999999</v>
      </c>
      <c r="E121" t="s">
        <v>232</v>
      </c>
      <c r="G121" t="s">
        <v>234</v>
      </c>
      <c r="H121" t="s">
        <v>235</v>
      </c>
      <c r="I121" s="3"/>
      <c r="J121" s="3"/>
      <c r="L121" t="s">
        <v>385</v>
      </c>
      <c r="M121">
        <f t="shared" si="15"/>
        <v>0</v>
      </c>
      <c r="N121">
        <v>0</v>
      </c>
      <c r="O121" s="16">
        <v>27.3</v>
      </c>
      <c r="P121" s="16">
        <f>IF(AND(ISNUMBER(O121),O121&lt;&gt;-1,O121&gt;='02_Parameters'!$B$18,O121&lt;='02_Parameters'!$B$19),O121,"")</f>
        <v>27.3</v>
      </c>
      <c r="Q121" s="16">
        <v>27.3</v>
      </c>
      <c r="R121" t="str">
        <f>IF(B121&lt;&gt;"Sensor Snapshot","",IF(O121="","Missing",IF(O121=-1,"Sensor failure sentinel (-1)",IF(OR(O121&lt;'02_Parameters'!$B$18,O121&gt;'02_Parameters'!$B$19),"Out of accepted range","Valid"))))</f>
        <v>Valid</v>
      </c>
      <c r="S121" s="16">
        <v>80.900000000000006</v>
      </c>
      <c r="T121" s="16">
        <f>IF(AND(ISNUMBER(S121),S121&lt;&gt;-1,S121&gt;='02_Parameters'!$B$20,S121&lt;='02_Parameters'!$B$21),S121,"")</f>
        <v>80.900000000000006</v>
      </c>
      <c r="U121" s="16">
        <v>80.900000000000006</v>
      </c>
      <c r="V121" t="str">
        <f>IF(B121&lt;&gt;"Sensor Snapshot","",IF(S121="","Missing",IF(S121=-1,"Sensor failure sentinel (-1)",IF(OR(S121&lt;'02_Parameters'!$B$20,S121&gt;'02_Parameters'!$B$21),"Out of accepted range","Valid"))))</f>
        <v>Valid</v>
      </c>
      <c r="W121" s="16">
        <v>0.4</v>
      </c>
      <c r="X121" s="16">
        <f t="shared" si="16"/>
        <v>0.4</v>
      </c>
      <c r="Y121" t="str">
        <f t="shared" si="17"/>
        <v>Valid</v>
      </c>
      <c r="Z121" s="16"/>
      <c r="AA121">
        <v>1</v>
      </c>
      <c r="AB121">
        <f>IF(B121&lt;&gt;"Sensor Snapshot","",IF(ISNUMBER(AA121),--(AA121&lt;&gt;0),IF(ISNUMBER(Z121),--(Z121&lt;'02_Parameters'!$B$15),"")))</f>
        <v>1</v>
      </c>
      <c r="AC121">
        <f>IF(B121&lt;&gt;"Sensor Snapshot","",IF(ISNUMBER(X121),--(X121&gt;='02_Parameters'!$B$16),""))</f>
        <v>0</v>
      </c>
      <c r="AD121">
        <v>0</v>
      </c>
      <c r="AE121">
        <f t="shared" si="18"/>
        <v>0</v>
      </c>
      <c r="AF121" s="3" t="str">
        <f t="shared" si="19"/>
        <v>Partial detection only</v>
      </c>
      <c r="AG121" s="16">
        <v>0</v>
      </c>
      <c r="AH121" s="16">
        <f>IF(B121&lt;&gt;"Sensor Snapshot","",IF(ISNUMBER(AG121),IF(AG121&lt;0,"",IF(AG121&gt;10,AG121/'02_Parameters'!$B$17,AG121)),""))</f>
        <v>0</v>
      </c>
      <c r="AI121" t="str">
        <f t="shared" si="20"/>
        <v>Valid</v>
      </c>
      <c r="AJ121">
        <f t="shared" si="21"/>
        <v>0</v>
      </c>
      <c r="AK121">
        <f t="shared" si="22"/>
        <v>0</v>
      </c>
      <c r="AM121">
        <f t="shared" si="23"/>
        <v>0</v>
      </c>
      <c r="AN121">
        <f>IF(B121&lt;&gt;"Sensor Snapshot","",--(N121&gt;='02_Parameters'!$B$13))</f>
        <v>0</v>
      </c>
      <c r="AO121">
        <f>IF(B121&lt;&gt;"Sensor Snapshot","",--(AND(L121="PUMPING",ISNUMBER(AH121),AH121&lt;='02_Parameters'!$B$10)))</f>
        <v>0</v>
      </c>
      <c r="AP121" s="16"/>
      <c r="AQ121" s="16" t="str">
        <f t="shared" si="24"/>
        <v/>
      </c>
      <c r="AR121" s="16" t="str">
        <f t="shared" si="25"/>
        <v/>
      </c>
      <c r="AU121" t="s">
        <v>236</v>
      </c>
      <c r="AV121" t="s">
        <v>237</v>
      </c>
      <c r="AW121" s="3" t="s">
        <v>257</v>
      </c>
      <c r="AX121" s="3">
        <f t="shared" si="26"/>
        <v>100</v>
      </c>
      <c r="AY121" s="3" t="str">
        <f t="shared" si="27"/>
        <v>A</v>
      </c>
      <c r="AZ121" s="3" t="s">
        <v>386</v>
      </c>
      <c r="BA121" s="3"/>
    </row>
    <row r="122" spans="1:53" ht="27.6">
      <c r="A122" t="s">
        <v>415</v>
      </c>
      <c r="B122" t="s">
        <v>231</v>
      </c>
      <c r="C122" s="14">
        <v>150670</v>
      </c>
      <c r="D122" s="15">
        <f t="shared" si="14"/>
        <v>150.66999999999999</v>
      </c>
      <c r="E122" t="s">
        <v>232</v>
      </c>
      <c r="G122" t="s">
        <v>234</v>
      </c>
      <c r="H122" t="s">
        <v>235</v>
      </c>
      <c r="I122" s="3"/>
      <c r="J122" s="3"/>
      <c r="L122" t="s">
        <v>385</v>
      </c>
      <c r="M122">
        <f t="shared" si="15"/>
        <v>0</v>
      </c>
      <c r="N122">
        <v>0</v>
      </c>
      <c r="O122" s="16">
        <v>27.3</v>
      </c>
      <c r="P122" s="16">
        <f>IF(AND(ISNUMBER(O122),O122&lt;&gt;-1,O122&gt;='02_Parameters'!$B$18,O122&lt;='02_Parameters'!$B$19),O122,"")</f>
        <v>27.3</v>
      </c>
      <c r="Q122" s="16">
        <v>27.3</v>
      </c>
      <c r="R122" t="str">
        <f>IF(B122&lt;&gt;"Sensor Snapshot","",IF(O122="","Missing",IF(O122=-1,"Sensor failure sentinel (-1)",IF(OR(O122&lt;'02_Parameters'!$B$18,O122&gt;'02_Parameters'!$B$19),"Out of accepted range","Valid"))))</f>
        <v>Valid</v>
      </c>
      <c r="S122" s="16">
        <v>80.900000000000006</v>
      </c>
      <c r="T122" s="16">
        <f>IF(AND(ISNUMBER(S122),S122&lt;&gt;-1,S122&gt;='02_Parameters'!$B$20,S122&lt;='02_Parameters'!$B$21),S122,"")</f>
        <v>80.900000000000006</v>
      </c>
      <c r="U122" s="16">
        <v>80.900000000000006</v>
      </c>
      <c r="V122" t="str">
        <f>IF(B122&lt;&gt;"Sensor Snapshot","",IF(S122="","Missing",IF(S122=-1,"Sensor failure sentinel (-1)",IF(OR(S122&lt;'02_Parameters'!$B$20,S122&gt;'02_Parameters'!$B$21),"Out of accepted range","Valid"))))</f>
        <v>Valid</v>
      </c>
      <c r="W122" s="16">
        <v>0</v>
      </c>
      <c r="X122" s="16">
        <f t="shared" si="16"/>
        <v>0</v>
      </c>
      <c r="Y122" t="str">
        <f t="shared" si="17"/>
        <v>Valid</v>
      </c>
      <c r="Z122" s="16"/>
      <c r="AA122">
        <v>1</v>
      </c>
      <c r="AB122">
        <f>IF(B122&lt;&gt;"Sensor Snapshot","",IF(ISNUMBER(AA122),--(AA122&lt;&gt;0),IF(ISNUMBER(Z122),--(Z122&lt;'02_Parameters'!$B$15),"")))</f>
        <v>1</v>
      </c>
      <c r="AC122">
        <f>IF(B122&lt;&gt;"Sensor Snapshot","",IF(ISNUMBER(X122),--(X122&gt;='02_Parameters'!$B$16),""))</f>
        <v>0</v>
      </c>
      <c r="AD122">
        <v>0</v>
      </c>
      <c r="AE122">
        <f t="shared" si="18"/>
        <v>0</v>
      </c>
      <c r="AF122" s="3" t="str">
        <f t="shared" si="19"/>
        <v>Partial detection only</v>
      </c>
      <c r="AG122" s="16">
        <v>0</v>
      </c>
      <c r="AH122" s="16">
        <f>IF(B122&lt;&gt;"Sensor Snapshot","",IF(ISNUMBER(AG122),IF(AG122&lt;0,"",IF(AG122&gt;10,AG122/'02_Parameters'!$B$17,AG122)),""))</f>
        <v>0</v>
      </c>
      <c r="AI122" t="str">
        <f t="shared" si="20"/>
        <v>Valid</v>
      </c>
      <c r="AJ122">
        <f t="shared" si="21"/>
        <v>0</v>
      </c>
      <c r="AK122">
        <f t="shared" si="22"/>
        <v>0</v>
      </c>
      <c r="AM122">
        <f t="shared" si="23"/>
        <v>0</v>
      </c>
      <c r="AN122">
        <f>IF(B122&lt;&gt;"Sensor Snapshot","",--(N122&gt;='02_Parameters'!$B$13))</f>
        <v>0</v>
      </c>
      <c r="AO122">
        <f>IF(B122&lt;&gt;"Sensor Snapshot","",--(AND(L122="PUMPING",ISNUMBER(AH122),AH122&lt;='02_Parameters'!$B$10)))</f>
        <v>0</v>
      </c>
      <c r="AP122" s="16"/>
      <c r="AQ122" s="16" t="str">
        <f t="shared" si="24"/>
        <v/>
      </c>
      <c r="AR122" s="16" t="str">
        <f t="shared" si="25"/>
        <v/>
      </c>
      <c r="AU122" t="s">
        <v>236</v>
      </c>
      <c r="AV122" t="s">
        <v>237</v>
      </c>
      <c r="AW122" s="3" t="s">
        <v>257</v>
      </c>
      <c r="AX122" s="3">
        <f t="shared" si="26"/>
        <v>100</v>
      </c>
      <c r="AY122" s="3" t="str">
        <f t="shared" si="27"/>
        <v>A</v>
      </c>
      <c r="AZ122" s="3" t="s">
        <v>386</v>
      </c>
      <c r="BA122" s="3"/>
    </row>
    <row r="123" spans="1:53" ht="27.6">
      <c r="A123" t="s">
        <v>416</v>
      </c>
      <c r="B123" t="s">
        <v>231</v>
      </c>
      <c r="C123" s="14">
        <v>155687</v>
      </c>
      <c r="D123" s="15">
        <f t="shared" si="14"/>
        <v>155.68700000000001</v>
      </c>
      <c r="E123" t="s">
        <v>232</v>
      </c>
      <c r="G123" t="s">
        <v>234</v>
      </c>
      <c r="H123" t="s">
        <v>235</v>
      </c>
      <c r="I123" s="3"/>
      <c r="J123" s="3"/>
      <c r="L123" t="s">
        <v>385</v>
      </c>
      <c r="M123">
        <f t="shared" si="15"/>
        <v>0</v>
      </c>
      <c r="N123">
        <v>0</v>
      </c>
      <c r="O123" s="16">
        <v>27.3</v>
      </c>
      <c r="P123" s="16">
        <f>IF(AND(ISNUMBER(O123),O123&lt;&gt;-1,O123&gt;='02_Parameters'!$B$18,O123&lt;='02_Parameters'!$B$19),O123,"")</f>
        <v>27.3</v>
      </c>
      <c r="Q123" s="16">
        <v>27.3</v>
      </c>
      <c r="R123" t="str">
        <f>IF(B123&lt;&gt;"Sensor Snapshot","",IF(O123="","Missing",IF(O123=-1,"Sensor failure sentinel (-1)",IF(OR(O123&lt;'02_Parameters'!$B$18,O123&gt;'02_Parameters'!$B$19),"Out of accepted range","Valid"))))</f>
        <v>Valid</v>
      </c>
      <c r="S123" s="16">
        <v>80.900000000000006</v>
      </c>
      <c r="T123" s="16">
        <f>IF(AND(ISNUMBER(S123),S123&lt;&gt;-1,S123&gt;='02_Parameters'!$B$20,S123&lt;='02_Parameters'!$B$21),S123,"")</f>
        <v>80.900000000000006</v>
      </c>
      <c r="U123" s="16">
        <v>80.900000000000006</v>
      </c>
      <c r="V123" t="str">
        <f>IF(B123&lt;&gt;"Sensor Snapshot","",IF(S123="","Missing",IF(S123=-1,"Sensor failure sentinel (-1)",IF(OR(S123&lt;'02_Parameters'!$B$20,S123&gt;'02_Parameters'!$B$21),"Out of accepted range","Valid"))))</f>
        <v>Valid</v>
      </c>
      <c r="W123" s="16">
        <v>-0.3</v>
      </c>
      <c r="X123" s="16">
        <f t="shared" si="16"/>
        <v>0.3</v>
      </c>
      <c r="Y123" t="str">
        <f t="shared" si="17"/>
        <v>Sign corrected to positive</v>
      </c>
      <c r="Z123" s="16"/>
      <c r="AA123">
        <v>1</v>
      </c>
      <c r="AB123">
        <f>IF(B123&lt;&gt;"Sensor Snapshot","",IF(ISNUMBER(AA123),--(AA123&lt;&gt;0),IF(ISNUMBER(Z123),--(Z123&lt;'02_Parameters'!$B$15),"")))</f>
        <v>1</v>
      </c>
      <c r="AC123">
        <f>IF(B123&lt;&gt;"Sensor Snapshot","",IF(ISNUMBER(X123),--(X123&gt;='02_Parameters'!$B$16),""))</f>
        <v>0</v>
      </c>
      <c r="AD123">
        <v>0</v>
      </c>
      <c r="AE123">
        <f t="shared" si="18"/>
        <v>0</v>
      </c>
      <c r="AF123" s="3" t="str">
        <f t="shared" si="19"/>
        <v>Partial detection only</v>
      </c>
      <c r="AG123" s="16">
        <v>0</v>
      </c>
      <c r="AH123" s="16">
        <f>IF(B123&lt;&gt;"Sensor Snapshot","",IF(ISNUMBER(AG123),IF(AG123&lt;0,"",IF(AG123&gt;10,AG123/'02_Parameters'!$B$17,AG123)),""))</f>
        <v>0</v>
      </c>
      <c r="AI123" t="str">
        <f t="shared" si="20"/>
        <v>Valid</v>
      </c>
      <c r="AJ123">
        <f t="shared" si="21"/>
        <v>0</v>
      </c>
      <c r="AK123">
        <f t="shared" si="22"/>
        <v>0</v>
      </c>
      <c r="AM123">
        <f t="shared" si="23"/>
        <v>0</v>
      </c>
      <c r="AN123">
        <f>IF(B123&lt;&gt;"Sensor Snapshot","",--(N123&gt;='02_Parameters'!$B$13))</f>
        <v>0</v>
      </c>
      <c r="AO123">
        <f>IF(B123&lt;&gt;"Sensor Snapshot","",--(AND(L123="PUMPING",ISNUMBER(AH123),AH123&lt;='02_Parameters'!$B$10)))</f>
        <v>0</v>
      </c>
      <c r="AP123" s="16"/>
      <c r="AQ123" s="16" t="str">
        <f t="shared" si="24"/>
        <v/>
      </c>
      <c r="AR123" s="16" t="str">
        <f t="shared" si="25"/>
        <v/>
      </c>
      <c r="AU123" t="s">
        <v>236</v>
      </c>
      <c r="AV123" t="s">
        <v>237</v>
      </c>
      <c r="AW123" s="3" t="s">
        <v>238</v>
      </c>
      <c r="AX123" s="3">
        <f t="shared" si="26"/>
        <v>100</v>
      </c>
      <c r="AY123" s="3" t="str">
        <f t="shared" si="27"/>
        <v>A</v>
      </c>
      <c r="AZ123" s="3" t="s">
        <v>386</v>
      </c>
      <c r="BA123" s="3"/>
    </row>
    <row r="124" spans="1:53" ht="27.6">
      <c r="A124" t="s">
        <v>417</v>
      </c>
      <c r="B124" t="s">
        <v>231</v>
      </c>
      <c r="C124" s="14">
        <v>160705</v>
      </c>
      <c r="D124" s="15">
        <f t="shared" si="14"/>
        <v>160.70500000000001</v>
      </c>
      <c r="E124" t="s">
        <v>232</v>
      </c>
      <c r="G124" t="s">
        <v>234</v>
      </c>
      <c r="H124" t="s">
        <v>235</v>
      </c>
      <c r="I124" s="3"/>
      <c r="J124" s="3"/>
      <c r="L124" t="s">
        <v>385</v>
      </c>
      <c r="M124">
        <f t="shared" si="15"/>
        <v>0</v>
      </c>
      <c r="N124">
        <v>0</v>
      </c>
      <c r="O124" s="16">
        <v>27.3</v>
      </c>
      <c r="P124" s="16">
        <f>IF(AND(ISNUMBER(O124),O124&lt;&gt;-1,O124&gt;='02_Parameters'!$B$18,O124&lt;='02_Parameters'!$B$19),O124,"")</f>
        <v>27.3</v>
      </c>
      <c r="Q124" s="16">
        <v>27.3</v>
      </c>
      <c r="R124" t="str">
        <f>IF(B124&lt;&gt;"Sensor Snapshot","",IF(O124="","Missing",IF(O124=-1,"Sensor failure sentinel (-1)",IF(OR(O124&lt;'02_Parameters'!$B$18,O124&gt;'02_Parameters'!$B$19),"Out of accepted range","Valid"))))</f>
        <v>Valid</v>
      </c>
      <c r="S124" s="16">
        <v>80.8</v>
      </c>
      <c r="T124" s="16">
        <f>IF(AND(ISNUMBER(S124),S124&lt;&gt;-1,S124&gt;='02_Parameters'!$B$20,S124&lt;='02_Parameters'!$B$21),S124,"")</f>
        <v>80.8</v>
      </c>
      <c r="U124" s="16">
        <v>80.8</v>
      </c>
      <c r="V124" t="str">
        <f>IF(B124&lt;&gt;"Sensor Snapshot","",IF(S124="","Missing",IF(S124=-1,"Sensor failure sentinel (-1)",IF(OR(S124&lt;'02_Parameters'!$B$20,S124&gt;'02_Parameters'!$B$21),"Out of accepted range","Valid"))))</f>
        <v>Valid</v>
      </c>
      <c r="W124" s="16">
        <v>-0.3</v>
      </c>
      <c r="X124" s="16">
        <f t="shared" si="16"/>
        <v>0.3</v>
      </c>
      <c r="Y124" t="str">
        <f t="shared" si="17"/>
        <v>Sign corrected to positive</v>
      </c>
      <c r="Z124" s="16"/>
      <c r="AA124">
        <v>1</v>
      </c>
      <c r="AB124">
        <f>IF(B124&lt;&gt;"Sensor Snapshot","",IF(ISNUMBER(AA124),--(AA124&lt;&gt;0),IF(ISNUMBER(Z124),--(Z124&lt;'02_Parameters'!$B$15),"")))</f>
        <v>1</v>
      </c>
      <c r="AC124">
        <f>IF(B124&lt;&gt;"Sensor Snapshot","",IF(ISNUMBER(X124),--(X124&gt;='02_Parameters'!$B$16),""))</f>
        <v>0</v>
      </c>
      <c r="AD124">
        <v>0</v>
      </c>
      <c r="AE124">
        <f t="shared" si="18"/>
        <v>0</v>
      </c>
      <c r="AF124" s="3" t="str">
        <f t="shared" si="19"/>
        <v>Partial detection only</v>
      </c>
      <c r="AG124" s="16">
        <v>0</v>
      </c>
      <c r="AH124" s="16">
        <f>IF(B124&lt;&gt;"Sensor Snapshot","",IF(ISNUMBER(AG124),IF(AG124&lt;0,"",IF(AG124&gt;10,AG124/'02_Parameters'!$B$17,AG124)),""))</f>
        <v>0</v>
      </c>
      <c r="AI124" t="str">
        <f t="shared" si="20"/>
        <v>Valid</v>
      </c>
      <c r="AJ124">
        <f t="shared" si="21"/>
        <v>0</v>
      </c>
      <c r="AK124">
        <f t="shared" si="22"/>
        <v>0</v>
      </c>
      <c r="AM124">
        <f t="shared" si="23"/>
        <v>0</v>
      </c>
      <c r="AN124">
        <f>IF(B124&lt;&gt;"Sensor Snapshot","",--(N124&gt;='02_Parameters'!$B$13))</f>
        <v>0</v>
      </c>
      <c r="AO124">
        <f>IF(B124&lt;&gt;"Sensor Snapshot","",--(AND(L124="PUMPING",ISNUMBER(AH124),AH124&lt;='02_Parameters'!$B$10)))</f>
        <v>0</v>
      </c>
      <c r="AP124" s="16"/>
      <c r="AQ124" s="16" t="str">
        <f t="shared" si="24"/>
        <v/>
      </c>
      <c r="AR124" s="16" t="str">
        <f t="shared" si="25"/>
        <v/>
      </c>
      <c r="AU124" t="s">
        <v>236</v>
      </c>
      <c r="AV124" t="s">
        <v>237</v>
      </c>
      <c r="AW124" s="3" t="s">
        <v>238</v>
      </c>
      <c r="AX124" s="3">
        <f t="shared" si="26"/>
        <v>100</v>
      </c>
      <c r="AY124" s="3" t="str">
        <f t="shared" si="27"/>
        <v>A</v>
      </c>
      <c r="AZ124" s="3" t="s">
        <v>386</v>
      </c>
      <c r="BA124" s="3"/>
    </row>
    <row r="125" spans="1:53" ht="27.6">
      <c r="A125" t="s">
        <v>418</v>
      </c>
      <c r="B125" t="s">
        <v>231</v>
      </c>
      <c r="C125" s="14">
        <v>165724</v>
      </c>
      <c r="D125" s="15">
        <f t="shared" si="14"/>
        <v>165.72399999999999</v>
      </c>
      <c r="E125" t="s">
        <v>232</v>
      </c>
      <c r="G125" t="s">
        <v>234</v>
      </c>
      <c r="H125" t="s">
        <v>235</v>
      </c>
      <c r="I125" s="3"/>
      <c r="J125" s="3"/>
      <c r="L125" t="s">
        <v>385</v>
      </c>
      <c r="M125">
        <f t="shared" si="15"/>
        <v>0</v>
      </c>
      <c r="N125">
        <v>0</v>
      </c>
      <c r="O125" s="16">
        <v>27.3</v>
      </c>
      <c r="P125" s="16">
        <f>IF(AND(ISNUMBER(O125),O125&lt;&gt;-1,O125&gt;='02_Parameters'!$B$18,O125&lt;='02_Parameters'!$B$19),O125,"")</f>
        <v>27.3</v>
      </c>
      <c r="Q125" s="16">
        <v>27.3</v>
      </c>
      <c r="R125" t="str">
        <f>IF(B125&lt;&gt;"Sensor Snapshot","",IF(O125="","Missing",IF(O125=-1,"Sensor failure sentinel (-1)",IF(OR(O125&lt;'02_Parameters'!$B$18,O125&gt;'02_Parameters'!$B$19),"Out of accepted range","Valid"))))</f>
        <v>Valid</v>
      </c>
      <c r="S125" s="16">
        <v>80.8</v>
      </c>
      <c r="T125" s="16">
        <f>IF(AND(ISNUMBER(S125),S125&lt;&gt;-1,S125&gt;='02_Parameters'!$B$20,S125&lt;='02_Parameters'!$B$21),S125,"")</f>
        <v>80.8</v>
      </c>
      <c r="U125" s="16">
        <v>80.8</v>
      </c>
      <c r="V125" t="str">
        <f>IF(B125&lt;&gt;"Sensor Snapshot","",IF(S125="","Missing",IF(S125=-1,"Sensor failure sentinel (-1)",IF(OR(S125&lt;'02_Parameters'!$B$20,S125&gt;'02_Parameters'!$B$21),"Out of accepted range","Valid"))))</f>
        <v>Valid</v>
      </c>
      <c r="W125" s="16">
        <v>-0.2</v>
      </c>
      <c r="X125" s="16">
        <f t="shared" si="16"/>
        <v>0.2</v>
      </c>
      <c r="Y125" t="str">
        <f t="shared" si="17"/>
        <v>Sign corrected to positive</v>
      </c>
      <c r="Z125" s="16"/>
      <c r="AA125">
        <v>1</v>
      </c>
      <c r="AB125">
        <f>IF(B125&lt;&gt;"Sensor Snapshot","",IF(ISNUMBER(AA125),--(AA125&lt;&gt;0),IF(ISNUMBER(Z125),--(Z125&lt;'02_Parameters'!$B$15),"")))</f>
        <v>1</v>
      </c>
      <c r="AC125">
        <f>IF(B125&lt;&gt;"Sensor Snapshot","",IF(ISNUMBER(X125),--(X125&gt;='02_Parameters'!$B$16),""))</f>
        <v>0</v>
      </c>
      <c r="AD125">
        <v>0</v>
      </c>
      <c r="AE125">
        <f t="shared" si="18"/>
        <v>0</v>
      </c>
      <c r="AF125" s="3" t="str">
        <f t="shared" si="19"/>
        <v>Partial detection only</v>
      </c>
      <c r="AG125" s="16">
        <v>0</v>
      </c>
      <c r="AH125" s="16">
        <f>IF(B125&lt;&gt;"Sensor Snapshot","",IF(ISNUMBER(AG125),IF(AG125&lt;0,"",IF(AG125&gt;10,AG125/'02_Parameters'!$B$17,AG125)),""))</f>
        <v>0</v>
      </c>
      <c r="AI125" t="str">
        <f t="shared" si="20"/>
        <v>Valid</v>
      </c>
      <c r="AJ125">
        <f t="shared" si="21"/>
        <v>0</v>
      </c>
      <c r="AK125">
        <f t="shared" si="22"/>
        <v>0</v>
      </c>
      <c r="AM125">
        <f t="shared" si="23"/>
        <v>0</v>
      </c>
      <c r="AN125">
        <f>IF(B125&lt;&gt;"Sensor Snapshot","",--(N125&gt;='02_Parameters'!$B$13))</f>
        <v>0</v>
      </c>
      <c r="AO125">
        <f>IF(B125&lt;&gt;"Sensor Snapshot","",--(AND(L125="PUMPING",ISNUMBER(AH125),AH125&lt;='02_Parameters'!$B$10)))</f>
        <v>0</v>
      </c>
      <c r="AP125" s="16"/>
      <c r="AQ125" s="16" t="str">
        <f t="shared" si="24"/>
        <v/>
      </c>
      <c r="AR125" s="16" t="str">
        <f t="shared" si="25"/>
        <v/>
      </c>
      <c r="AU125" t="s">
        <v>236</v>
      </c>
      <c r="AV125" t="s">
        <v>237</v>
      </c>
      <c r="AW125" s="3" t="s">
        <v>238</v>
      </c>
      <c r="AX125" s="3">
        <f t="shared" si="26"/>
        <v>100</v>
      </c>
      <c r="AY125" s="3" t="str">
        <f t="shared" si="27"/>
        <v>A</v>
      </c>
      <c r="AZ125" s="3" t="s">
        <v>386</v>
      </c>
      <c r="BA125" s="3"/>
    </row>
    <row r="126" spans="1:53" ht="27.6">
      <c r="A126" t="s">
        <v>419</v>
      </c>
      <c r="B126" t="s">
        <v>231</v>
      </c>
      <c r="C126" s="14">
        <v>170741</v>
      </c>
      <c r="D126" s="15">
        <f t="shared" si="14"/>
        <v>170.74100000000001</v>
      </c>
      <c r="E126" t="s">
        <v>232</v>
      </c>
      <c r="G126" t="s">
        <v>234</v>
      </c>
      <c r="H126" t="s">
        <v>235</v>
      </c>
      <c r="I126" s="3"/>
      <c r="J126" s="3"/>
      <c r="L126" t="s">
        <v>385</v>
      </c>
      <c r="M126">
        <f t="shared" si="15"/>
        <v>0</v>
      </c>
      <c r="N126">
        <v>0</v>
      </c>
      <c r="O126" s="16">
        <v>27.3</v>
      </c>
      <c r="P126" s="16">
        <f>IF(AND(ISNUMBER(O126),O126&lt;&gt;-1,O126&gt;='02_Parameters'!$B$18,O126&lt;='02_Parameters'!$B$19),O126,"")</f>
        <v>27.3</v>
      </c>
      <c r="Q126" s="16">
        <v>27.3</v>
      </c>
      <c r="R126" t="str">
        <f>IF(B126&lt;&gt;"Sensor Snapshot","",IF(O126="","Missing",IF(O126=-1,"Sensor failure sentinel (-1)",IF(OR(O126&lt;'02_Parameters'!$B$18,O126&gt;'02_Parameters'!$B$19),"Out of accepted range","Valid"))))</f>
        <v>Valid</v>
      </c>
      <c r="S126" s="16">
        <v>80.900000000000006</v>
      </c>
      <c r="T126" s="16">
        <f>IF(AND(ISNUMBER(S126),S126&lt;&gt;-1,S126&gt;='02_Parameters'!$B$20,S126&lt;='02_Parameters'!$B$21),S126,"")</f>
        <v>80.900000000000006</v>
      </c>
      <c r="U126" s="16">
        <v>80.900000000000006</v>
      </c>
      <c r="V126" t="str">
        <f>IF(B126&lt;&gt;"Sensor Snapshot","",IF(S126="","Missing",IF(S126=-1,"Sensor failure sentinel (-1)",IF(OR(S126&lt;'02_Parameters'!$B$20,S126&gt;'02_Parameters'!$B$21),"Out of accepted range","Valid"))))</f>
        <v>Valid</v>
      </c>
      <c r="W126" s="16">
        <v>-0.1</v>
      </c>
      <c r="X126" s="16">
        <f t="shared" si="16"/>
        <v>0.1</v>
      </c>
      <c r="Y126" t="str">
        <f t="shared" si="17"/>
        <v>Sign corrected to positive</v>
      </c>
      <c r="Z126" s="16"/>
      <c r="AA126">
        <v>1</v>
      </c>
      <c r="AB126">
        <f>IF(B126&lt;&gt;"Sensor Snapshot","",IF(ISNUMBER(AA126),--(AA126&lt;&gt;0),IF(ISNUMBER(Z126),--(Z126&lt;'02_Parameters'!$B$15),"")))</f>
        <v>1</v>
      </c>
      <c r="AC126">
        <f>IF(B126&lt;&gt;"Sensor Snapshot","",IF(ISNUMBER(X126),--(X126&gt;='02_Parameters'!$B$16),""))</f>
        <v>0</v>
      </c>
      <c r="AD126">
        <v>0</v>
      </c>
      <c r="AE126">
        <f t="shared" si="18"/>
        <v>0</v>
      </c>
      <c r="AF126" s="3" t="str">
        <f t="shared" si="19"/>
        <v>Partial detection only</v>
      </c>
      <c r="AG126" s="16">
        <v>0</v>
      </c>
      <c r="AH126" s="16">
        <f>IF(B126&lt;&gt;"Sensor Snapshot","",IF(ISNUMBER(AG126),IF(AG126&lt;0,"",IF(AG126&gt;10,AG126/'02_Parameters'!$B$17,AG126)),""))</f>
        <v>0</v>
      </c>
      <c r="AI126" t="str">
        <f t="shared" si="20"/>
        <v>Valid</v>
      </c>
      <c r="AJ126">
        <f t="shared" si="21"/>
        <v>0</v>
      </c>
      <c r="AK126">
        <f t="shared" si="22"/>
        <v>0</v>
      </c>
      <c r="AM126">
        <f t="shared" si="23"/>
        <v>0</v>
      </c>
      <c r="AN126">
        <f>IF(B126&lt;&gt;"Sensor Snapshot","",--(N126&gt;='02_Parameters'!$B$13))</f>
        <v>0</v>
      </c>
      <c r="AO126">
        <f>IF(B126&lt;&gt;"Sensor Snapshot","",--(AND(L126="PUMPING",ISNUMBER(AH126),AH126&lt;='02_Parameters'!$B$10)))</f>
        <v>0</v>
      </c>
      <c r="AP126" s="16"/>
      <c r="AQ126" s="16" t="str">
        <f t="shared" si="24"/>
        <v/>
      </c>
      <c r="AR126" s="16" t="str">
        <f t="shared" si="25"/>
        <v/>
      </c>
      <c r="AU126" t="s">
        <v>236</v>
      </c>
      <c r="AV126" t="s">
        <v>237</v>
      </c>
      <c r="AW126" s="3" t="s">
        <v>238</v>
      </c>
      <c r="AX126" s="3">
        <f t="shared" si="26"/>
        <v>100</v>
      </c>
      <c r="AY126" s="3" t="str">
        <f t="shared" si="27"/>
        <v>A</v>
      </c>
      <c r="AZ126" s="3" t="s">
        <v>386</v>
      </c>
      <c r="BA126" s="3"/>
    </row>
    <row r="127" spans="1:53" ht="27.6">
      <c r="A127" t="s">
        <v>420</v>
      </c>
      <c r="B127" t="s">
        <v>231</v>
      </c>
      <c r="C127" s="14">
        <v>175761</v>
      </c>
      <c r="D127" s="15">
        <f t="shared" si="14"/>
        <v>175.761</v>
      </c>
      <c r="E127" t="s">
        <v>232</v>
      </c>
      <c r="G127" t="s">
        <v>234</v>
      </c>
      <c r="H127" t="s">
        <v>235</v>
      </c>
      <c r="I127" s="3"/>
      <c r="J127" s="3"/>
      <c r="L127" t="s">
        <v>385</v>
      </c>
      <c r="M127">
        <f t="shared" si="15"/>
        <v>0</v>
      </c>
      <c r="N127">
        <v>0</v>
      </c>
      <c r="O127" s="16">
        <v>27.3</v>
      </c>
      <c r="P127" s="16">
        <f>IF(AND(ISNUMBER(O127),O127&lt;&gt;-1,O127&gt;='02_Parameters'!$B$18,O127&lt;='02_Parameters'!$B$19),O127,"")</f>
        <v>27.3</v>
      </c>
      <c r="Q127" s="16">
        <v>27.3</v>
      </c>
      <c r="R127" t="str">
        <f>IF(B127&lt;&gt;"Sensor Snapshot","",IF(O127="","Missing",IF(O127=-1,"Sensor failure sentinel (-1)",IF(OR(O127&lt;'02_Parameters'!$B$18,O127&gt;'02_Parameters'!$B$19),"Out of accepted range","Valid"))))</f>
        <v>Valid</v>
      </c>
      <c r="S127" s="16">
        <v>80.900000000000006</v>
      </c>
      <c r="T127" s="16">
        <f>IF(AND(ISNUMBER(S127),S127&lt;&gt;-1,S127&gt;='02_Parameters'!$B$20,S127&lt;='02_Parameters'!$B$21),S127,"")</f>
        <v>80.900000000000006</v>
      </c>
      <c r="U127" s="16">
        <v>80.900000000000006</v>
      </c>
      <c r="V127" t="str">
        <f>IF(B127&lt;&gt;"Sensor Snapshot","",IF(S127="","Missing",IF(S127=-1,"Sensor failure sentinel (-1)",IF(OR(S127&lt;'02_Parameters'!$B$20,S127&gt;'02_Parameters'!$B$21),"Out of accepted range","Valid"))))</f>
        <v>Valid</v>
      </c>
      <c r="W127" s="16">
        <v>-0.1</v>
      </c>
      <c r="X127" s="16">
        <f t="shared" si="16"/>
        <v>0.1</v>
      </c>
      <c r="Y127" t="str">
        <f t="shared" si="17"/>
        <v>Sign corrected to positive</v>
      </c>
      <c r="Z127" s="16"/>
      <c r="AA127">
        <v>1</v>
      </c>
      <c r="AB127">
        <f>IF(B127&lt;&gt;"Sensor Snapshot","",IF(ISNUMBER(AA127),--(AA127&lt;&gt;0),IF(ISNUMBER(Z127),--(Z127&lt;'02_Parameters'!$B$15),"")))</f>
        <v>1</v>
      </c>
      <c r="AC127">
        <f>IF(B127&lt;&gt;"Sensor Snapshot","",IF(ISNUMBER(X127),--(X127&gt;='02_Parameters'!$B$16),""))</f>
        <v>0</v>
      </c>
      <c r="AD127">
        <v>0</v>
      </c>
      <c r="AE127">
        <f t="shared" si="18"/>
        <v>0</v>
      </c>
      <c r="AF127" s="3" t="str">
        <f t="shared" si="19"/>
        <v>Partial detection only</v>
      </c>
      <c r="AG127" s="16">
        <v>0</v>
      </c>
      <c r="AH127" s="16">
        <f>IF(B127&lt;&gt;"Sensor Snapshot","",IF(ISNUMBER(AG127),IF(AG127&lt;0,"",IF(AG127&gt;10,AG127/'02_Parameters'!$B$17,AG127)),""))</f>
        <v>0</v>
      </c>
      <c r="AI127" t="str">
        <f t="shared" si="20"/>
        <v>Valid</v>
      </c>
      <c r="AJ127">
        <f t="shared" si="21"/>
        <v>0</v>
      </c>
      <c r="AK127">
        <f t="shared" si="22"/>
        <v>0</v>
      </c>
      <c r="AM127">
        <f t="shared" si="23"/>
        <v>0</v>
      </c>
      <c r="AN127">
        <f>IF(B127&lt;&gt;"Sensor Snapshot","",--(N127&gt;='02_Parameters'!$B$13))</f>
        <v>0</v>
      </c>
      <c r="AO127">
        <f>IF(B127&lt;&gt;"Sensor Snapshot","",--(AND(L127="PUMPING",ISNUMBER(AH127),AH127&lt;='02_Parameters'!$B$10)))</f>
        <v>0</v>
      </c>
      <c r="AP127" s="16"/>
      <c r="AQ127" s="16" t="str">
        <f t="shared" si="24"/>
        <v/>
      </c>
      <c r="AR127" s="16" t="str">
        <f t="shared" si="25"/>
        <v/>
      </c>
      <c r="AU127" t="s">
        <v>236</v>
      </c>
      <c r="AV127" t="s">
        <v>237</v>
      </c>
      <c r="AW127" s="3" t="s">
        <v>238</v>
      </c>
      <c r="AX127" s="3">
        <f t="shared" si="26"/>
        <v>100</v>
      </c>
      <c r="AY127" s="3" t="str">
        <f t="shared" si="27"/>
        <v>A</v>
      </c>
      <c r="AZ127" s="3" t="s">
        <v>386</v>
      </c>
      <c r="BA127" s="3"/>
    </row>
    <row r="128" spans="1:53" ht="27.6">
      <c r="A128" t="s">
        <v>421</v>
      </c>
      <c r="B128" t="s">
        <v>231</v>
      </c>
      <c r="C128" s="14">
        <v>180779</v>
      </c>
      <c r="D128" s="15">
        <f t="shared" si="14"/>
        <v>180.779</v>
      </c>
      <c r="E128" t="s">
        <v>232</v>
      </c>
      <c r="G128" t="s">
        <v>234</v>
      </c>
      <c r="H128" t="s">
        <v>235</v>
      </c>
      <c r="I128" s="3"/>
      <c r="J128" s="3"/>
      <c r="L128" t="s">
        <v>385</v>
      </c>
      <c r="M128">
        <f t="shared" si="15"/>
        <v>0</v>
      </c>
      <c r="N128">
        <v>0</v>
      </c>
      <c r="O128" s="16">
        <v>27.3</v>
      </c>
      <c r="P128" s="16">
        <f>IF(AND(ISNUMBER(O128),O128&lt;&gt;-1,O128&gt;='02_Parameters'!$B$18,O128&lt;='02_Parameters'!$B$19),O128,"")</f>
        <v>27.3</v>
      </c>
      <c r="Q128" s="16">
        <v>27.3</v>
      </c>
      <c r="R128" t="str">
        <f>IF(B128&lt;&gt;"Sensor Snapshot","",IF(O128="","Missing",IF(O128=-1,"Sensor failure sentinel (-1)",IF(OR(O128&lt;'02_Parameters'!$B$18,O128&gt;'02_Parameters'!$B$19),"Out of accepted range","Valid"))))</f>
        <v>Valid</v>
      </c>
      <c r="S128" s="16">
        <v>80.8</v>
      </c>
      <c r="T128" s="16">
        <f>IF(AND(ISNUMBER(S128),S128&lt;&gt;-1,S128&gt;='02_Parameters'!$B$20,S128&lt;='02_Parameters'!$B$21),S128,"")</f>
        <v>80.8</v>
      </c>
      <c r="U128" s="16">
        <v>80.8</v>
      </c>
      <c r="V128" t="str">
        <f>IF(B128&lt;&gt;"Sensor Snapshot","",IF(S128="","Missing",IF(S128=-1,"Sensor failure sentinel (-1)",IF(OR(S128&lt;'02_Parameters'!$B$20,S128&gt;'02_Parameters'!$B$21),"Out of accepted range","Valid"))))</f>
        <v>Valid</v>
      </c>
      <c r="W128" s="16">
        <v>-0.2</v>
      </c>
      <c r="X128" s="16">
        <f t="shared" si="16"/>
        <v>0.2</v>
      </c>
      <c r="Y128" t="str">
        <f t="shared" si="17"/>
        <v>Sign corrected to positive</v>
      </c>
      <c r="Z128" s="16"/>
      <c r="AA128">
        <v>1</v>
      </c>
      <c r="AB128">
        <f>IF(B128&lt;&gt;"Sensor Snapshot","",IF(ISNUMBER(AA128),--(AA128&lt;&gt;0),IF(ISNUMBER(Z128),--(Z128&lt;'02_Parameters'!$B$15),"")))</f>
        <v>1</v>
      </c>
      <c r="AC128">
        <f>IF(B128&lt;&gt;"Sensor Snapshot","",IF(ISNUMBER(X128),--(X128&gt;='02_Parameters'!$B$16),""))</f>
        <v>0</v>
      </c>
      <c r="AD128">
        <v>0</v>
      </c>
      <c r="AE128">
        <f t="shared" si="18"/>
        <v>0</v>
      </c>
      <c r="AF128" s="3" t="str">
        <f t="shared" si="19"/>
        <v>Partial detection only</v>
      </c>
      <c r="AG128" s="16">
        <v>0</v>
      </c>
      <c r="AH128" s="16">
        <f>IF(B128&lt;&gt;"Sensor Snapshot","",IF(ISNUMBER(AG128),IF(AG128&lt;0,"",IF(AG128&gt;10,AG128/'02_Parameters'!$B$17,AG128)),""))</f>
        <v>0</v>
      </c>
      <c r="AI128" t="str">
        <f t="shared" si="20"/>
        <v>Valid</v>
      </c>
      <c r="AJ128">
        <f t="shared" si="21"/>
        <v>0</v>
      </c>
      <c r="AK128">
        <f t="shared" si="22"/>
        <v>0</v>
      </c>
      <c r="AM128">
        <f t="shared" si="23"/>
        <v>0</v>
      </c>
      <c r="AN128">
        <f>IF(B128&lt;&gt;"Sensor Snapshot","",--(N128&gt;='02_Parameters'!$B$13))</f>
        <v>0</v>
      </c>
      <c r="AO128">
        <f>IF(B128&lt;&gt;"Sensor Snapshot","",--(AND(L128="PUMPING",ISNUMBER(AH128),AH128&lt;='02_Parameters'!$B$10)))</f>
        <v>0</v>
      </c>
      <c r="AP128" s="16"/>
      <c r="AQ128" s="16" t="str">
        <f t="shared" si="24"/>
        <v/>
      </c>
      <c r="AR128" s="16" t="str">
        <f t="shared" si="25"/>
        <v/>
      </c>
      <c r="AU128" t="s">
        <v>236</v>
      </c>
      <c r="AV128" t="s">
        <v>237</v>
      </c>
      <c r="AW128" s="3" t="s">
        <v>238</v>
      </c>
      <c r="AX128" s="3">
        <f t="shared" si="26"/>
        <v>100</v>
      </c>
      <c r="AY128" s="3" t="str">
        <f t="shared" si="27"/>
        <v>A</v>
      </c>
      <c r="AZ128" s="3" t="s">
        <v>386</v>
      </c>
      <c r="BA128" s="3"/>
    </row>
    <row r="129" spans="1:53" ht="27.6">
      <c r="A129" t="s">
        <v>422</v>
      </c>
      <c r="B129" t="s">
        <v>231</v>
      </c>
      <c r="C129" s="14">
        <v>185798</v>
      </c>
      <c r="D129" s="15">
        <f t="shared" si="14"/>
        <v>185.798</v>
      </c>
      <c r="E129" t="s">
        <v>232</v>
      </c>
      <c r="G129" t="s">
        <v>234</v>
      </c>
      <c r="H129" t="s">
        <v>235</v>
      </c>
      <c r="I129" s="3"/>
      <c r="J129" s="3"/>
      <c r="L129" t="s">
        <v>385</v>
      </c>
      <c r="M129">
        <f t="shared" si="15"/>
        <v>0</v>
      </c>
      <c r="N129">
        <v>0</v>
      </c>
      <c r="O129" s="16">
        <v>27.3</v>
      </c>
      <c r="P129" s="16">
        <f>IF(AND(ISNUMBER(O129),O129&lt;&gt;-1,O129&gt;='02_Parameters'!$B$18,O129&lt;='02_Parameters'!$B$19),O129,"")</f>
        <v>27.3</v>
      </c>
      <c r="Q129" s="16">
        <v>27.3</v>
      </c>
      <c r="R129" t="str">
        <f>IF(B129&lt;&gt;"Sensor Snapshot","",IF(O129="","Missing",IF(O129=-1,"Sensor failure sentinel (-1)",IF(OR(O129&lt;'02_Parameters'!$B$18,O129&gt;'02_Parameters'!$B$19),"Out of accepted range","Valid"))))</f>
        <v>Valid</v>
      </c>
      <c r="S129" s="16">
        <v>80.8</v>
      </c>
      <c r="T129" s="16">
        <f>IF(AND(ISNUMBER(S129),S129&lt;&gt;-1,S129&gt;='02_Parameters'!$B$20,S129&lt;='02_Parameters'!$B$21),S129,"")</f>
        <v>80.8</v>
      </c>
      <c r="U129" s="16">
        <v>80.8</v>
      </c>
      <c r="V129" t="str">
        <f>IF(B129&lt;&gt;"Sensor Snapshot","",IF(S129="","Missing",IF(S129=-1,"Sensor failure sentinel (-1)",IF(OR(S129&lt;'02_Parameters'!$B$20,S129&gt;'02_Parameters'!$B$21),"Out of accepted range","Valid"))))</f>
        <v>Valid</v>
      </c>
      <c r="W129" s="16">
        <v>-0.1</v>
      </c>
      <c r="X129" s="16">
        <f t="shared" si="16"/>
        <v>0.1</v>
      </c>
      <c r="Y129" t="str">
        <f t="shared" si="17"/>
        <v>Sign corrected to positive</v>
      </c>
      <c r="Z129" s="16"/>
      <c r="AA129">
        <v>1</v>
      </c>
      <c r="AB129">
        <f>IF(B129&lt;&gt;"Sensor Snapshot","",IF(ISNUMBER(AA129),--(AA129&lt;&gt;0),IF(ISNUMBER(Z129),--(Z129&lt;'02_Parameters'!$B$15),"")))</f>
        <v>1</v>
      </c>
      <c r="AC129">
        <f>IF(B129&lt;&gt;"Sensor Snapshot","",IF(ISNUMBER(X129),--(X129&gt;='02_Parameters'!$B$16),""))</f>
        <v>0</v>
      </c>
      <c r="AD129">
        <v>0</v>
      </c>
      <c r="AE129">
        <f t="shared" si="18"/>
        <v>0</v>
      </c>
      <c r="AF129" s="3" t="str">
        <f t="shared" si="19"/>
        <v>Partial detection only</v>
      </c>
      <c r="AG129" s="16">
        <v>0</v>
      </c>
      <c r="AH129" s="16">
        <f>IF(B129&lt;&gt;"Sensor Snapshot","",IF(ISNUMBER(AG129),IF(AG129&lt;0,"",IF(AG129&gt;10,AG129/'02_Parameters'!$B$17,AG129)),""))</f>
        <v>0</v>
      </c>
      <c r="AI129" t="str">
        <f t="shared" si="20"/>
        <v>Valid</v>
      </c>
      <c r="AJ129">
        <f t="shared" si="21"/>
        <v>0</v>
      </c>
      <c r="AK129">
        <f t="shared" si="22"/>
        <v>0</v>
      </c>
      <c r="AM129">
        <f t="shared" si="23"/>
        <v>0</v>
      </c>
      <c r="AN129">
        <f>IF(B129&lt;&gt;"Sensor Snapshot","",--(N129&gt;='02_Parameters'!$B$13))</f>
        <v>0</v>
      </c>
      <c r="AO129">
        <f>IF(B129&lt;&gt;"Sensor Snapshot","",--(AND(L129="PUMPING",ISNUMBER(AH129),AH129&lt;='02_Parameters'!$B$10)))</f>
        <v>0</v>
      </c>
      <c r="AP129" s="16"/>
      <c r="AQ129" s="16" t="str">
        <f t="shared" si="24"/>
        <v/>
      </c>
      <c r="AR129" s="16" t="str">
        <f t="shared" si="25"/>
        <v/>
      </c>
      <c r="AU129" t="s">
        <v>236</v>
      </c>
      <c r="AV129" t="s">
        <v>237</v>
      </c>
      <c r="AW129" s="3" t="s">
        <v>238</v>
      </c>
      <c r="AX129" s="3">
        <f t="shared" si="26"/>
        <v>100</v>
      </c>
      <c r="AY129" s="3" t="str">
        <f t="shared" si="27"/>
        <v>A</v>
      </c>
      <c r="AZ129" s="3" t="s">
        <v>386</v>
      </c>
      <c r="BA129" s="3"/>
    </row>
    <row r="130" spans="1:53" ht="27.6">
      <c r="A130" t="s">
        <v>423</v>
      </c>
      <c r="B130" t="s">
        <v>231</v>
      </c>
      <c r="C130" s="14">
        <v>190816</v>
      </c>
      <c r="D130" s="15">
        <f t="shared" si="14"/>
        <v>190.816</v>
      </c>
      <c r="E130" t="s">
        <v>232</v>
      </c>
      <c r="G130" t="s">
        <v>234</v>
      </c>
      <c r="H130" t="s">
        <v>235</v>
      </c>
      <c r="I130" s="3"/>
      <c r="J130" s="3"/>
      <c r="L130" t="s">
        <v>385</v>
      </c>
      <c r="M130">
        <f t="shared" si="15"/>
        <v>0</v>
      </c>
      <c r="N130">
        <v>0</v>
      </c>
      <c r="O130" s="16">
        <v>27.3</v>
      </c>
      <c r="P130" s="16">
        <f>IF(AND(ISNUMBER(O130),O130&lt;&gt;-1,O130&gt;='02_Parameters'!$B$18,O130&lt;='02_Parameters'!$B$19),O130,"")</f>
        <v>27.3</v>
      </c>
      <c r="Q130" s="16">
        <v>27.3</v>
      </c>
      <c r="R130" t="str">
        <f>IF(B130&lt;&gt;"Sensor Snapshot","",IF(O130="","Missing",IF(O130=-1,"Sensor failure sentinel (-1)",IF(OR(O130&lt;'02_Parameters'!$B$18,O130&gt;'02_Parameters'!$B$19),"Out of accepted range","Valid"))))</f>
        <v>Valid</v>
      </c>
      <c r="S130" s="16">
        <v>80.8</v>
      </c>
      <c r="T130" s="16">
        <f>IF(AND(ISNUMBER(S130),S130&lt;&gt;-1,S130&gt;='02_Parameters'!$B$20,S130&lt;='02_Parameters'!$B$21),S130,"")</f>
        <v>80.8</v>
      </c>
      <c r="U130" s="16">
        <v>80.8</v>
      </c>
      <c r="V130" t="str">
        <f>IF(B130&lt;&gt;"Sensor Snapshot","",IF(S130="","Missing",IF(S130=-1,"Sensor failure sentinel (-1)",IF(OR(S130&lt;'02_Parameters'!$B$20,S130&gt;'02_Parameters'!$B$21),"Out of accepted range","Valid"))))</f>
        <v>Valid</v>
      </c>
      <c r="W130" s="16">
        <v>-0.2</v>
      </c>
      <c r="X130" s="16">
        <f t="shared" si="16"/>
        <v>0.2</v>
      </c>
      <c r="Y130" t="str">
        <f t="shared" si="17"/>
        <v>Sign corrected to positive</v>
      </c>
      <c r="Z130" s="16"/>
      <c r="AA130">
        <v>1</v>
      </c>
      <c r="AB130">
        <f>IF(B130&lt;&gt;"Sensor Snapshot","",IF(ISNUMBER(AA130),--(AA130&lt;&gt;0),IF(ISNUMBER(Z130),--(Z130&lt;'02_Parameters'!$B$15),"")))</f>
        <v>1</v>
      </c>
      <c r="AC130">
        <f>IF(B130&lt;&gt;"Sensor Snapshot","",IF(ISNUMBER(X130),--(X130&gt;='02_Parameters'!$B$16),""))</f>
        <v>0</v>
      </c>
      <c r="AD130">
        <v>0</v>
      </c>
      <c r="AE130">
        <f t="shared" si="18"/>
        <v>0</v>
      </c>
      <c r="AF130" s="3" t="str">
        <f t="shared" si="19"/>
        <v>Partial detection only</v>
      </c>
      <c r="AG130" s="16">
        <v>0</v>
      </c>
      <c r="AH130" s="16">
        <f>IF(B130&lt;&gt;"Sensor Snapshot","",IF(ISNUMBER(AG130),IF(AG130&lt;0,"",IF(AG130&gt;10,AG130/'02_Parameters'!$B$17,AG130)),""))</f>
        <v>0</v>
      </c>
      <c r="AI130" t="str">
        <f t="shared" si="20"/>
        <v>Valid</v>
      </c>
      <c r="AJ130">
        <f t="shared" si="21"/>
        <v>0</v>
      </c>
      <c r="AK130">
        <f t="shared" si="22"/>
        <v>0</v>
      </c>
      <c r="AM130">
        <f t="shared" si="23"/>
        <v>0</v>
      </c>
      <c r="AN130">
        <f>IF(B130&lt;&gt;"Sensor Snapshot","",--(N130&gt;='02_Parameters'!$B$13))</f>
        <v>0</v>
      </c>
      <c r="AO130">
        <f>IF(B130&lt;&gt;"Sensor Snapshot","",--(AND(L130="PUMPING",ISNUMBER(AH130),AH130&lt;='02_Parameters'!$B$10)))</f>
        <v>0</v>
      </c>
      <c r="AP130" s="16"/>
      <c r="AQ130" s="16" t="str">
        <f t="shared" si="24"/>
        <v/>
      </c>
      <c r="AR130" s="16" t="str">
        <f t="shared" si="25"/>
        <v/>
      </c>
      <c r="AU130" t="s">
        <v>236</v>
      </c>
      <c r="AV130" t="s">
        <v>237</v>
      </c>
      <c r="AW130" s="3" t="s">
        <v>238</v>
      </c>
      <c r="AX130" s="3">
        <f t="shared" si="26"/>
        <v>100</v>
      </c>
      <c r="AY130" s="3" t="str">
        <f t="shared" si="27"/>
        <v>A</v>
      </c>
      <c r="AZ130" s="3" t="s">
        <v>386</v>
      </c>
      <c r="BA130" s="3"/>
    </row>
    <row r="131" spans="1:53" ht="27.6">
      <c r="A131" t="s">
        <v>424</v>
      </c>
      <c r="B131" t="s">
        <v>231</v>
      </c>
      <c r="C131" s="14">
        <v>195835</v>
      </c>
      <c r="D131" s="15">
        <f t="shared" ref="D131:D194" si="28">IF(ISNUMBER(C131),C131/1000,"")</f>
        <v>195.83500000000001</v>
      </c>
      <c r="E131" t="s">
        <v>232</v>
      </c>
      <c r="G131" t="s">
        <v>234</v>
      </c>
      <c r="H131" t="s">
        <v>235</v>
      </c>
      <c r="I131" s="3"/>
      <c r="J131" s="3"/>
      <c r="L131" t="s">
        <v>385</v>
      </c>
      <c r="M131">
        <f t="shared" ref="M131:M194" si="29">IF(L131="IDLE",0,IF(L131="FIRE_DETECTED",1,IF(L131="PUMPING",2,IF(L131="BLOCKED",3,IF(L131="HUMIDIFYING",4,IF(L131="STABLE",5,""))))))</f>
        <v>0</v>
      </c>
      <c r="N131">
        <v>0</v>
      </c>
      <c r="O131" s="16">
        <v>27.3</v>
      </c>
      <c r="P131" s="16">
        <f>IF(AND(ISNUMBER(O131),O131&lt;&gt;-1,O131&gt;='02_Parameters'!$B$18,O131&lt;='02_Parameters'!$B$19),O131,"")</f>
        <v>27.3</v>
      </c>
      <c r="Q131" s="16">
        <v>27.3</v>
      </c>
      <c r="R131" t="str">
        <f>IF(B131&lt;&gt;"Sensor Snapshot","",IF(O131="","Missing",IF(O131=-1,"Sensor failure sentinel (-1)",IF(OR(O131&lt;'02_Parameters'!$B$18,O131&gt;'02_Parameters'!$B$19),"Out of accepted range","Valid"))))</f>
        <v>Valid</v>
      </c>
      <c r="S131" s="16">
        <v>80.7</v>
      </c>
      <c r="T131" s="16">
        <f>IF(AND(ISNUMBER(S131),S131&lt;&gt;-1,S131&gt;='02_Parameters'!$B$20,S131&lt;='02_Parameters'!$B$21),S131,"")</f>
        <v>80.7</v>
      </c>
      <c r="U131" s="16">
        <v>80.7</v>
      </c>
      <c r="V131" t="str">
        <f>IF(B131&lt;&gt;"Sensor Snapshot","",IF(S131="","Missing",IF(S131=-1,"Sensor failure sentinel (-1)",IF(OR(S131&lt;'02_Parameters'!$B$20,S131&gt;'02_Parameters'!$B$21),"Out of accepted range","Valid"))))</f>
        <v>Valid</v>
      </c>
      <c r="W131" s="16">
        <v>-0.2</v>
      </c>
      <c r="X131" s="16">
        <f t="shared" ref="X131:X194" si="30">IF(ISNUMBER(W131),ABS(W131),"")</f>
        <v>0.2</v>
      </c>
      <c r="Y131" t="str">
        <f t="shared" ref="Y131:Y194" si="31">IF(B131="Calibration Trial","Calibration magnitude",IF(B131&lt;&gt;"Sensor Snapshot","",IF(W131="","Missing",IF(W131&lt;0,"Sign corrected to positive","Valid"))))</f>
        <v>Sign corrected to positive</v>
      </c>
      <c r="Z131" s="16"/>
      <c r="AA131">
        <v>1</v>
      </c>
      <c r="AB131">
        <f>IF(B131&lt;&gt;"Sensor Snapshot","",IF(ISNUMBER(AA131),--(AA131&lt;&gt;0),IF(ISNUMBER(Z131),--(Z131&lt;'02_Parameters'!$B$15),"")))</f>
        <v>1</v>
      </c>
      <c r="AC131">
        <f>IF(B131&lt;&gt;"Sensor Snapshot","",IF(ISNUMBER(X131),--(X131&gt;='02_Parameters'!$B$16),""))</f>
        <v>0</v>
      </c>
      <c r="AD131">
        <v>0</v>
      </c>
      <c r="AE131">
        <f t="shared" ref="AE131:AE194" si="32">IF(B131&lt;&gt;"Sensor Snapshot","",IF(AD131=1,1,IF(AND(AB131=1,AC131=1),1,0)))</f>
        <v>0</v>
      </c>
      <c r="AF131" s="3" t="str">
        <f t="shared" ref="AF131:AF194" si="33">IF(B131&lt;&gt;"Sensor Snapshot","",IF(AD131=1,"Logged dual-sensor event",IF(AE131=1,"Derived: optical AND weight",IF(OR(AB131=1,AC131=1),"Partial detection only","No detection"))))</f>
        <v>Partial detection only</v>
      </c>
      <c r="AG131" s="16">
        <v>0</v>
      </c>
      <c r="AH131" s="16">
        <f>IF(B131&lt;&gt;"Sensor Snapshot","",IF(ISNUMBER(AG131),IF(AG131&lt;0,"",IF(AG131&gt;10,AG131/'02_Parameters'!$B$17,AG131)),""))</f>
        <v>0</v>
      </c>
      <c r="AI131" t="str">
        <f t="shared" ref="AI131:AI194" si="34">IF(B131&lt;&gt;"Sensor Snapshot","",IF(AG131="","Missing",IF(AG131&lt;0,"Invalid negative flow",IF(AG131&gt;10,"Normalized from high-scale log","Valid"))))</f>
        <v>Valid</v>
      </c>
      <c r="AJ131">
        <f t="shared" ref="AJ131:AJ194" si="35">IF(B131&lt;&gt;"Sensor Snapshot","",--(L131="PUMPING"))</f>
        <v>0</v>
      </c>
      <c r="AK131">
        <f t="shared" ref="AK131:AK194" si="36">IF(B131&lt;&gt;"Sensor Snapshot","",--(L131="HUMIDIFYING"))</f>
        <v>0</v>
      </c>
      <c r="AM131">
        <f t="shared" ref="AM131:AM194" si="37">IF(B131&lt;&gt;"Sensor Snapshot","",--(OR(L131="FIRE_DETECTED",L131="BLOCKED")))</f>
        <v>0</v>
      </c>
      <c r="AN131">
        <f>IF(B131&lt;&gt;"Sensor Snapshot","",--(N131&gt;='02_Parameters'!$B$13))</f>
        <v>0</v>
      </c>
      <c r="AO131">
        <f>IF(B131&lt;&gt;"Sensor Snapshot","",--(AND(L131="PUMPING",ISNUMBER(AH131),AH131&lt;='02_Parameters'!$B$10)))</f>
        <v>0</v>
      </c>
      <c r="AP131" s="16"/>
      <c r="AQ131" s="16" t="str">
        <f t="shared" ref="AQ131:AQ194" si="38">IF(B131="Calibration Trial",X131-AP131,"")</f>
        <v/>
      </c>
      <c r="AR131" s="16" t="str">
        <f t="shared" ref="AR131:AR194" si="39">IF(AND(B131="Calibration Trial",AP131&lt;&gt;0),AQ131/AP131*100,"")</f>
        <v/>
      </c>
      <c r="AU131" t="s">
        <v>236</v>
      </c>
      <c r="AV131" t="s">
        <v>237</v>
      </c>
      <c r="AW131" s="3" t="s">
        <v>238</v>
      </c>
      <c r="AX131" s="3">
        <f t="shared" ref="AX131:AX194" si="40">IF(B131&lt;&gt;"Sensor Snapshot","",IF(P131&lt;&gt;"",20,0)+IF(T131&lt;&gt;"",20,0)+IF(X131&lt;&gt;"",20,0)+IF(AB131&lt;&gt;"",20,0)+IF(AH131&lt;&gt;"",20,0))</f>
        <v>100</v>
      </c>
      <c r="AY131" s="3" t="str">
        <f t="shared" ref="AY131:AY194" si="41">IF(AX131="","",IF(AX131&gt;=90,"A",IF(AX131&gt;=75,"B",IF(AX131&gt;=60,"C","D"))))</f>
        <v>A</v>
      </c>
      <c r="AZ131" s="3" t="s">
        <v>386</v>
      </c>
      <c r="BA131" s="3"/>
    </row>
    <row r="132" spans="1:53" ht="27.6">
      <c r="A132" t="s">
        <v>425</v>
      </c>
      <c r="B132" t="s">
        <v>231</v>
      </c>
      <c r="C132" s="14">
        <v>200853</v>
      </c>
      <c r="D132" s="15">
        <f t="shared" si="28"/>
        <v>200.85300000000001</v>
      </c>
      <c r="E132" t="s">
        <v>232</v>
      </c>
      <c r="G132" t="s">
        <v>234</v>
      </c>
      <c r="H132" t="s">
        <v>235</v>
      </c>
      <c r="I132" s="3"/>
      <c r="J132" s="3"/>
      <c r="L132" t="s">
        <v>385</v>
      </c>
      <c r="M132">
        <f t="shared" si="29"/>
        <v>0</v>
      </c>
      <c r="N132">
        <v>0</v>
      </c>
      <c r="O132" s="16">
        <v>27.3</v>
      </c>
      <c r="P132" s="16">
        <f>IF(AND(ISNUMBER(O132),O132&lt;&gt;-1,O132&gt;='02_Parameters'!$B$18,O132&lt;='02_Parameters'!$B$19),O132,"")</f>
        <v>27.3</v>
      </c>
      <c r="Q132" s="16">
        <v>27.3</v>
      </c>
      <c r="R132" t="str">
        <f>IF(B132&lt;&gt;"Sensor Snapshot","",IF(O132="","Missing",IF(O132=-1,"Sensor failure sentinel (-1)",IF(OR(O132&lt;'02_Parameters'!$B$18,O132&gt;'02_Parameters'!$B$19),"Out of accepted range","Valid"))))</f>
        <v>Valid</v>
      </c>
      <c r="S132" s="16">
        <v>80.5</v>
      </c>
      <c r="T132" s="16">
        <f>IF(AND(ISNUMBER(S132),S132&lt;&gt;-1,S132&gt;='02_Parameters'!$B$20,S132&lt;='02_Parameters'!$B$21),S132,"")</f>
        <v>80.5</v>
      </c>
      <c r="U132" s="16">
        <v>80.5</v>
      </c>
      <c r="V132" t="str">
        <f>IF(B132&lt;&gt;"Sensor Snapshot","",IF(S132="","Missing",IF(S132=-1,"Sensor failure sentinel (-1)",IF(OR(S132&lt;'02_Parameters'!$B$20,S132&gt;'02_Parameters'!$B$21),"Out of accepted range","Valid"))))</f>
        <v>Valid</v>
      </c>
      <c r="W132" s="16">
        <v>-0.2</v>
      </c>
      <c r="X132" s="16">
        <f t="shared" si="30"/>
        <v>0.2</v>
      </c>
      <c r="Y132" t="str">
        <f t="shared" si="31"/>
        <v>Sign corrected to positive</v>
      </c>
      <c r="Z132" s="16"/>
      <c r="AA132">
        <v>1</v>
      </c>
      <c r="AB132">
        <f>IF(B132&lt;&gt;"Sensor Snapshot","",IF(ISNUMBER(AA132),--(AA132&lt;&gt;0),IF(ISNUMBER(Z132),--(Z132&lt;'02_Parameters'!$B$15),"")))</f>
        <v>1</v>
      </c>
      <c r="AC132">
        <f>IF(B132&lt;&gt;"Sensor Snapshot","",IF(ISNUMBER(X132),--(X132&gt;='02_Parameters'!$B$16),""))</f>
        <v>0</v>
      </c>
      <c r="AD132">
        <v>0</v>
      </c>
      <c r="AE132">
        <f t="shared" si="32"/>
        <v>0</v>
      </c>
      <c r="AF132" s="3" t="str">
        <f t="shared" si="33"/>
        <v>Partial detection only</v>
      </c>
      <c r="AG132" s="16">
        <v>0</v>
      </c>
      <c r="AH132" s="16">
        <f>IF(B132&lt;&gt;"Sensor Snapshot","",IF(ISNUMBER(AG132),IF(AG132&lt;0,"",IF(AG132&gt;10,AG132/'02_Parameters'!$B$17,AG132)),""))</f>
        <v>0</v>
      </c>
      <c r="AI132" t="str">
        <f t="shared" si="34"/>
        <v>Valid</v>
      </c>
      <c r="AJ132">
        <f t="shared" si="35"/>
        <v>0</v>
      </c>
      <c r="AK132">
        <f t="shared" si="36"/>
        <v>0</v>
      </c>
      <c r="AM132">
        <f t="shared" si="37"/>
        <v>0</v>
      </c>
      <c r="AN132">
        <f>IF(B132&lt;&gt;"Sensor Snapshot","",--(N132&gt;='02_Parameters'!$B$13))</f>
        <v>0</v>
      </c>
      <c r="AO132">
        <f>IF(B132&lt;&gt;"Sensor Snapshot","",--(AND(L132="PUMPING",ISNUMBER(AH132),AH132&lt;='02_Parameters'!$B$10)))</f>
        <v>0</v>
      </c>
      <c r="AP132" s="16"/>
      <c r="AQ132" s="16" t="str">
        <f t="shared" si="38"/>
        <v/>
      </c>
      <c r="AR132" s="16" t="str">
        <f t="shared" si="39"/>
        <v/>
      </c>
      <c r="AU132" t="s">
        <v>236</v>
      </c>
      <c r="AV132" t="s">
        <v>237</v>
      </c>
      <c r="AW132" s="3" t="s">
        <v>238</v>
      </c>
      <c r="AX132" s="3">
        <f t="shared" si="40"/>
        <v>100</v>
      </c>
      <c r="AY132" s="3" t="str">
        <f t="shared" si="41"/>
        <v>A</v>
      </c>
      <c r="AZ132" s="3" t="s">
        <v>386</v>
      </c>
      <c r="BA132" s="3"/>
    </row>
    <row r="133" spans="1:53" ht="27.6">
      <c r="A133" t="s">
        <v>426</v>
      </c>
      <c r="B133" t="s">
        <v>231</v>
      </c>
      <c r="C133" s="14">
        <v>205873</v>
      </c>
      <c r="D133" s="15">
        <f t="shared" si="28"/>
        <v>205.87299999999999</v>
      </c>
      <c r="E133" t="s">
        <v>232</v>
      </c>
      <c r="G133" t="s">
        <v>234</v>
      </c>
      <c r="H133" t="s">
        <v>235</v>
      </c>
      <c r="I133" s="3"/>
      <c r="J133" s="3"/>
      <c r="L133" t="s">
        <v>385</v>
      </c>
      <c r="M133">
        <f t="shared" si="29"/>
        <v>0</v>
      </c>
      <c r="N133">
        <v>0</v>
      </c>
      <c r="O133" s="16">
        <v>27.3</v>
      </c>
      <c r="P133" s="16">
        <f>IF(AND(ISNUMBER(O133),O133&lt;&gt;-1,O133&gt;='02_Parameters'!$B$18,O133&lt;='02_Parameters'!$B$19),O133,"")</f>
        <v>27.3</v>
      </c>
      <c r="Q133" s="16">
        <v>27.3</v>
      </c>
      <c r="R133" t="str">
        <f>IF(B133&lt;&gt;"Sensor Snapshot","",IF(O133="","Missing",IF(O133=-1,"Sensor failure sentinel (-1)",IF(OR(O133&lt;'02_Parameters'!$B$18,O133&gt;'02_Parameters'!$B$19),"Out of accepted range","Valid"))))</f>
        <v>Valid</v>
      </c>
      <c r="S133" s="16">
        <v>80.5</v>
      </c>
      <c r="T133" s="16">
        <f>IF(AND(ISNUMBER(S133),S133&lt;&gt;-1,S133&gt;='02_Parameters'!$B$20,S133&lt;='02_Parameters'!$B$21),S133,"")</f>
        <v>80.5</v>
      </c>
      <c r="U133" s="16">
        <v>80.5</v>
      </c>
      <c r="V133" t="str">
        <f>IF(B133&lt;&gt;"Sensor Snapshot","",IF(S133="","Missing",IF(S133=-1,"Sensor failure sentinel (-1)",IF(OR(S133&lt;'02_Parameters'!$B$20,S133&gt;'02_Parameters'!$B$21),"Out of accepted range","Valid"))))</f>
        <v>Valid</v>
      </c>
      <c r="W133" s="16">
        <v>-0.1</v>
      </c>
      <c r="X133" s="16">
        <f t="shared" si="30"/>
        <v>0.1</v>
      </c>
      <c r="Y133" t="str">
        <f t="shared" si="31"/>
        <v>Sign corrected to positive</v>
      </c>
      <c r="Z133" s="16"/>
      <c r="AA133">
        <v>1</v>
      </c>
      <c r="AB133">
        <f>IF(B133&lt;&gt;"Sensor Snapshot","",IF(ISNUMBER(AA133),--(AA133&lt;&gt;0),IF(ISNUMBER(Z133),--(Z133&lt;'02_Parameters'!$B$15),"")))</f>
        <v>1</v>
      </c>
      <c r="AC133">
        <f>IF(B133&lt;&gt;"Sensor Snapshot","",IF(ISNUMBER(X133),--(X133&gt;='02_Parameters'!$B$16),""))</f>
        <v>0</v>
      </c>
      <c r="AD133">
        <v>0</v>
      </c>
      <c r="AE133">
        <f t="shared" si="32"/>
        <v>0</v>
      </c>
      <c r="AF133" s="3" t="str">
        <f t="shared" si="33"/>
        <v>Partial detection only</v>
      </c>
      <c r="AG133" s="16">
        <v>0</v>
      </c>
      <c r="AH133" s="16">
        <f>IF(B133&lt;&gt;"Sensor Snapshot","",IF(ISNUMBER(AG133),IF(AG133&lt;0,"",IF(AG133&gt;10,AG133/'02_Parameters'!$B$17,AG133)),""))</f>
        <v>0</v>
      </c>
      <c r="AI133" t="str">
        <f t="shared" si="34"/>
        <v>Valid</v>
      </c>
      <c r="AJ133">
        <f t="shared" si="35"/>
        <v>0</v>
      </c>
      <c r="AK133">
        <f t="shared" si="36"/>
        <v>0</v>
      </c>
      <c r="AM133">
        <f t="shared" si="37"/>
        <v>0</v>
      </c>
      <c r="AN133">
        <f>IF(B133&lt;&gt;"Sensor Snapshot","",--(N133&gt;='02_Parameters'!$B$13))</f>
        <v>0</v>
      </c>
      <c r="AO133">
        <f>IF(B133&lt;&gt;"Sensor Snapshot","",--(AND(L133="PUMPING",ISNUMBER(AH133),AH133&lt;='02_Parameters'!$B$10)))</f>
        <v>0</v>
      </c>
      <c r="AP133" s="16"/>
      <c r="AQ133" s="16" t="str">
        <f t="shared" si="38"/>
        <v/>
      </c>
      <c r="AR133" s="16" t="str">
        <f t="shared" si="39"/>
        <v/>
      </c>
      <c r="AU133" t="s">
        <v>236</v>
      </c>
      <c r="AV133" t="s">
        <v>237</v>
      </c>
      <c r="AW133" s="3" t="s">
        <v>238</v>
      </c>
      <c r="AX133" s="3">
        <f t="shared" si="40"/>
        <v>100</v>
      </c>
      <c r="AY133" s="3" t="str">
        <f t="shared" si="41"/>
        <v>A</v>
      </c>
      <c r="AZ133" s="3" t="s">
        <v>386</v>
      </c>
      <c r="BA133" s="3"/>
    </row>
    <row r="134" spans="1:53" ht="27.6">
      <c r="A134" t="s">
        <v>427</v>
      </c>
      <c r="B134" t="s">
        <v>231</v>
      </c>
      <c r="C134" s="14">
        <v>210890</v>
      </c>
      <c r="D134" s="15">
        <f t="shared" si="28"/>
        <v>210.89</v>
      </c>
      <c r="E134" t="s">
        <v>232</v>
      </c>
      <c r="G134" t="s">
        <v>234</v>
      </c>
      <c r="H134" t="s">
        <v>235</v>
      </c>
      <c r="I134" s="3"/>
      <c r="J134" s="3"/>
      <c r="L134" t="s">
        <v>385</v>
      </c>
      <c r="M134">
        <f t="shared" si="29"/>
        <v>0</v>
      </c>
      <c r="N134">
        <v>0</v>
      </c>
      <c r="O134" s="16">
        <v>27.3</v>
      </c>
      <c r="P134" s="16">
        <f>IF(AND(ISNUMBER(O134),O134&lt;&gt;-1,O134&gt;='02_Parameters'!$B$18,O134&lt;='02_Parameters'!$B$19),O134,"")</f>
        <v>27.3</v>
      </c>
      <c r="Q134" s="16">
        <v>27.3</v>
      </c>
      <c r="R134" t="str">
        <f>IF(B134&lt;&gt;"Sensor Snapshot","",IF(O134="","Missing",IF(O134=-1,"Sensor failure sentinel (-1)",IF(OR(O134&lt;'02_Parameters'!$B$18,O134&gt;'02_Parameters'!$B$19),"Out of accepted range","Valid"))))</f>
        <v>Valid</v>
      </c>
      <c r="S134" s="16">
        <v>80.5</v>
      </c>
      <c r="T134" s="16">
        <f>IF(AND(ISNUMBER(S134),S134&lt;&gt;-1,S134&gt;='02_Parameters'!$B$20,S134&lt;='02_Parameters'!$B$21),S134,"")</f>
        <v>80.5</v>
      </c>
      <c r="U134" s="16">
        <v>80.5</v>
      </c>
      <c r="V134" t="str">
        <f>IF(B134&lt;&gt;"Sensor Snapshot","",IF(S134="","Missing",IF(S134=-1,"Sensor failure sentinel (-1)",IF(OR(S134&lt;'02_Parameters'!$B$20,S134&gt;'02_Parameters'!$B$21),"Out of accepted range","Valid"))))</f>
        <v>Valid</v>
      </c>
      <c r="W134" s="16">
        <v>-0.1</v>
      </c>
      <c r="X134" s="16">
        <f t="shared" si="30"/>
        <v>0.1</v>
      </c>
      <c r="Y134" t="str">
        <f t="shared" si="31"/>
        <v>Sign corrected to positive</v>
      </c>
      <c r="Z134" s="16"/>
      <c r="AA134">
        <v>1</v>
      </c>
      <c r="AB134">
        <f>IF(B134&lt;&gt;"Sensor Snapshot","",IF(ISNUMBER(AA134),--(AA134&lt;&gt;0),IF(ISNUMBER(Z134),--(Z134&lt;'02_Parameters'!$B$15),"")))</f>
        <v>1</v>
      </c>
      <c r="AC134">
        <f>IF(B134&lt;&gt;"Sensor Snapshot","",IF(ISNUMBER(X134),--(X134&gt;='02_Parameters'!$B$16),""))</f>
        <v>0</v>
      </c>
      <c r="AD134">
        <v>0</v>
      </c>
      <c r="AE134">
        <f t="shared" si="32"/>
        <v>0</v>
      </c>
      <c r="AF134" s="3" t="str">
        <f t="shared" si="33"/>
        <v>Partial detection only</v>
      </c>
      <c r="AG134" s="16">
        <v>0</v>
      </c>
      <c r="AH134" s="16">
        <f>IF(B134&lt;&gt;"Sensor Snapshot","",IF(ISNUMBER(AG134),IF(AG134&lt;0,"",IF(AG134&gt;10,AG134/'02_Parameters'!$B$17,AG134)),""))</f>
        <v>0</v>
      </c>
      <c r="AI134" t="str">
        <f t="shared" si="34"/>
        <v>Valid</v>
      </c>
      <c r="AJ134">
        <f t="shared" si="35"/>
        <v>0</v>
      </c>
      <c r="AK134">
        <f t="shared" si="36"/>
        <v>0</v>
      </c>
      <c r="AM134">
        <f t="shared" si="37"/>
        <v>0</v>
      </c>
      <c r="AN134">
        <f>IF(B134&lt;&gt;"Sensor Snapshot","",--(N134&gt;='02_Parameters'!$B$13))</f>
        <v>0</v>
      </c>
      <c r="AO134">
        <f>IF(B134&lt;&gt;"Sensor Snapshot","",--(AND(L134="PUMPING",ISNUMBER(AH134),AH134&lt;='02_Parameters'!$B$10)))</f>
        <v>0</v>
      </c>
      <c r="AP134" s="16"/>
      <c r="AQ134" s="16" t="str">
        <f t="shared" si="38"/>
        <v/>
      </c>
      <c r="AR134" s="16" t="str">
        <f t="shared" si="39"/>
        <v/>
      </c>
      <c r="AU134" t="s">
        <v>236</v>
      </c>
      <c r="AV134" t="s">
        <v>237</v>
      </c>
      <c r="AW134" s="3" t="s">
        <v>238</v>
      </c>
      <c r="AX134" s="3">
        <f t="shared" si="40"/>
        <v>100</v>
      </c>
      <c r="AY134" s="3" t="str">
        <f t="shared" si="41"/>
        <v>A</v>
      </c>
      <c r="AZ134" s="3" t="s">
        <v>386</v>
      </c>
      <c r="BA134" s="3"/>
    </row>
    <row r="135" spans="1:53" ht="27.6">
      <c r="A135" t="s">
        <v>428</v>
      </c>
      <c r="B135" t="s">
        <v>231</v>
      </c>
      <c r="C135" s="14">
        <v>215909</v>
      </c>
      <c r="D135" s="15">
        <f t="shared" si="28"/>
        <v>215.90899999999999</v>
      </c>
      <c r="E135" t="s">
        <v>232</v>
      </c>
      <c r="G135" t="s">
        <v>234</v>
      </c>
      <c r="H135" t="s">
        <v>235</v>
      </c>
      <c r="I135" s="3"/>
      <c r="J135" s="3"/>
      <c r="L135" t="s">
        <v>385</v>
      </c>
      <c r="M135">
        <f t="shared" si="29"/>
        <v>0</v>
      </c>
      <c r="N135">
        <v>0</v>
      </c>
      <c r="O135" s="16">
        <v>27.3</v>
      </c>
      <c r="P135" s="16">
        <f>IF(AND(ISNUMBER(O135),O135&lt;&gt;-1,O135&gt;='02_Parameters'!$B$18,O135&lt;='02_Parameters'!$B$19),O135,"")</f>
        <v>27.3</v>
      </c>
      <c r="Q135" s="16">
        <v>27.3</v>
      </c>
      <c r="R135" t="str">
        <f>IF(B135&lt;&gt;"Sensor Snapshot","",IF(O135="","Missing",IF(O135=-1,"Sensor failure sentinel (-1)",IF(OR(O135&lt;'02_Parameters'!$B$18,O135&gt;'02_Parameters'!$B$19),"Out of accepted range","Valid"))))</f>
        <v>Valid</v>
      </c>
      <c r="S135" s="16">
        <v>80.7</v>
      </c>
      <c r="T135" s="16">
        <f>IF(AND(ISNUMBER(S135),S135&lt;&gt;-1,S135&gt;='02_Parameters'!$B$20,S135&lt;='02_Parameters'!$B$21),S135,"")</f>
        <v>80.7</v>
      </c>
      <c r="U135" s="16">
        <v>80.7</v>
      </c>
      <c r="V135" t="str">
        <f>IF(B135&lt;&gt;"Sensor Snapshot","",IF(S135="","Missing",IF(S135=-1,"Sensor failure sentinel (-1)",IF(OR(S135&lt;'02_Parameters'!$B$20,S135&gt;'02_Parameters'!$B$21),"Out of accepted range","Valid"))))</f>
        <v>Valid</v>
      </c>
      <c r="W135" s="16">
        <v>-0.2</v>
      </c>
      <c r="X135" s="16">
        <f t="shared" si="30"/>
        <v>0.2</v>
      </c>
      <c r="Y135" t="str">
        <f t="shared" si="31"/>
        <v>Sign corrected to positive</v>
      </c>
      <c r="Z135" s="16"/>
      <c r="AA135">
        <v>1</v>
      </c>
      <c r="AB135">
        <f>IF(B135&lt;&gt;"Sensor Snapshot","",IF(ISNUMBER(AA135),--(AA135&lt;&gt;0),IF(ISNUMBER(Z135),--(Z135&lt;'02_Parameters'!$B$15),"")))</f>
        <v>1</v>
      </c>
      <c r="AC135">
        <f>IF(B135&lt;&gt;"Sensor Snapshot","",IF(ISNUMBER(X135),--(X135&gt;='02_Parameters'!$B$16),""))</f>
        <v>0</v>
      </c>
      <c r="AD135">
        <v>0</v>
      </c>
      <c r="AE135">
        <f t="shared" si="32"/>
        <v>0</v>
      </c>
      <c r="AF135" s="3" t="str">
        <f t="shared" si="33"/>
        <v>Partial detection only</v>
      </c>
      <c r="AG135" s="16">
        <v>0</v>
      </c>
      <c r="AH135" s="16">
        <f>IF(B135&lt;&gt;"Sensor Snapshot","",IF(ISNUMBER(AG135),IF(AG135&lt;0,"",IF(AG135&gt;10,AG135/'02_Parameters'!$B$17,AG135)),""))</f>
        <v>0</v>
      </c>
      <c r="AI135" t="str">
        <f t="shared" si="34"/>
        <v>Valid</v>
      </c>
      <c r="AJ135">
        <f t="shared" si="35"/>
        <v>0</v>
      </c>
      <c r="AK135">
        <f t="shared" si="36"/>
        <v>0</v>
      </c>
      <c r="AM135">
        <f t="shared" si="37"/>
        <v>0</v>
      </c>
      <c r="AN135">
        <f>IF(B135&lt;&gt;"Sensor Snapshot","",--(N135&gt;='02_Parameters'!$B$13))</f>
        <v>0</v>
      </c>
      <c r="AO135">
        <f>IF(B135&lt;&gt;"Sensor Snapshot","",--(AND(L135="PUMPING",ISNUMBER(AH135),AH135&lt;='02_Parameters'!$B$10)))</f>
        <v>0</v>
      </c>
      <c r="AP135" s="16"/>
      <c r="AQ135" s="16" t="str">
        <f t="shared" si="38"/>
        <v/>
      </c>
      <c r="AR135" s="16" t="str">
        <f t="shared" si="39"/>
        <v/>
      </c>
      <c r="AU135" t="s">
        <v>236</v>
      </c>
      <c r="AV135" t="s">
        <v>237</v>
      </c>
      <c r="AW135" s="3" t="s">
        <v>238</v>
      </c>
      <c r="AX135" s="3">
        <f t="shared" si="40"/>
        <v>100</v>
      </c>
      <c r="AY135" s="3" t="str">
        <f t="shared" si="41"/>
        <v>A</v>
      </c>
      <c r="AZ135" s="3" t="s">
        <v>386</v>
      </c>
      <c r="BA135" s="3"/>
    </row>
    <row r="136" spans="1:53" ht="27.6">
      <c r="A136" t="s">
        <v>429</v>
      </c>
      <c r="B136" t="s">
        <v>231</v>
      </c>
      <c r="C136" s="14">
        <v>220926</v>
      </c>
      <c r="D136" s="15">
        <f t="shared" si="28"/>
        <v>220.92599999999999</v>
      </c>
      <c r="E136" t="s">
        <v>232</v>
      </c>
      <c r="G136" t="s">
        <v>234</v>
      </c>
      <c r="H136" t="s">
        <v>235</v>
      </c>
      <c r="I136" s="3"/>
      <c r="J136" s="3"/>
      <c r="L136" t="s">
        <v>385</v>
      </c>
      <c r="M136">
        <f t="shared" si="29"/>
        <v>0</v>
      </c>
      <c r="N136">
        <v>0</v>
      </c>
      <c r="O136" s="16">
        <v>27.3</v>
      </c>
      <c r="P136" s="16">
        <f>IF(AND(ISNUMBER(O136),O136&lt;&gt;-1,O136&gt;='02_Parameters'!$B$18,O136&lt;='02_Parameters'!$B$19),O136,"")</f>
        <v>27.3</v>
      </c>
      <c r="Q136" s="16">
        <v>27.3</v>
      </c>
      <c r="R136" t="str">
        <f>IF(B136&lt;&gt;"Sensor Snapshot","",IF(O136="","Missing",IF(O136=-1,"Sensor failure sentinel (-1)",IF(OR(O136&lt;'02_Parameters'!$B$18,O136&gt;'02_Parameters'!$B$19),"Out of accepted range","Valid"))))</f>
        <v>Valid</v>
      </c>
      <c r="S136" s="16">
        <v>80.7</v>
      </c>
      <c r="T136" s="16">
        <f>IF(AND(ISNUMBER(S136),S136&lt;&gt;-1,S136&gt;='02_Parameters'!$B$20,S136&lt;='02_Parameters'!$B$21),S136,"")</f>
        <v>80.7</v>
      </c>
      <c r="U136" s="16">
        <v>80.7</v>
      </c>
      <c r="V136" t="str">
        <f>IF(B136&lt;&gt;"Sensor Snapshot","",IF(S136="","Missing",IF(S136=-1,"Sensor failure sentinel (-1)",IF(OR(S136&lt;'02_Parameters'!$B$20,S136&gt;'02_Parameters'!$B$21),"Out of accepted range","Valid"))))</f>
        <v>Valid</v>
      </c>
      <c r="W136" s="16">
        <v>-0.1</v>
      </c>
      <c r="X136" s="16">
        <f t="shared" si="30"/>
        <v>0.1</v>
      </c>
      <c r="Y136" t="str">
        <f t="shared" si="31"/>
        <v>Sign corrected to positive</v>
      </c>
      <c r="Z136" s="16"/>
      <c r="AA136">
        <v>1</v>
      </c>
      <c r="AB136">
        <f>IF(B136&lt;&gt;"Sensor Snapshot","",IF(ISNUMBER(AA136),--(AA136&lt;&gt;0),IF(ISNUMBER(Z136),--(Z136&lt;'02_Parameters'!$B$15),"")))</f>
        <v>1</v>
      </c>
      <c r="AC136">
        <f>IF(B136&lt;&gt;"Sensor Snapshot","",IF(ISNUMBER(X136),--(X136&gt;='02_Parameters'!$B$16),""))</f>
        <v>0</v>
      </c>
      <c r="AD136">
        <v>0</v>
      </c>
      <c r="AE136">
        <f t="shared" si="32"/>
        <v>0</v>
      </c>
      <c r="AF136" s="3" t="str">
        <f t="shared" si="33"/>
        <v>Partial detection only</v>
      </c>
      <c r="AG136" s="16">
        <v>0</v>
      </c>
      <c r="AH136" s="16">
        <f>IF(B136&lt;&gt;"Sensor Snapshot","",IF(ISNUMBER(AG136),IF(AG136&lt;0,"",IF(AG136&gt;10,AG136/'02_Parameters'!$B$17,AG136)),""))</f>
        <v>0</v>
      </c>
      <c r="AI136" t="str">
        <f t="shared" si="34"/>
        <v>Valid</v>
      </c>
      <c r="AJ136">
        <f t="shared" si="35"/>
        <v>0</v>
      </c>
      <c r="AK136">
        <f t="shared" si="36"/>
        <v>0</v>
      </c>
      <c r="AM136">
        <f t="shared" si="37"/>
        <v>0</v>
      </c>
      <c r="AN136">
        <f>IF(B136&lt;&gt;"Sensor Snapshot","",--(N136&gt;='02_Parameters'!$B$13))</f>
        <v>0</v>
      </c>
      <c r="AO136">
        <f>IF(B136&lt;&gt;"Sensor Snapshot","",--(AND(L136="PUMPING",ISNUMBER(AH136),AH136&lt;='02_Parameters'!$B$10)))</f>
        <v>0</v>
      </c>
      <c r="AP136" s="16"/>
      <c r="AQ136" s="16" t="str">
        <f t="shared" si="38"/>
        <v/>
      </c>
      <c r="AR136" s="16" t="str">
        <f t="shared" si="39"/>
        <v/>
      </c>
      <c r="AU136" t="s">
        <v>236</v>
      </c>
      <c r="AV136" t="s">
        <v>237</v>
      </c>
      <c r="AW136" s="3" t="s">
        <v>238</v>
      </c>
      <c r="AX136" s="3">
        <f t="shared" si="40"/>
        <v>100</v>
      </c>
      <c r="AY136" s="3" t="str">
        <f t="shared" si="41"/>
        <v>A</v>
      </c>
      <c r="AZ136" s="3" t="s">
        <v>386</v>
      </c>
      <c r="BA136" s="3"/>
    </row>
    <row r="137" spans="1:53" ht="27.6">
      <c r="A137" t="s">
        <v>430</v>
      </c>
      <c r="B137" t="s">
        <v>231</v>
      </c>
      <c r="C137" s="14">
        <v>225945</v>
      </c>
      <c r="D137" s="15">
        <f t="shared" si="28"/>
        <v>225.94499999999999</v>
      </c>
      <c r="E137" t="s">
        <v>232</v>
      </c>
      <c r="G137" t="s">
        <v>234</v>
      </c>
      <c r="H137" t="s">
        <v>235</v>
      </c>
      <c r="I137" s="3"/>
      <c r="J137" s="3"/>
      <c r="L137" t="s">
        <v>385</v>
      </c>
      <c r="M137">
        <f t="shared" si="29"/>
        <v>0</v>
      </c>
      <c r="N137">
        <v>0</v>
      </c>
      <c r="O137" s="16">
        <v>27.3</v>
      </c>
      <c r="P137" s="16">
        <f>IF(AND(ISNUMBER(O137),O137&lt;&gt;-1,O137&gt;='02_Parameters'!$B$18,O137&lt;='02_Parameters'!$B$19),O137,"")</f>
        <v>27.3</v>
      </c>
      <c r="Q137" s="16">
        <v>27.3</v>
      </c>
      <c r="R137" t="str">
        <f>IF(B137&lt;&gt;"Sensor Snapshot","",IF(O137="","Missing",IF(O137=-1,"Sensor failure sentinel (-1)",IF(OR(O137&lt;'02_Parameters'!$B$18,O137&gt;'02_Parameters'!$B$19),"Out of accepted range","Valid"))))</f>
        <v>Valid</v>
      </c>
      <c r="S137" s="16">
        <v>80.599999999999994</v>
      </c>
      <c r="T137" s="16">
        <f>IF(AND(ISNUMBER(S137),S137&lt;&gt;-1,S137&gt;='02_Parameters'!$B$20,S137&lt;='02_Parameters'!$B$21),S137,"")</f>
        <v>80.599999999999994</v>
      </c>
      <c r="U137" s="16">
        <v>80.599999999999994</v>
      </c>
      <c r="V137" t="str">
        <f>IF(B137&lt;&gt;"Sensor Snapshot","",IF(S137="","Missing",IF(S137=-1,"Sensor failure sentinel (-1)",IF(OR(S137&lt;'02_Parameters'!$B$20,S137&gt;'02_Parameters'!$B$21),"Out of accepted range","Valid"))))</f>
        <v>Valid</v>
      </c>
      <c r="W137" s="16">
        <v>-0.2</v>
      </c>
      <c r="X137" s="16">
        <f t="shared" si="30"/>
        <v>0.2</v>
      </c>
      <c r="Y137" t="str">
        <f t="shared" si="31"/>
        <v>Sign corrected to positive</v>
      </c>
      <c r="Z137" s="16"/>
      <c r="AA137">
        <v>1</v>
      </c>
      <c r="AB137">
        <f>IF(B137&lt;&gt;"Sensor Snapshot","",IF(ISNUMBER(AA137),--(AA137&lt;&gt;0),IF(ISNUMBER(Z137),--(Z137&lt;'02_Parameters'!$B$15),"")))</f>
        <v>1</v>
      </c>
      <c r="AC137">
        <f>IF(B137&lt;&gt;"Sensor Snapshot","",IF(ISNUMBER(X137),--(X137&gt;='02_Parameters'!$B$16),""))</f>
        <v>0</v>
      </c>
      <c r="AD137">
        <v>0</v>
      </c>
      <c r="AE137">
        <f t="shared" si="32"/>
        <v>0</v>
      </c>
      <c r="AF137" s="3" t="str">
        <f t="shared" si="33"/>
        <v>Partial detection only</v>
      </c>
      <c r="AG137" s="16">
        <v>0</v>
      </c>
      <c r="AH137" s="16">
        <f>IF(B137&lt;&gt;"Sensor Snapshot","",IF(ISNUMBER(AG137),IF(AG137&lt;0,"",IF(AG137&gt;10,AG137/'02_Parameters'!$B$17,AG137)),""))</f>
        <v>0</v>
      </c>
      <c r="AI137" t="str">
        <f t="shared" si="34"/>
        <v>Valid</v>
      </c>
      <c r="AJ137">
        <f t="shared" si="35"/>
        <v>0</v>
      </c>
      <c r="AK137">
        <f t="shared" si="36"/>
        <v>0</v>
      </c>
      <c r="AM137">
        <f t="shared" si="37"/>
        <v>0</v>
      </c>
      <c r="AN137">
        <f>IF(B137&lt;&gt;"Sensor Snapshot","",--(N137&gt;='02_Parameters'!$B$13))</f>
        <v>0</v>
      </c>
      <c r="AO137">
        <f>IF(B137&lt;&gt;"Sensor Snapshot","",--(AND(L137="PUMPING",ISNUMBER(AH137),AH137&lt;='02_Parameters'!$B$10)))</f>
        <v>0</v>
      </c>
      <c r="AP137" s="16"/>
      <c r="AQ137" s="16" t="str">
        <f t="shared" si="38"/>
        <v/>
      </c>
      <c r="AR137" s="16" t="str">
        <f t="shared" si="39"/>
        <v/>
      </c>
      <c r="AU137" t="s">
        <v>236</v>
      </c>
      <c r="AV137" t="s">
        <v>237</v>
      </c>
      <c r="AW137" s="3" t="s">
        <v>238</v>
      </c>
      <c r="AX137" s="3">
        <f t="shared" si="40"/>
        <v>100</v>
      </c>
      <c r="AY137" s="3" t="str">
        <f t="shared" si="41"/>
        <v>A</v>
      </c>
      <c r="AZ137" s="3" t="s">
        <v>386</v>
      </c>
      <c r="BA137" s="3"/>
    </row>
    <row r="138" spans="1:53" ht="27.6">
      <c r="A138" t="s">
        <v>431</v>
      </c>
      <c r="B138" t="s">
        <v>231</v>
      </c>
      <c r="C138" s="14">
        <v>230964</v>
      </c>
      <c r="D138" s="15">
        <f t="shared" si="28"/>
        <v>230.964</v>
      </c>
      <c r="E138" t="s">
        <v>232</v>
      </c>
      <c r="G138" t="s">
        <v>234</v>
      </c>
      <c r="H138" t="s">
        <v>235</v>
      </c>
      <c r="I138" s="3"/>
      <c r="J138" s="3"/>
      <c r="L138" t="s">
        <v>385</v>
      </c>
      <c r="M138">
        <f t="shared" si="29"/>
        <v>0</v>
      </c>
      <c r="N138">
        <v>0</v>
      </c>
      <c r="O138" s="16">
        <v>27.3</v>
      </c>
      <c r="P138" s="16">
        <f>IF(AND(ISNUMBER(O138),O138&lt;&gt;-1,O138&gt;='02_Parameters'!$B$18,O138&lt;='02_Parameters'!$B$19),O138,"")</f>
        <v>27.3</v>
      </c>
      <c r="Q138" s="16">
        <v>27.3</v>
      </c>
      <c r="R138" t="str">
        <f>IF(B138&lt;&gt;"Sensor Snapshot","",IF(O138="","Missing",IF(O138=-1,"Sensor failure sentinel (-1)",IF(OR(O138&lt;'02_Parameters'!$B$18,O138&gt;'02_Parameters'!$B$19),"Out of accepted range","Valid"))))</f>
        <v>Valid</v>
      </c>
      <c r="S138" s="16">
        <v>80.5</v>
      </c>
      <c r="T138" s="16">
        <f>IF(AND(ISNUMBER(S138),S138&lt;&gt;-1,S138&gt;='02_Parameters'!$B$20,S138&lt;='02_Parameters'!$B$21),S138,"")</f>
        <v>80.5</v>
      </c>
      <c r="U138" s="16">
        <v>80.5</v>
      </c>
      <c r="V138" t="str">
        <f>IF(B138&lt;&gt;"Sensor Snapshot","",IF(S138="","Missing",IF(S138=-1,"Sensor failure sentinel (-1)",IF(OR(S138&lt;'02_Parameters'!$B$20,S138&gt;'02_Parameters'!$B$21),"Out of accepted range","Valid"))))</f>
        <v>Valid</v>
      </c>
      <c r="W138" s="16">
        <v>-0.2</v>
      </c>
      <c r="X138" s="16">
        <f t="shared" si="30"/>
        <v>0.2</v>
      </c>
      <c r="Y138" t="str">
        <f t="shared" si="31"/>
        <v>Sign corrected to positive</v>
      </c>
      <c r="Z138" s="16"/>
      <c r="AA138">
        <v>1</v>
      </c>
      <c r="AB138">
        <f>IF(B138&lt;&gt;"Sensor Snapshot","",IF(ISNUMBER(AA138),--(AA138&lt;&gt;0),IF(ISNUMBER(Z138),--(Z138&lt;'02_Parameters'!$B$15),"")))</f>
        <v>1</v>
      </c>
      <c r="AC138">
        <f>IF(B138&lt;&gt;"Sensor Snapshot","",IF(ISNUMBER(X138),--(X138&gt;='02_Parameters'!$B$16),""))</f>
        <v>0</v>
      </c>
      <c r="AD138">
        <v>0</v>
      </c>
      <c r="AE138">
        <f t="shared" si="32"/>
        <v>0</v>
      </c>
      <c r="AF138" s="3" t="str">
        <f t="shared" si="33"/>
        <v>Partial detection only</v>
      </c>
      <c r="AG138" s="16">
        <v>0</v>
      </c>
      <c r="AH138" s="16">
        <f>IF(B138&lt;&gt;"Sensor Snapshot","",IF(ISNUMBER(AG138),IF(AG138&lt;0,"",IF(AG138&gt;10,AG138/'02_Parameters'!$B$17,AG138)),""))</f>
        <v>0</v>
      </c>
      <c r="AI138" t="str">
        <f t="shared" si="34"/>
        <v>Valid</v>
      </c>
      <c r="AJ138">
        <f t="shared" si="35"/>
        <v>0</v>
      </c>
      <c r="AK138">
        <f t="shared" si="36"/>
        <v>0</v>
      </c>
      <c r="AM138">
        <f t="shared" si="37"/>
        <v>0</v>
      </c>
      <c r="AN138">
        <f>IF(B138&lt;&gt;"Sensor Snapshot","",--(N138&gt;='02_Parameters'!$B$13))</f>
        <v>0</v>
      </c>
      <c r="AO138">
        <f>IF(B138&lt;&gt;"Sensor Snapshot","",--(AND(L138="PUMPING",ISNUMBER(AH138),AH138&lt;='02_Parameters'!$B$10)))</f>
        <v>0</v>
      </c>
      <c r="AP138" s="16"/>
      <c r="AQ138" s="16" t="str">
        <f t="shared" si="38"/>
        <v/>
      </c>
      <c r="AR138" s="16" t="str">
        <f t="shared" si="39"/>
        <v/>
      </c>
      <c r="AU138" t="s">
        <v>236</v>
      </c>
      <c r="AV138" t="s">
        <v>237</v>
      </c>
      <c r="AW138" s="3" t="s">
        <v>238</v>
      </c>
      <c r="AX138" s="3">
        <f t="shared" si="40"/>
        <v>100</v>
      </c>
      <c r="AY138" s="3" t="str">
        <f t="shared" si="41"/>
        <v>A</v>
      </c>
      <c r="AZ138" s="3" t="s">
        <v>386</v>
      </c>
      <c r="BA138" s="3"/>
    </row>
    <row r="139" spans="1:53" ht="27.6">
      <c r="A139" t="s">
        <v>432</v>
      </c>
      <c r="B139" t="s">
        <v>231</v>
      </c>
      <c r="C139" s="14">
        <v>235981</v>
      </c>
      <c r="D139" s="15">
        <f t="shared" si="28"/>
        <v>235.98099999999999</v>
      </c>
      <c r="E139" t="s">
        <v>232</v>
      </c>
      <c r="G139" t="s">
        <v>234</v>
      </c>
      <c r="H139" t="s">
        <v>235</v>
      </c>
      <c r="I139" s="3"/>
      <c r="J139" s="3"/>
      <c r="L139" t="s">
        <v>385</v>
      </c>
      <c r="M139">
        <f t="shared" si="29"/>
        <v>0</v>
      </c>
      <c r="N139">
        <v>0</v>
      </c>
      <c r="O139" s="16">
        <v>27.3</v>
      </c>
      <c r="P139" s="16">
        <f>IF(AND(ISNUMBER(O139),O139&lt;&gt;-1,O139&gt;='02_Parameters'!$B$18,O139&lt;='02_Parameters'!$B$19),O139,"")</f>
        <v>27.3</v>
      </c>
      <c r="Q139" s="16">
        <v>27.3</v>
      </c>
      <c r="R139" t="str">
        <f>IF(B139&lt;&gt;"Sensor Snapshot","",IF(O139="","Missing",IF(O139=-1,"Sensor failure sentinel (-1)",IF(OR(O139&lt;'02_Parameters'!$B$18,O139&gt;'02_Parameters'!$B$19),"Out of accepted range","Valid"))))</f>
        <v>Valid</v>
      </c>
      <c r="S139" s="16">
        <v>80.3</v>
      </c>
      <c r="T139" s="16">
        <f>IF(AND(ISNUMBER(S139),S139&lt;&gt;-1,S139&gt;='02_Parameters'!$B$20,S139&lt;='02_Parameters'!$B$21),S139,"")</f>
        <v>80.3</v>
      </c>
      <c r="U139" s="16">
        <v>80.3</v>
      </c>
      <c r="V139" t="str">
        <f>IF(B139&lt;&gt;"Sensor Snapshot","",IF(S139="","Missing",IF(S139=-1,"Sensor failure sentinel (-1)",IF(OR(S139&lt;'02_Parameters'!$B$20,S139&gt;'02_Parameters'!$B$21),"Out of accepted range","Valid"))))</f>
        <v>Valid</v>
      </c>
      <c r="W139" s="16">
        <v>-0.2</v>
      </c>
      <c r="X139" s="16">
        <f t="shared" si="30"/>
        <v>0.2</v>
      </c>
      <c r="Y139" t="str">
        <f t="shared" si="31"/>
        <v>Sign corrected to positive</v>
      </c>
      <c r="Z139" s="16"/>
      <c r="AA139">
        <v>1</v>
      </c>
      <c r="AB139">
        <f>IF(B139&lt;&gt;"Sensor Snapshot","",IF(ISNUMBER(AA139),--(AA139&lt;&gt;0),IF(ISNUMBER(Z139),--(Z139&lt;'02_Parameters'!$B$15),"")))</f>
        <v>1</v>
      </c>
      <c r="AC139">
        <f>IF(B139&lt;&gt;"Sensor Snapshot","",IF(ISNUMBER(X139),--(X139&gt;='02_Parameters'!$B$16),""))</f>
        <v>0</v>
      </c>
      <c r="AD139">
        <v>1</v>
      </c>
      <c r="AE139">
        <f t="shared" si="32"/>
        <v>1</v>
      </c>
      <c r="AF139" s="3" t="str">
        <f t="shared" si="33"/>
        <v>Logged dual-sensor event</v>
      </c>
      <c r="AG139" s="16">
        <v>0</v>
      </c>
      <c r="AH139" s="16">
        <f>IF(B139&lt;&gt;"Sensor Snapshot","",IF(ISNUMBER(AG139),IF(AG139&lt;0,"",IF(AG139&gt;10,AG139/'02_Parameters'!$B$17,AG139)),""))</f>
        <v>0</v>
      </c>
      <c r="AI139" t="str">
        <f t="shared" si="34"/>
        <v>Valid</v>
      </c>
      <c r="AJ139">
        <f t="shared" si="35"/>
        <v>0</v>
      </c>
      <c r="AK139">
        <f t="shared" si="36"/>
        <v>0</v>
      </c>
      <c r="AM139">
        <f t="shared" si="37"/>
        <v>0</v>
      </c>
      <c r="AN139">
        <f>IF(B139&lt;&gt;"Sensor Snapshot","",--(N139&gt;='02_Parameters'!$B$13))</f>
        <v>0</v>
      </c>
      <c r="AO139">
        <f>IF(B139&lt;&gt;"Sensor Snapshot","",--(AND(L139="PUMPING",ISNUMBER(AH139),AH139&lt;='02_Parameters'!$B$10)))</f>
        <v>0</v>
      </c>
      <c r="AP139" s="16"/>
      <c r="AQ139" s="16" t="str">
        <f t="shared" si="38"/>
        <v/>
      </c>
      <c r="AR139" s="16" t="str">
        <f t="shared" si="39"/>
        <v/>
      </c>
      <c r="AU139" t="s">
        <v>236</v>
      </c>
      <c r="AV139" t="s">
        <v>237</v>
      </c>
      <c r="AW139" s="3" t="s">
        <v>238</v>
      </c>
      <c r="AX139" s="3">
        <f t="shared" si="40"/>
        <v>100</v>
      </c>
      <c r="AY139" s="3" t="str">
        <f t="shared" si="41"/>
        <v>A</v>
      </c>
      <c r="AZ139" s="3" t="s">
        <v>386</v>
      </c>
      <c r="BA139" s="3" t="s">
        <v>433</v>
      </c>
    </row>
    <row r="140" spans="1:53" ht="27.6">
      <c r="A140" t="s">
        <v>434</v>
      </c>
      <c r="B140" t="s">
        <v>242</v>
      </c>
      <c r="C140" s="14">
        <v>235981</v>
      </c>
      <c r="D140" s="15">
        <f t="shared" si="28"/>
        <v>235.98099999999999</v>
      </c>
      <c r="E140" t="s">
        <v>232</v>
      </c>
      <c r="G140" t="s">
        <v>91</v>
      </c>
      <c r="H140" t="s">
        <v>374</v>
      </c>
      <c r="I140" s="3" t="s">
        <v>435</v>
      </c>
      <c r="J140" s="3" t="s">
        <v>436</v>
      </c>
      <c r="L140" t="s">
        <v>385</v>
      </c>
      <c r="M140">
        <f t="shared" si="29"/>
        <v>0</v>
      </c>
      <c r="O140" s="16"/>
      <c r="P140" s="16" t="str">
        <f>IF(AND(ISNUMBER(O140),O140&lt;&gt;-1,O140&gt;='02_Parameters'!$B$18,O140&lt;='02_Parameters'!$B$19),O140,"")</f>
        <v/>
      </c>
      <c r="Q140" s="16"/>
      <c r="R140" t="str">
        <f>IF(B140&lt;&gt;"Sensor Snapshot","",IF(O140="","Missing",IF(O140=-1,"Sensor failure sentinel (-1)",IF(OR(O140&lt;'02_Parameters'!$B$18,O140&gt;'02_Parameters'!$B$19),"Out of accepted range","Valid"))))</f>
        <v/>
      </c>
      <c r="S140" s="16"/>
      <c r="T140" s="16" t="str">
        <f>IF(AND(ISNUMBER(S140),S140&lt;&gt;-1,S140&gt;='02_Parameters'!$B$20,S140&lt;='02_Parameters'!$B$21),S140,"")</f>
        <v/>
      </c>
      <c r="U140" s="16"/>
      <c r="V140" t="str">
        <f>IF(B140&lt;&gt;"Sensor Snapshot","",IF(S140="","Missing",IF(S140=-1,"Sensor failure sentinel (-1)",IF(OR(S140&lt;'02_Parameters'!$B$20,S140&gt;'02_Parameters'!$B$21),"Out of accepted range","Valid"))))</f>
        <v/>
      </c>
      <c r="W140" s="16"/>
      <c r="X140" s="16" t="str">
        <f t="shared" si="30"/>
        <v/>
      </c>
      <c r="Y140" t="str">
        <f t="shared" si="31"/>
        <v/>
      </c>
      <c r="Z140" s="16"/>
      <c r="AB140" t="str">
        <f>IF(B140&lt;&gt;"Sensor Snapshot","",IF(ISNUMBER(AA140),--(AA140&lt;&gt;0),IF(ISNUMBER(Z140),--(Z140&lt;'02_Parameters'!$B$15),"")))</f>
        <v/>
      </c>
      <c r="AC140" t="str">
        <f>IF(B140&lt;&gt;"Sensor Snapshot","",IF(ISNUMBER(X140),--(X140&gt;='02_Parameters'!$B$16),""))</f>
        <v/>
      </c>
      <c r="AD140">
        <v>1</v>
      </c>
      <c r="AE140" t="str">
        <f t="shared" si="32"/>
        <v/>
      </c>
      <c r="AF140" s="3" t="str">
        <f t="shared" si="33"/>
        <v/>
      </c>
      <c r="AG140" s="16"/>
      <c r="AH140" s="16" t="str">
        <f>IF(B140&lt;&gt;"Sensor Snapshot","",IF(ISNUMBER(AG140),IF(AG140&lt;0,"",IF(AG140&gt;10,AG140/'02_Parameters'!$B$17,AG140)),""))</f>
        <v/>
      </c>
      <c r="AI140" t="str">
        <f t="shared" si="34"/>
        <v/>
      </c>
      <c r="AJ140" t="str">
        <f t="shared" si="35"/>
        <v/>
      </c>
      <c r="AK140" t="str">
        <f t="shared" si="36"/>
        <v/>
      </c>
      <c r="AM140" t="str">
        <f t="shared" si="37"/>
        <v/>
      </c>
      <c r="AN140" t="str">
        <f>IF(B140&lt;&gt;"Sensor Snapshot","",--(N140&gt;='02_Parameters'!$B$13))</f>
        <v/>
      </c>
      <c r="AO140" t="str">
        <f>IF(B140&lt;&gt;"Sensor Snapshot","",--(AND(L140="PUMPING",ISNUMBER(AH140),AH140&lt;='02_Parameters'!$B$10)))</f>
        <v/>
      </c>
      <c r="AP140" s="16"/>
      <c r="AQ140" s="16" t="str">
        <f t="shared" si="38"/>
        <v/>
      </c>
      <c r="AR140" s="16" t="str">
        <f t="shared" si="39"/>
        <v/>
      </c>
      <c r="AW140" s="3" t="s">
        <v>377</v>
      </c>
      <c r="AX140" s="3" t="str">
        <f t="shared" si="40"/>
        <v/>
      </c>
      <c r="AY140" s="3" t="str">
        <f t="shared" si="41"/>
        <v/>
      </c>
      <c r="AZ140" s="3" t="s">
        <v>437</v>
      </c>
      <c r="BA140" s="3"/>
    </row>
    <row r="141" spans="1:53" ht="27.6">
      <c r="A141" t="s">
        <v>438</v>
      </c>
      <c r="B141" t="s">
        <v>242</v>
      </c>
      <c r="C141" s="14">
        <v>235981</v>
      </c>
      <c r="D141" s="15">
        <f t="shared" si="28"/>
        <v>235.98099999999999</v>
      </c>
      <c r="E141" t="s">
        <v>232</v>
      </c>
      <c r="G141" t="s">
        <v>91</v>
      </c>
      <c r="H141" t="s">
        <v>374</v>
      </c>
      <c r="I141" s="3" t="s">
        <v>439</v>
      </c>
      <c r="J141" s="3" t="s">
        <v>440</v>
      </c>
      <c r="L141" t="s">
        <v>385</v>
      </c>
      <c r="M141">
        <f t="shared" si="29"/>
        <v>0</v>
      </c>
      <c r="O141" s="16"/>
      <c r="P141" s="16" t="str">
        <f>IF(AND(ISNUMBER(O141),O141&lt;&gt;-1,O141&gt;='02_Parameters'!$B$18,O141&lt;='02_Parameters'!$B$19),O141,"")</f>
        <v/>
      </c>
      <c r="Q141" s="16"/>
      <c r="R141" t="str">
        <f>IF(B141&lt;&gt;"Sensor Snapshot","",IF(O141="","Missing",IF(O141=-1,"Sensor failure sentinel (-1)",IF(OR(O141&lt;'02_Parameters'!$B$18,O141&gt;'02_Parameters'!$B$19),"Out of accepted range","Valid"))))</f>
        <v/>
      </c>
      <c r="S141" s="16"/>
      <c r="T141" s="16" t="str">
        <f>IF(AND(ISNUMBER(S141),S141&lt;&gt;-1,S141&gt;='02_Parameters'!$B$20,S141&lt;='02_Parameters'!$B$21),S141,"")</f>
        <v/>
      </c>
      <c r="U141" s="16"/>
      <c r="V141" t="str">
        <f>IF(B141&lt;&gt;"Sensor Snapshot","",IF(S141="","Missing",IF(S141=-1,"Sensor failure sentinel (-1)",IF(OR(S141&lt;'02_Parameters'!$B$20,S141&gt;'02_Parameters'!$B$21),"Out of accepted range","Valid"))))</f>
        <v/>
      </c>
      <c r="W141" s="16"/>
      <c r="X141" s="16" t="str">
        <f t="shared" si="30"/>
        <v/>
      </c>
      <c r="Y141" t="str">
        <f t="shared" si="31"/>
        <v/>
      </c>
      <c r="Z141" s="16"/>
      <c r="AB141" t="str">
        <f>IF(B141&lt;&gt;"Sensor Snapshot","",IF(ISNUMBER(AA141),--(AA141&lt;&gt;0),IF(ISNUMBER(Z141),--(Z141&lt;'02_Parameters'!$B$15),"")))</f>
        <v/>
      </c>
      <c r="AC141" t="str">
        <f>IF(B141&lt;&gt;"Sensor Snapshot","",IF(ISNUMBER(X141),--(X141&gt;='02_Parameters'!$B$16),""))</f>
        <v/>
      </c>
      <c r="AD141">
        <v>0</v>
      </c>
      <c r="AE141" t="str">
        <f t="shared" si="32"/>
        <v/>
      </c>
      <c r="AF141" s="3" t="str">
        <f t="shared" si="33"/>
        <v/>
      </c>
      <c r="AG141" s="16"/>
      <c r="AH141" s="16" t="str">
        <f>IF(B141&lt;&gt;"Sensor Snapshot","",IF(ISNUMBER(AG141),IF(AG141&lt;0,"",IF(AG141&gt;10,AG141/'02_Parameters'!$B$17,AG141)),""))</f>
        <v/>
      </c>
      <c r="AI141" t="str">
        <f t="shared" si="34"/>
        <v/>
      </c>
      <c r="AJ141" t="str">
        <f t="shared" si="35"/>
        <v/>
      </c>
      <c r="AK141" t="str">
        <f t="shared" si="36"/>
        <v/>
      </c>
      <c r="AM141" t="str">
        <f t="shared" si="37"/>
        <v/>
      </c>
      <c r="AN141" t="str">
        <f>IF(B141&lt;&gt;"Sensor Snapshot","",--(N141&gt;='02_Parameters'!$B$13))</f>
        <v/>
      </c>
      <c r="AO141" t="str">
        <f>IF(B141&lt;&gt;"Sensor Snapshot","",--(AND(L141="PUMPING",ISNUMBER(AH141),AH141&lt;='02_Parameters'!$B$10)))</f>
        <v/>
      </c>
      <c r="AP141" s="16"/>
      <c r="AQ141" s="16" t="str">
        <f t="shared" si="38"/>
        <v/>
      </c>
      <c r="AR141" s="16" t="str">
        <f t="shared" si="39"/>
        <v/>
      </c>
      <c r="AW141" s="3" t="s">
        <v>377</v>
      </c>
      <c r="AX141" s="3" t="str">
        <f t="shared" si="40"/>
        <v/>
      </c>
      <c r="AY141" s="3" t="str">
        <f t="shared" si="41"/>
        <v/>
      </c>
      <c r="AZ141" s="3" t="s">
        <v>247</v>
      </c>
      <c r="BA141" s="3"/>
    </row>
    <row r="142" spans="1:53" ht="27.6">
      <c r="A142" t="s">
        <v>441</v>
      </c>
      <c r="B142" t="s">
        <v>231</v>
      </c>
      <c r="C142" s="14">
        <v>259020</v>
      </c>
      <c r="D142" s="15">
        <f t="shared" si="28"/>
        <v>259.02</v>
      </c>
      <c r="E142" t="s">
        <v>232</v>
      </c>
      <c r="G142" t="s">
        <v>234</v>
      </c>
      <c r="H142" t="s">
        <v>235</v>
      </c>
      <c r="I142" s="3"/>
      <c r="J142" s="3"/>
      <c r="L142" t="s">
        <v>385</v>
      </c>
      <c r="M142">
        <f t="shared" si="29"/>
        <v>0</v>
      </c>
      <c r="N142">
        <v>1</v>
      </c>
      <c r="O142" s="16">
        <v>27.3</v>
      </c>
      <c r="P142" s="16">
        <f>IF(AND(ISNUMBER(O142),O142&lt;&gt;-1,O142&gt;='02_Parameters'!$B$18,O142&lt;='02_Parameters'!$B$19),O142,"")</f>
        <v>27.3</v>
      </c>
      <c r="Q142" s="16">
        <v>27.3</v>
      </c>
      <c r="R142" t="str">
        <f>IF(B142&lt;&gt;"Sensor Snapshot","",IF(O142="","Missing",IF(O142=-1,"Sensor failure sentinel (-1)",IF(OR(O142&lt;'02_Parameters'!$B$18,O142&gt;'02_Parameters'!$B$19),"Out of accepted range","Valid"))))</f>
        <v>Valid</v>
      </c>
      <c r="S142" s="16">
        <v>80.099999999999994</v>
      </c>
      <c r="T142" s="16">
        <f>IF(AND(ISNUMBER(S142),S142&lt;&gt;-1,S142&gt;='02_Parameters'!$B$20,S142&lt;='02_Parameters'!$B$21),S142,"")</f>
        <v>80.099999999999994</v>
      </c>
      <c r="U142" s="16">
        <v>80.099999999999994</v>
      </c>
      <c r="V142" t="str">
        <f>IF(B142&lt;&gt;"Sensor Snapshot","",IF(S142="","Missing",IF(S142=-1,"Sensor failure sentinel (-1)",IF(OR(S142&lt;'02_Parameters'!$B$20,S142&gt;'02_Parameters'!$B$21),"Out of accepted range","Valid"))))</f>
        <v>Valid</v>
      </c>
      <c r="W142" s="16">
        <v>13.3</v>
      </c>
      <c r="X142" s="16">
        <f t="shared" si="30"/>
        <v>13.3</v>
      </c>
      <c r="Y142" t="str">
        <f t="shared" si="31"/>
        <v>Valid</v>
      </c>
      <c r="Z142" s="16"/>
      <c r="AA142">
        <v>1</v>
      </c>
      <c r="AB142">
        <f>IF(B142&lt;&gt;"Sensor Snapshot","",IF(ISNUMBER(AA142),--(AA142&lt;&gt;0),IF(ISNUMBER(Z142),--(Z142&lt;'02_Parameters'!$B$15),"")))</f>
        <v>1</v>
      </c>
      <c r="AC142">
        <f>IF(B142&lt;&gt;"Sensor Snapshot","",IF(ISNUMBER(X142),--(X142&gt;='02_Parameters'!$B$16),""))</f>
        <v>1</v>
      </c>
      <c r="AD142">
        <v>0</v>
      </c>
      <c r="AE142">
        <f t="shared" si="32"/>
        <v>1</v>
      </c>
      <c r="AF142" s="3" t="str">
        <f t="shared" si="33"/>
        <v>Derived: optical AND weight</v>
      </c>
      <c r="AG142" s="16">
        <v>0</v>
      </c>
      <c r="AH142" s="16">
        <f>IF(B142&lt;&gt;"Sensor Snapshot","",IF(ISNUMBER(AG142),IF(AG142&lt;0,"",IF(AG142&gt;10,AG142/'02_Parameters'!$B$17,AG142)),""))</f>
        <v>0</v>
      </c>
      <c r="AI142" t="str">
        <f t="shared" si="34"/>
        <v>Valid</v>
      </c>
      <c r="AJ142">
        <f t="shared" si="35"/>
        <v>0</v>
      </c>
      <c r="AK142">
        <f t="shared" si="36"/>
        <v>0</v>
      </c>
      <c r="AM142">
        <f t="shared" si="37"/>
        <v>0</v>
      </c>
      <c r="AN142">
        <f>IF(B142&lt;&gt;"Sensor Snapshot","",--(N142&gt;='02_Parameters'!$B$13))</f>
        <v>0</v>
      </c>
      <c r="AO142">
        <f>IF(B142&lt;&gt;"Sensor Snapshot","",--(AND(L142="PUMPING",ISNUMBER(AH142),AH142&lt;='02_Parameters'!$B$10)))</f>
        <v>0</v>
      </c>
      <c r="AP142" s="16"/>
      <c r="AQ142" s="16" t="str">
        <f t="shared" si="38"/>
        <v/>
      </c>
      <c r="AR142" s="16" t="str">
        <f t="shared" si="39"/>
        <v/>
      </c>
      <c r="AU142" t="s">
        <v>236</v>
      </c>
      <c r="AV142" t="s">
        <v>237</v>
      </c>
      <c r="AW142" s="3" t="s">
        <v>257</v>
      </c>
      <c r="AX142" s="3">
        <f t="shared" si="40"/>
        <v>100</v>
      </c>
      <c r="AY142" s="3" t="str">
        <f t="shared" si="41"/>
        <v>A</v>
      </c>
      <c r="AZ142" s="3" t="s">
        <v>386</v>
      </c>
      <c r="BA142" s="3"/>
    </row>
    <row r="143" spans="1:53" ht="27.6">
      <c r="A143" t="s">
        <v>442</v>
      </c>
      <c r="B143" t="s">
        <v>231</v>
      </c>
      <c r="C143" s="14">
        <v>264020</v>
      </c>
      <c r="D143" s="15">
        <f t="shared" si="28"/>
        <v>264.02</v>
      </c>
      <c r="E143" t="s">
        <v>232</v>
      </c>
      <c r="G143" t="s">
        <v>234</v>
      </c>
      <c r="H143" t="s">
        <v>235</v>
      </c>
      <c r="I143" s="3"/>
      <c r="J143" s="3"/>
      <c r="L143" t="s">
        <v>385</v>
      </c>
      <c r="M143">
        <f t="shared" si="29"/>
        <v>0</v>
      </c>
      <c r="N143">
        <v>1</v>
      </c>
      <c r="O143" s="16">
        <v>27.3</v>
      </c>
      <c r="P143" s="16">
        <f>IF(AND(ISNUMBER(O143),O143&lt;&gt;-1,O143&gt;='02_Parameters'!$B$18,O143&lt;='02_Parameters'!$B$19),O143,"")</f>
        <v>27.3</v>
      </c>
      <c r="Q143" s="16">
        <v>27.3</v>
      </c>
      <c r="R143" t="str">
        <f>IF(B143&lt;&gt;"Sensor Snapshot","",IF(O143="","Missing",IF(O143=-1,"Sensor failure sentinel (-1)",IF(OR(O143&lt;'02_Parameters'!$B$18,O143&gt;'02_Parameters'!$B$19),"Out of accepted range","Valid"))))</f>
        <v>Valid</v>
      </c>
      <c r="S143" s="16">
        <v>80.599999999999994</v>
      </c>
      <c r="T143" s="16">
        <f>IF(AND(ISNUMBER(S143),S143&lt;&gt;-1,S143&gt;='02_Parameters'!$B$20,S143&lt;='02_Parameters'!$B$21),S143,"")</f>
        <v>80.599999999999994</v>
      </c>
      <c r="U143" s="16">
        <v>80.599999999999994</v>
      </c>
      <c r="V143" t="str">
        <f>IF(B143&lt;&gt;"Sensor Snapshot","",IF(S143="","Missing",IF(S143=-1,"Sensor failure sentinel (-1)",IF(OR(S143&lt;'02_Parameters'!$B$20,S143&gt;'02_Parameters'!$B$21),"Out of accepted range","Valid"))))</f>
        <v>Valid</v>
      </c>
      <c r="W143" s="16">
        <v>-0.2</v>
      </c>
      <c r="X143" s="16">
        <f t="shared" si="30"/>
        <v>0.2</v>
      </c>
      <c r="Y143" t="str">
        <f t="shared" si="31"/>
        <v>Sign corrected to positive</v>
      </c>
      <c r="Z143" s="16"/>
      <c r="AA143">
        <v>1</v>
      </c>
      <c r="AB143">
        <f>IF(B143&lt;&gt;"Sensor Snapshot","",IF(ISNUMBER(AA143),--(AA143&lt;&gt;0),IF(ISNUMBER(Z143),--(Z143&lt;'02_Parameters'!$B$15),"")))</f>
        <v>1</v>
      </c>
      <c r="AC143">
        <f>IF(B143&lt;&gt;"Sensor Snapshot","",IF(ISNUMBER(X143),--(X143&gt;='02_Parameters'!$B$16),""))</f>
        <v>0</v>
      </c>
      <c r="AD143">
        <v>0</v>
      </c>
      <c r="AE143">
        <f t="shared" si="32"/>
        <v>0</v>
      </c>
      <c r="AF143" s="3" t="str">
        <f t="shared" si="33"/>
        <v>Partial detection only</v>
      </c>
      <c r="AG143" s="16">
        <v>0</v>
      </c>
      <c r="AH143" s="16">
        <f>IF(B143&lt;&gt;"Sensor Snapshot","",IF(ISNUMBER(AG143),IF(AG143&lt;0,"",IF(AG143&gt;10,AG143/'02_Parameters'!$B$17,AG143)),""))</f>
        <v>0</v>
      </c>
      <c r="AI143" t="str">
        <f t="shared" si="34"/>
        <v>Valid</v>
      </c>
      <c r="AJ143">
        <f t="shared" si="35"/>
        <v>0</v>
      </c>
      <c r="AK143">
        <f t="shared" si="36"/>
        <v>0</v>
      </c>
      <c r="AM143">
        <f t="shared" si="37"/>
        <v>0</v>
      </c>
      <c r="AN143">
        <f>IF(B143&lt;&gt;"Sensor Snapshot","",--(N143&gt;='02_Parameters'!$B$13))</f>
        <v>0</v>
      </c>
      <c r="AO143">
        <f>IF(B143&lt;&gt;"Sensor Snapshot","",--(AND(L143="PUMPING",ISNUMBER(AH143),AH143&lt;='02_Parameters'!$B$10)))</f>
        <v>0</v>
      </c>
      <c r="AP143" s="16"/>
      <c r="AQ143" s="16" t="str">
        <f t="shared" si="38"/>
        <v/>
      </c>
      <c r="AR143" s="16" t="str">
        <f t="shared" si="39"/>
        <v/>
      </c>
      <c r="AU143" t="s">
        <v>236</v>
      </c>
      <c r="AV143" t="s">
        <v>237</v>
      </c>
      <c r="AW143" s="3" t="s">
        <v>238</v>
      </c>
      <c r="AX143" s="3">
        <f t="shared" si="40"/>
        <v>100</v>
      </c>
      <c r="AY143" s="3" t="str">
        <f t="shared" si="41"/>
        <v>A</v>
      </c>
      <c r="AZ143" s="3" t="s">
        <v>386</v>
      </c>
      <c r="BA143" s="3"/>
    </row>
    <row r="144" spans="1:53" ht="27.6">
      <c r="A144" t="s">
        <v>443</v>
      </c>
      <c r="B144" t="s">
        <v>231</v>
      </c>
      <c r="C144" s="14">
        <v>269021</v>
      </c>
      <c r="D144" s="15">
        <f t="shared" si="28"/>
        <v>269.02100000000002</v>
      </c>
      <c r="E144" t="s">
        <v>232</v>
      </c>
      <c r="G144" t="s">
        <v>234</v>
      </c>
      <c r="H144" t="s">
        <v>235</v>
      </c>
      <c r="I144" s="3"/>
      <c r="J144" s="3"/>
      <c r="L144" t="s">
        <v>385</v>
      </c>
      <c r="M144">
        <f t="shared" si="29"/>
        <v>0</v>
      </c>
      <c r="N144">
        <v>1</v>
      </c>
      <c r="O144" s="16">
        <v>27.3</v>
      </c>
      <c r="P144" s="16">
        <f>IF(AND(ISNUMBER(O144),O144&lt;&gt;-1,O144&gt;='02_Parameters'!$B$18,O144&lt;='02_Parameters'!$B$19),O144,"")</f>
        <v>27.3</v>
      </c>
      <c r="Q144" s="16">
        <v>27.3</v>
      </c>
      <c r="R144" t="str">
        <f>IF(B144&lt;&gt;"Sensor Snapshot","",IF(O144="","Missing",IF(O144=-1,"Sensor failure sentinel (-1)",IF(OR(O144&lt;'02_Parameters'!$B$18,O144&gt;'02_Parameters'!$B$19),"Out of accepted range","Valid"))))</f>
        <v>Valid</v>
      </c>
      <c r="S144" s="16">
        <v>80.8</v>
      </c>
      <c r="T144" s="16">
        <f>IF(AND(ISNUMBER(S144),S144&lt;&gt;-1,S144&gt;='02_Parameters'!$B$20,S144&lt;='02_Parameters'!$B$21),S144,"")</f>
        <v>80.8</v>
      </c>
      <c r="U144" s="16">
        <v>80.8</v>
      </c>
      <c r="V144" t="str">
        <f>IF(B144&lt;&gt;"Sensor Snapshot","",IF(S144="","Missing",IF(S144=-1,"Sensor failure sentinel (-1)",IF(OR(S144&lt;'02_Parameters'!$B$20,S144&gt;'02_Parameters'!$B$21),"Out of accepted range","Valid"))))</f>
        <v>Valid</v>
      </c>
      <c r="W144" s="16">
        <v>-0.2</v>
      </c>
      <c r="X144" s="16">
        <f t="shared" si="30"/>
        <v>0.2</v>
      </c>
      <c r="Y144" t="str">
        <f t="shared" si="31"/>
        <v>Sign corrected to positive</v>
      </c>
      <c r="Z144" s="16"/>
      <c r="AA144">
        <v>1</v>
      </c>
      <c r="AB144">
        <f>IF(B144&lt;&gt;"Sensor Snapshot","",IF(ISNUMBER(AA144),--(AA144&lt;&gt;0),IF(ISNUMBER(Z144),--(Z144&lt;'02_Parameters'!$B$15),"")))</f>
        <v>1</v>
      </c>
      <c r="AC144">
        <f>IF(B144&lt;&gt;"Sensor Snapshot","",IF(ISNUMBER(X144),--(X144&gt;='02_Parameters'!$B$16),""))</f>
        <v>0</v>
      </c>
      <c r="AD144">
        <v>0</v>
      </c>
      <c r="AE144">
        <f t="shared" si="32"/>
        <v>0</v>
      </c>
      <c r="AF144" s="3" t="str">
        <f t="shared" si="33"/>
        <v>Partial detection only</v>
      </c>
      <c r="AG144" s="16">
        <v>0</v>
      </c>
      <c r="AH144" s="16">
        <f>IF(B144&lt;&gt;"Sensor Snapshot","",IF(ISNUMBER(AG144),IF(AG144&lt;0,"",IF(AG144&gt;10,AG144/'02_Parameters'!$B$17,AG144)),""))</f>
        <v>0</v>
      </c>
      <c r="AI144" t="str">
        <f t="shared" si="34"/>
        <v>Valid</v>
      </c>
      <c r="AJ144">
        <f t="shared" si="35"/>
        <v>0</v>
      </c>
      <c r="AK144">
        <f t="shared" si="36"/>
        <v>0</v>
      </c>
      <c r="AM144">
        <f t="shared" si="37"/>
        <v>0</v>
      </c>
      <c r="AN144">
        <f>IF(B144&lt;&gt;"Sensor Snapshot","",--(N144&gt;='02_Parameters'!$B$13))</f>
        <v>0</v>
      </c>
      <c r="AO144">
        <f>IF(B144&lt;&gt;"Sensor Snapshot","",--(AND(L144="PUMPING",ISNUMBER(AH144),AH144&lt;='02_Parameters'!$B$10)))</f>
        <v>0</v>
      </c>
      <c r="AP144" s="16"/>
      <c r="AQ144" s="16" t="str">
        <f t="shared" si="38"/>
        <v/>
      </c>
      <c r="AR144" s="16" t="str">
        <f t="shared" si="39"/>
        <v/>
      </c>
      <c r="AU144" t="s">
        <v>236</v>
      </c>
      <c r="AV144" t="s">
        <v>237</v>
      </c>
      <c r="AW144" s="3" t="s">
        <v>238</v>
      </c>
      <c r="AX144" s="3">
        <f t="shared" si="40"/>
        <v>100</v>
      </c>
      <c r="AY144" s="3" t="str">
        <f t="shared" si="41"/>
        <v>A</v>
      </c>
      <c r="AZ144" s="3" t="s">
        <v>386</v>
      </c>
      <c r="BA144" s="3"/>
    </row>
    <row r="145" spans="1:53" ht="27.6">
      <c r="A145" t="s">
        <v>444</v>
      </c>
      <c r="B145" t="s">
        <v>231</v>
      </c>
      <c r="C145" s="14">
        <v>274021</v>
      </c>
      <c r="D145" s="15">
        <f t="shared" si="28"/>
        <v>274.02100000000002</v>
      </c>
      <c r="E145" t="s">
        <v>232</v>
      </c>
      <c r="G145" t="s">
        <v>234</v>
      </c>
      <c r="H145" t="s">
        <v>235</v>
      </c>
      <c r="I145" s="3"/>
      <c r="J145" s="3"/>
      <c r="L145" t="s">
        <v>385</v>
      </c>
      <c r="M145">
        <f t="shared" si="29"/>
        <v>0</v>
      </c>
      <c r="N145">
        <v>1</v>
      </c>
      <c r="O145" s="16">
        <v>27.3</v>
      </c>
      <c r="P145" s="16">
        <f>IF(AND(ISNUMBER(O145),O145&lt;&gt;-1,O145&gt;='02_Parameters'!$B$18,O145&lt;='02_Parameters'!$B$19),O145,"")</f>
        <v>27.3</v>
      </c>
      <c r="Q145" s="16">
        <v>27.3</v>
      </c>
      <c r="R145" t="str">
        <f>IF(B145&lt;&gt;"Sensor Snapshot","",IF(O145="","Missing",IF(O145=-1,"Sensor failure sentinel (-1)",IF(OR(O145&lt;'02_Parameters'!$B$18,O145&gt;'02_Parameters'!$B$19),"Out of accepted range","Valid"))))</f>
        <v>Valid</v>
      </c>
      <c r="S145" s="16">
        <v>80.8</v>
      </c>
      <c r="T145" s="16">
        <f>IF(AND(ISNUMBER(S145),S145&lt;&gt;-1,S145&gt;='02_Parameters'!$B$20,S145&lt;='02_Parameters'!$B$21),S145,"")</f>
        <v>80.8</v>
      </c>
      <c r="U145" s="16">
        <v>80.8</v>
      </c>
      <c r="V145" t="str">
        <f>IF(B145&lt;&gt;"Sensor Snapshot","",IF(S145="","Missing",IF(S145=-1,"Sensor failure sentinel (-1)",IF(OR(S145&lt;'02_Parameters'!$B$20,S145&gt;'02_Parameters'!$B$21),"Out of accepted range","Valid"))))</f>
        <v>Valid</v>
      </c>
      <c r="W145" s="16">
        <v>-0.3</v>
      </c>
      <c r="X145" s="16">
        <f t="shared" si="30"/>
        <v>0.3</v>
      </c>
      <c r="Y145" t="str">
        <f t="shared" si="31"/>
        <v>Sign corrected to positive</v>
      </c>
      <c r="Z145" s="16"/>
      <c r="AA145">
        <v>1</v>
      </c>
      <c r="AB145">
        <f>IF(B145&lt;&gt;"Sensor Snapshot","",IF(ISNUMBER(AA145),--(AA145&lt;&gt;0),IF(ISNUMBER(Z145),--(Z145&lt;'02_Parameters'!$B$15),"")))</f>
        <v>1</v>
      </c>
      <c r="AC145">
        <f>IF(B145&lt;&gt;"Sensor Snapshot","",IF(ISNUMBER(X145),--(X145&gt;='02_Parameters'!$B$16),""))</f>
        <v>0</v>
      </c>
      <c r="AD145">
        <v>0</v>
      </c>
      <c r="AE145">
        <f t="shared" si="32"/>
        <v>0</v>
      </c>
      <c r="AF145" s="3" t="str">
        <f t="shared" si="33"/>
        <v>Partial detection only</v>
      </c>
      <c r="AG145" s="16">
        <v>0</v>
      </c>
      <c r="AH145" s="16">
        <f>IF(B145&lt;&gt;"Sensor Snapshot","",IF(ISNUMBER(AG145),IF(AG145&lt;0,"",IF(AG145&gt;10,AG145/'02_Parameters'!$B$17,AG145)),""))</f>
        <v>0</v>
      </c>
      <c r="AI145" t="str">
        <f t="shared" si="34"/>
        <v>Valid</v>
      </c>
      <c r="AJ145">
        <f t="shared" si="35"/>
        <v>0</v>
      </c>
      <c r="AK145">
        <f t="shared" si="36"/>
        <v>0</v>
      </c>
      <c r="AM145">
        <f t="shared" si="37"/>
        <v>0</v>
      </c>
      <c r="AN145">
        <f>IF(B145&lt;&gt;"Sensor Snapshot","",--(N145&gt;='02_Parameters'!$B$13))</f>
        <v>0</v>
      </c>
      <c r="AO145">
        <f>IF(B145&lt;&gt;"Sensor Snapshot","",--(AND(L145="PUMPING",ISNUMBER(AH145),AH145&lt;='02_Parameters'!$B$10)))</f>
        <v>0</v>
      </c>
      <c r="AP145" s="16"/>
      <c r="AQ145" s="16" t="str">
        <f t="shared" si="38"/>
        <v/>
      </c>
      <c r="AR145" s="16" t="str">
        <f t="shared" si="39"/>
        <v/>
      </c>
      <c r="AU145" t="s">
        <v>236</v>
      </c>
      <c r="AV145" t="s">
        <v>237</v>
      </c>
      <c r="AW145" s="3" t="s">
        <v>238</v>
      </c>
      <c r="AX145" s="3">
        <f t="shared" si="40"/>
        <v>100</v>
      </c>
      <c r="AY145" s="3" t="str">
        <f t="shared" si="41"/>
        <v>A</v>
      </c>
      <c r="AZ145" s="3" t="s">
        <v>386</v>
      </c>
      <c r="BA145" s="3"/>
    </row>
    <row r="146" spans="1:53" ht="27.6">
      <c r="A146" t="s">
        <v>445</v>
      </c>
      <c r="B146" t="s">
        <v>231</v>
      </c>
      <c r="C146" s="14">
        <v>279020</v>
      </c>
      <c r="D146" s="15">
        <f t="shared" si="28"/>
        <v>279.02</v>
      </c>
      <c r="E146" t="s">
        <v>232</v>
      </c>
      <c r="G146" t="s">
        <v>234</v>
      </c>
      <c r="H146" t="s">
        <v>235</v>
      </c>
      <c r="I146" s="3"/>
      <c r="J146" s="3"/>
      <c r="L146" t="s">
        <v>385</v>
      </c>
      <c r="M146">
        <f t="shared" si="29"/>
        <v>0</v>
      </c>
      <c r="N146">
        <v>1</v>
      </c>
      <c r="O146" s="16">
        <v>27.3</v>
      </c>
      <c r="P146" s="16">
        <f>IF(AND(ISNUMBER(O146),O146&lt;&gt;-1,O146&gt;='02_Parameters'!$B$18,O146&lt;='02_Parameters'!$B$19),O146,"")</f>
        <v>27.3</v>
      </c>
      <c r="Q146" s="16">
        <v>27.3</v>
      </c>
      <c r="R146" t="str">
        <f>IF(B146&lt;&gt;"Sensor Snapshot","",IF(O146="","Missing",IF(O146=-1,"Sensor failure sentinel (-1)",IF(OR(O146&lt;'02_Parameters'!$B$18,O146&gt;'02_Parameters'!$B$19),"Out of accepted range","Valid"))))</f>
        <v>Valid</v>
      </c>
      <c r="S146" s="16">
        <v>80.900000000000006</v>
      </c>
      <c r="T146" s="16">
        <f>IF(AND(ISNUMBER(S146),S146&lt;&gt;-1,S146&gt;='02_Parameters'!$B$20,S146&lt;='02_Parameters'!$B$21),S146,"")</f>
        <v>80.900000000000006</v>
      </c>
      <c r="U146" s="16">
        <v>80.900000000000006</v>
      </c>
      <c r="V146" t="str">
        <f>IF(B146&lt;&gt;"Sensor Snapshot","",IF(S146="","Missing",IF(S146=-1,"Sensor failure sentinel (-1)",IF(OR(S146&lt;'02_Parameters'!$B$20,S146&gt;'02_Parameters'!$B$21),"Out of accepted range","Valid"))))</f>
        <v>Valid</v>
      </c>
      <c r="W146" s="16">
        <v>-1.4</v>
      </c>
      <c r="X146" s="16">
        <f t="shared" si="30"/>
        <v>1.4</v>
      </c>
      <c r="Y146" t="str">
        <f t="shared" si="31"/>
        <v>Sign corrected to positive</v>
      </c>
      <c r="Z146" s="16"/>
      <c r="AA146">
        <v>1</v>
      </c>
      <c r="AB146">
        <f>IF(B146&lt;&gt;"Sensor Snapshot","",IF(ISNUMBER(AA146),--(AA146&lt;&gt;0),IF(ISNUMBER(Z146),--(Z146&lt;'02_Parameters'!$B$15),"")))</f>
        <v>1</v>
      </c>
      <c r="AC146">
        <f>IF(B146&lt;&gt;"Sensor Snapshot","",IF(ISNUMBER(X146),--(X146&gt;='02_Parameters'!$B$16),""))</f>
        <v>0</v>
      </c>
      <c r="AD146">
        <v>1</v>
      </c>
      <c r="AE146">
        <f t="shared" si="32"/>
        <v>1</v>
      </c>
      <c r="AF146" s="3" t="str">
        <f t="shared" si="33"/>
        <v>Logged dual-sensor event</v>
      </c>
      <c r="AG146" s="16">
        <v>0</v>
      </c>
      <c r="AH146" s="16">
        <f>IF(B146&lt;&gt;"Sensor Snapshot","",IF(ISNUMBER(AG146),IF(AG146&lt;0,"",IF(AG146&gt;10,AG146/'02_Parameters'!$B$17,AG146)),""))</f>
        <v>0</v>
      </c>
      <c r="AI146" t="str">
        <f t="shared" si="34"/>
        <v>Valid</v>
      </c>
      <c r="AJ146">
        <f t="shared" si="35"/>
        <v>0</v>
      </c>
      <c r="AK146">
        <f t="shared" si="36"/>
        <v>0</v>
      </c>
      <c r="AM146">
        <f t="shared" si="37"/>
        <v>0</v>
      </c>
      <c r="AN146">
        <f>IF(B146&lt;&gt;"Sensor Snapshot","",--(N146&gt;='02_Parameters'!$B$13))</f>
        <v>0</v>
      </c>
      <c r="AO146">
        <f>IF(B146&lt;&gt;"Sensor Snapshot","",--(AND(L146="PUMPING",ISNUMBER(AH146),AH146&lt;='02_Parameters'!$B$10)))</f>
        <v>0</v>
      </c>
      <c r="AP146" s="16"/>
      <c r="AQ146" s="16" t="str">
        <f t="shared" si="38"/>
        <v/>
      </c>
      <c r="AR146" s="16" t="str">
        <f t="shared" si="39"/>
        <v/>
      </c>
      <c r="AU146" t="s">
        <v>236</v>
      </c>
      <c r="AV146" t="s">
        <v>237</v>
      </c>
      <c r="AW146" s="3" t="s">
        <v>238</v>
      </c>
      <c r="AX146" s="3">
        <f t="shared" si="40"/>
        <v>100</v>
      </c>
      <c r="AY146" s="3" t="str">
        <f t="shared" si="41"/>
        <v>A</v>
      </c>
      <c r="AZ146" s="3" t="s">
        <v>386</v>
      </c>
      <c r="BA146" s="3" t="s">
        <v>433</v>
      </c>
    </row>
    <row r="147" spans="1:53" ht="27.6">
      <c r="A147" t="s">
        <v>446</v>
      </c>
      <c r="B147" t="s">
        <v>242</v>
      </c>
      <c r="C147" s="14">
        <v>279020</v>
      </c>
      <c r="D147" s="15">
        <f t="shared" si="28"/>
        <v>279.02</v>
      </c>
      <c r="E147" t="s">
        <v>232</v>
      </c>
      <c r="G147" t="s">
        <v>91</v>
      </c>
      <c r="H147" t="s">
        <v>374</v>
      </c>
      <c r="I147" s="3" t="s">
        <v>435</v>
      </c>
      <c r="J147" s="3" t="s">
        <v>436</v>
      </c>
      <c r="L147" t="s">
        <v>385</v>
      </c>
      <c r="M147">
        <f t="shared" si="29"/>
        <v>0</v>
      </c>
      <c r="O147" s="16"/>
      <c r="P147" s="16" t="str">
        <f>IF(AND(ISNUMBER(O147),O147&lt;&gt;-1,O147&gt;='02_Parameters'!$B$18,O147&lt;='02_Parameters'!$B$19),O147,"")</f>
        <v/>
      </c>
      <c r="Q147" s="16"/>
      <c r="R147" t="str">
        <f>IF(B147&lt;&gt;"Sensor Snapshot","",IF(O147="","Missing",IF(O147=-1,"Sensor failure sentinel (-1)",IF(OR(O147&lt;'02_Parameters'!$B$18,O147&gt;'02_Parameters'!$B$19),"Out of accepted range","Valid"))))</f>
        <v/>
      </c>
      <c r="S147" s="16"/>
      <c r="T147" s="16" t="str">
        <f>IF(AND(ISNUMBER(S147),S147&lt;&gt;-1,S147&gt;='02_Parameters'!$B$20,S147&lt;='02_Parameters'!$B$21),S147,"")</f>
        <v/>
      </c>
      <c r="U147" s="16"/>
      <c r="V147" t="str">
        <f>IF(B147&lt;&gt;"Sensor Snapshot","",IF(S147="","Missing",IF(S147=-1,"Sensor failure sentinel (-1)",IF(OR(S147&lt;'02_Parameters'!$B$20,S147&gt;'02_Parameters'!$B$21),"Out of accepted range","Valid"))))</f>
        <v/>
      </c>
      <c r="W147" s="16"/>
      <c r="X147" s="16" t="str">
        <f t="shared" si="30"/>
        <v/>
      </c>
      <c r="Y147" t="str">
        <f t="shared" si="31"/>
        <v/>
      </c>
      <c r="Z147" s="16"/>
      <c r="AB147" t="str">
        <f>IF(B147&lt;&gt;"Sensor Snapshot","",IF(ISNUMBER(AA147),--(AA147&lt;&gt;0),IF(ISNUMBER(Z147),--(Z147&lt;'02_Parameters'!$B$15),"")))</f>
        <v/>
      </c>
      <c r="AC147" t="str">
        <f>IF(B147&lt;&gt;"Sensor Snapshot","",IF(ISNUMBER(X147),--(X147&gt;='02_Parameters'!$B$16),""))</f>
        <v/>
      </c>
      <c r="AD147">
        <v>1</v>
      </c>
      <c r="AE147" t="str">
        <f t="shared" si="32"/>
        <v/>
      </c>
      <c r="AF147" s="3" t="str">
        <f t="shared" si="33"/>
        <v/>
      </c>
      <c r="AG147" s="16"/>
      <c r="AH147" s="16" t="str">
        <f>IF(B147&lt;&gt;"Sensor Snapshot","",IF(ISNUMBER(AG147),IF(AG147&lt;0,"",IF(AG147&gt;10,AG147/'02_Parameters'!$B$17,AG147)),""))</f>
        <v/>
      </c>
      <c r="AI147" t="str">
        <f t="shared" si="34"/>
        <v/>
      </c>
      <c r="AJ147" t="str">
        <f t="shared" si="35"/>
        <v/>
      </c>
      <c r="AK147" t="str">
        <f t="shared" si="36"/>
        <v/>
      </c>
      <c r="AM147" t="str">
        <f t="shared" si="37"/>
        <v/>
      </c>
      <c r="AN147" t="str">
        <f>IF(B147&lt;&gt;"Sensor Snapshot","",--(N147&gt;='02_Parameters'!$B$13))</f>
        <v/>
      </c>
      <c r="AO147" t="str">
        <f>IF(B147&lt;&gt;"Sensor Snapshot","",--(AND(L147="PUMPING",ISNUMBER(AH147),AH147&lt;='02_Parameters'!$B$10)))</f>
        <v/>
      </c>
      <c r="AP147" s="16"/>
      <c r="AQ147" s="16" t="str">
        <f t="shared" si="38"/>
        <v/>
      </c>
      <c r="AR147" s="16" t="str">
        <f t="shared" si="39"/>
        <v/>
      </c>
      <c r="AW147" s="3" t="s">
        <v>377</v>
      </c>
      <c r="AX147" s="3" t="str">
        <f t="shared" si="40"/>
        <v/>
      </c>
      <c r="AY147" s="3" t="str">
        <f t="shared" si="41"/>
        <v/>
      </c>
      <c r="AZ147" s="3" t="s">
        <v>437</v>
      </c>
      <c r="BA147" s="3"/>
    </row>
    <row r="148" spans="1:53" ht="27.6">
      <c r="A148" t="s">
        <v>447</v>
      </c>
      <c r="B148" t="s">
        <v>242</v>
      </c>
      <c r="C148" s="14">
        <v>279020</v>
      </c>
      <c r="D148" s="15">
        <f t="shared" si="28"/>
        <v>279.02</v>
      </c>
      <c r="E148" t="s">
        <v>232</v>
      </c>
      <c r="G148" t="s">
        <v>91</v>
      </c>
      <c r="H148" t="s">
        <v>374</v>
      </c>
      <c r="I148" s="3" t="s">
        <v>439</v>
      </c>
      <c r="J148" s="3" t="s">
        <v>440</v>
      </c>
      <c r="L148" t="s">
        <v>385</v>
      </c>
      <c r="M148">
        <f t="shared" si="29"/>
        <v>0</v>
      </c>
      <c r="O148" s="16"/>
      <c r="P148" s="16" t="str">
        <f>IF(AND(ISNUMBER(O148),O148&lt;&gt;-1,O148&gt;='02_Parameters'!$B$18,O148&lt;='02_Parameters'!$B$19),O148,"")</f>
        <v/>
      </c>
      <c r="Q148" s="16"/>
      <c r="R148" t="str">
        <f>IF(B148&lt;&gt;"Sensor Snapshot","",IF(O148="","Missing",IF(O148=-1,"Sensor failure sentinel (-1)",IF(OR(O148&lt;'02_Parameters'!$B$18,O148&gt;'02_Parameters'!$B$19),"Out of accepted range","Valid"))))</f>
        <v/>
      </c>
      <c r="S148" s="16"/>
      <c r="T148" s="16" t="str">
        <f>IF(AND(ISNUMBER(S148),S148&lt;&gt;-1,S148&gt;='02_Parameters'!$B$20,S148&lt;='02_Parameters'!$B$21),S148,"")</f>
        <v/>
      </c>
      <c r="U148" s="16"/>
      <c r="V148" t="str">
        <f>IF(B148&lt;&gt;"Sensor Snapshot","",IF(S148="","Missing",IF(S148=-1,"Sensor failure sentinel (-1)",IF(OR(S148&lt;'02_Parameters'!$B$20,S148&gt;'02_Parameters'!$B$21),"Out of accepted range","Valid"))))</f>
        <v/>
      </c>
      <c r="W148" s="16"/>
      <c r="X148" s="16" t="str">
        <f t="shared" si="30"/>
        <v/>
      </c>
      <c r="Y148" t="str">
        <f t="shared" si="31"/>
        <v/>
      </c>
      <c r="Z148" s="16"/>
      <c r="AB148" t="str">
        <f>IF(B148&lt;&gt;"Sensor Snapshot","",IF(ISNUMBER(AA148),--(AA148&lt;&gt;0),IF(ISNUMBER(Z148),--(Z148&lt;'02_Parameters'!$B$15),"")))</f>
        <v/>
      </c>
      <c r="AC148" t="str">
        <f>IF(B148&lt;&gt;"Sensor Snapshot","",IF(ISNUMBER(X148),--(X148&gt;='02_Parameters'!$B$16),""))</f>
        <v/>
      </c>
      <c r="AD148">
        <v>0</v>
      </c>
      <c r="AE148" t="str">
        <f t="shared" si="32"/>
        <v/>
      </c>
      <c r="AF148" s="3" t="str">
        <f t="shared" si="33"/>
        <v/>
      </c>
      <c r="AG148" s="16"/>
      <c r="AH148" s="16" t="str">
        <f>IF(B148&lt;&gt;"Sensor Snapshot","",IF(ISNUMBER(AG148),IF(AG148&lt;0,"",IF(AG148&gt;10,AG148/'02_Parameters'!$B$17,AG148)),""))</f>
        <v/>
      </c>
      <c r="AI148" t="str">
        <f t="shared" si="34"/>
        <v/>
      </c>
      <c r="AJ148" t="str">
        <f t="shared" si="35"/>
        <v/>
      </c>
      <c r="AK148" t="str">
        <f t="shared" si="36"/>
        <v/>
      </c>
      <c r="AM148" t="str">
        <f t="shared" si="37"/>
        <v/>
      </c>
      <c r="AN148" t="str">
        <f>IF(B148&lt;&gt;"Sensor Snapshot","",--(N148&gt;='02_Parameters'!$B$13))</f>
        <v/>
      </c>
      <c r="AO148" t="str">
        <f>IF(B148&lt;&gt;"Sensor Snapshot","",--(AND(L148="PUMPING",ISNUMBER(AH148),AH148&lt;='02_Parameters'!$B$10)))</f>
        <v/>
      </c>
      <c r="AP148" s="16"/>
      <c r="AQ148" s="16" t="str">
        <f t="shared" si="38"/>
        <v/>
      </c>
      <c r="AR148" s="16" t="str">
        <f t="shared" si="39"/>
        <v/>
      </c>
      <c r="AW148" s="3" t="s">
        <v>377</v>
      </c>
      <c r="AX148" s="3" t="str">
        <f t="shared" si="40"/>
        <v/>
      </c>
      <c r="AY148" s="3" t="str">
        <f t="shared" si="41"/>
        <v/>
      </c>
      <c r="AZ148" s="3" t="s">
        <v>247</v>
      </c>
      <c r="BA148" s="3"/>
    </row>
    <row r="149" spans="1:53" ht="27.6">
      <c r="A149" t="s">
        <v>448</v>
      </c>
      <c r="B149" t="s">
        <v>231</v>
      </c>
      <c r="C149" s="14">
        <v>294210</v>
      </c>
      <c r="D149" s="15">
        <f t="shared" si="28"/>
        <v>294.20999999999998</v>
      </c>
      <c r="E149" t="s">
        <v>232</v>
      </c>
      <c r="G149" t="s">
        <v>234</v>
      </c>
      <c r="H149" t="s">
        <v>235</v>
      </c>
      <c r="I149" s="3"/>
      <c r="J149" s="3"/>
      <c r="L149" t="s">
        <v>385</v>
      </c>
      <c r="M149">
        <f t="shared" si="29"/>
        <v>0</v>
      </c>
      <c r="N149">
        <v>2</v>
      </c>
      <c r="O149" s="16">
        <v>27.3</v>
      </c>
      <c r="P149" s="16">
        <f>IF(AND(ISNUMBER(O149),O149&lt;&gt;-1,O149&gt;='02_Parameters'!$B$18,O149&lt;='02_Parameters'!$B$19),O149,"")</f>
        <v>27.3</v>
      </c>
      <c r="Q149" s="16">
        <v>27.3</v>
      </c>
      <c r="R149" t="str">
        <f>IF(B149&lt;&gt;"Sensor Snapshot","",IF(O149="","Missing",IF(O149=-1,"Sensor failure sentinel (-1)",IF(OR(O149&lt;'02_Parameters'!$B$18,O149&gt;'02_Parameters'!$B$19),"Out of accepted range","Valid"))))</f>
        <v>Valid</v>
      </c>
      <c r="S149" s="16">
        <v>80.900000000000006</v>
      </c>
      <c r="T149" s="16">
        <f>IF(AND(ISNUMBER(S149),S149&lt;&gt;-1,S149&gt;='02_Parameters'!$B$20,S149&lt;='02_Parameters'!$B$21),S149,"")</f>
        <v>80.900000000000006</v>
      </c>
      <c r="U149" s="16">
        <v>80.900000000000006</v>
      </c>
      <c r="V149" t="str">
        <f>IF(B149&lt;&gt;"Sensor Snapshot","",IF(S149="","Missing",IF(S149=-1,"Sensor failure sentinel (-1)",IF(OR(S149&lt;'02_Parameters'!$B$20,S149&gt;'02_Parameters'!$B$21),"Out of accepted range","Valid"))))</f>
        <v>Valid</v>
      </c>
      <c r="W149" s="16">
        <v>29.8</v>
      </c>
      <c r="X149" s="16">
        <f t="shared" si="30"/>
        <v>29.8</v>
      </c>
      <c r="Y149" t="str">
        <f t="shared" si="31"/>
        <v>Valid</v>
      </c>
      <c r="Z149" s="16"/>
      <c r="AA149">
        <v>1</v>
      </c>
      <c r="AB149">
        <f>IF(B149&lt;&gt;"Sensor Snapshot","",IF(ISNUMBER(AA149),--(AA149&lt;&gt;0),IF(ISNUMBER(Z149),--(Z149&lt;'02_Parameters'!$B$15),"")))</f>
        <v>1</v>
      </c>
      <c r="AC149">
        <f>IF(B149&lt;&gt;"Sensor Snapshot","",IF(ISNUMBER(X149),--(X149&gt;='02_Parameters'!$B$16),""))</f>
        <v>1</v>
      </c>
      <c r="AD149">
        <v>1</v>
      </c>
      <c r="AE149">
        <f t="shared" si="32"/>
        <v>1</v>
      </c>
      <c r="AF149" s="3" t="str">
        <f t="shared" si="33"/>
        <v>Logged dual-sensor event</v>
      </c>
      <c r="AG149" s="16">
        <v>0</v>
      </c>
      <c r="AH149" s="16">
        <f>IF(B149&lt;&gt;"Sensor Snapshot","",IF(ISNUMBER(AG149),IF(AG149&lt;0,"",IF(AG149&gt;10,AG149/'02_Parameters'!$B$17,AG149)),""))</f>
        <v>0</v>
      </c>
      <c r="AI149" t="str">
        <f t="shared" si="34"/>
        <v>Valid</v>
      </c>
      <c r="AJ149">
        <f t="shared" si="35"/>
        <v>0</v>
      </c>
      <c r="AK149">
        <f t="shared" si="36"/>
        <v>0</v>
      </c>
      <c r="AM149">
        <f t="shared" si="37"/>
        <v>0</v>
      </c>
      <c r="AN149">
        <f>IF(B149&lt;&gt;"Sensor Snapshot","",--(N149&gt;='02_Parameters'!$B$13))</f>
        <v>0</v>
      </c>
      <c r="AO149">
        <f>IF(B149&lt;&gt;"Sensor Snapshot","",--(AND(L149="PUMPING",ISNUMBER(AH149),AH149&lt;='02_Parameters'!$B$10)))</f>
        <v>0</v>
      </c>
      <c r="AP149" s="16"/>
      <c r="AQ149" s="16" t="str">
        <f t="shared" si="38"/>
        <v/>
      </c>
      <c r="AR149" s="16" t="str">
        <f t="shared" si="39"/>
        <v/>
      </c>
      <c r="AU149" t="s">
        <v>236</v>
      </c>
      <c r="AV149" t="s">
        <v>237</v>
      </c>
      <c r="AW149" s="3" t="s">
        <v>257</v>
      </c>
      <c r="AX149" s="3">
        <f t="shared" si="40"/>
        <v>100</v>
      </c>
      <c r="AY149" s="3" t="str">
        <f t="shared" si="41"/>
        <v>A</v>
      </c>
      <c r="AZ149" s="3" t="s">
        <v>386</v>
      </c>
      <c r="BA149" s="3" t="s">
        <v>433</v>
      </c>
    </row>
    <row r="150" spans="1:53" ht="27.6">
      <c r="A150" t="s">
        <v>449</v>
      </c>
      <c r="B150" t="s">
        <v>242</v>
      </c>
      <c r="C150" s="14">
        <v>294210</v>
      </c>
      <c r="D150" s="15">
        <f t="shared" si="28"/>
        <v>294.20999999999998</v>
      </c>
      <c r="E150" t="s">
        <v>232</v>
      </c>
      <c r="G150" t="s">
        <v>91</v>
      </c>
      <c r="H150" t="s">
        <v>374</v>
      </c>
      <c r="I150" s="3" t="s">
        <v>435</v>
      </c>
      <c r="J150" s="3" t="s">
        <v>436</v>
      </c>
      <c r="L150" t="s">
        <v>385</v>
      </c>
      <c r="M150">
        <f t="shared" si="29"/>
        <v>0</v>
      </c>
      <c r="O150" s="16"/>
      <c r="P150" s="16" t="str">
        <f>IF(AND(ISNUMBER(O150),O150&lt;&gt;-1,O150&gt;='02_Parameters'!$B$18,O150&lt;='02_Parameters'!$B$19),O150,"")</f>
        <v/>
      </c>
      <c r="Q150" s="16"/>
      <c r="R150" t="str">
        <f>IF(B150&lt;&gt;"Sensor Snapshot","",IF(O150="","Missing",IF(O150=-1,"Sensor failure sentinel (-1)",IF(OR(O150&lt;'02_Parameters'!$B$18,O150&gt;'02_Parameters'!$B$19),"Out of accepted range","Valid"))))</f>
        <v/>
      </c>
      <c r="S150" s="16"/>
      <c r="T150" s="16" t="str">
        <f>IF(AND(ISNUMBER(S150),S150&lt;&gt;-1,S150&gt;='02_Parameters'!$B$20,S150&lt;='02_Parameters'!$B$21),S150,"")</f>
        <v/>
      </c>
      <c r="U150" s="16"/>
      <c r="V150" t="str">
        <f>IF(B150&lt;&gt;"Sensor Snapshot","",IF(S150="","Missing",IF(S150=-1,"Sensor failure sentinel (-1)",IF(OR(S150&lt;'02_Parameters'!$B$20,S150&gt;'02_Parameters'!$B$21),"Out of accepted range","Valid"))))</f>
        <v/>
      </c>
      <c r="W150" s="16"/>
      <c r="X150" s="16" t="str">
        <f t="shared" si="30"/>
        <v/>
      </c>
      <c r="Y150" t="str">
        <f t="shared" si="31"/>
        <v/>
      </c>
      <c r="Z150" s="16"/>
      <c r="AB150" t="str">
        <f>IF(B150&lt;&gt;"Sensor Snapshot","",IF(ISNUMBER(AA150),--(AA150&lt;&gt;0),IF(ISNUMBER(Z150),--(Z150&lt;'02_Parameters'!$B$15),"")))</f>
        <v/>
      </c>
      <c r="AC150" t="str">
        <f>IF(B150&lt;&gt;"Sensor Snapshot","",IF(ISNUMBER(X150),--(X150&gt;='02_Parameters'!$B$16),""))</f>
        <v/>
      </c>
      <c r="AD150">
        <v>1</v>
      </c>
      <c r="AE150" t="str">
        <f t="shared" si="32"/>
        <v/>
      </c>
      <c r="AF150" s="3" t="str">
        <f t="shared" si="33"/>
        <v/>
      </c>
      <c r="AG150" s="16"/>
      <c r="AH150" s="16" t="str">
        <f>IF(B150&lt;&gt;"Sensor Snapshot","",IF(ISNUMBER(AG150),IF(AG150&lt;0,"",IF(AG150&gt;10,AG150/'02_Parameters'!$B$17,AG150)),""))</f>
        <v/>
      </c>
      <c r="AI150" t="str">
        <f t="shared" si="34"/>
        <v/>
      </c>
      <c r="AJ150" t="str">
        <f t="shared" si="35"/>
        <v/>
      </c>
      <c r="AK150" t="str">
        <f t="shared" si="36"/>
        <v/>
      </c>
      <c r="AM150" t="str">
        <f t="shared" si="37"/>
        <v/>
      </c>
      <c r="AN150" t="str">
        <f>IF(B150&lt;&gt;"Sensor Snapshot","",--(N150&gt;='02_Parameters'!$B$13))</f>
        <v/>
      </c>
      <c r="AO150" t="str">
        <f>IF(B150&lt;&gt;"Sensor Snapshot","",--(AND(L150="PUMPING",ISNUMBER(AH150),AH150&lt;='02_Parameters'!$B$10)))</f>
        <v/>
      </c>
      <c r="AP150" s="16"/>
      <c r="AQ150" s="16" t="str">
        <f t="shared" si="38"/>
        <v/>
      </c>
      <c r="AR150" s="16" t="str">
        <f t="shared" si="39"/>
        <v/>
      </c>
      <c r="AW150" s="3" t="s">
        <v>377</v>
      </c>
      <c r="AX150" s="3" t="str">
        <f t="shared" si="40"/>
        <v/>
      </c>
      <c r="AY150" s="3" t="str">
        <f t="shared" si="41"/>
        <v/>
      </c>
      <c r="AZ150" s="3" t="s">
        <v>437</v>
      </c>
      <c r="BA150" s="3"/>
    </row>
    <row r="151" spans="1:53" ht="27.6">
      <c r="A151" t="s">
        <v>450</v>
      </c>
      <c r="B151" t="s">
        <v>242</v>
      </c>
      <c r="C151" s="14">
        <v>294210</v>
      </c>
      <c r="D151" s="15">
        <f t="shared" si="28"/>
        <v>294.20999999999998</v>
      </c>
      <c r="E151" t="s">
        <v>232</v>
      </c>
      <c r="G151" t="s">
        <v>91</v>
      </c>
      <c r="H151" t="s">
        <v>374</v>
      </c>
      <c r="I151" s="3" t="s">
        <v>439</v>
      </c>
      <c r="J151" s="3" t="s">
        <v>440</v>
      </c>
      <c r="L151" t="s">
        <v>385</v>
      </c>
      <c r="M151">
        <f t="shared" si="29"/>
        <v>0</v>
      </c>
      <c r="O151" s="16"/>
      <c r="P151" s="16" t="str">
        <f>IF(AND(ISNUMBER(O151),O151&lt;&gt;-1,O151&gt;='02_Parameters'!$B$18,O151&lt;='02_Parameters'!$B$19),O151,"")</f>
        <v/>
      </c>
      <c r="Q151" s="16"/>
      <c r="R151" t="str">
        <f>IF(B151&lt;&gt;"Sensor Snapshot","",IF(O151="","Missing",IF(O151=-1,"Sensor failure sentinel (-1)",IF(OR(O151&lt;'02_Parameters'!$B$18,O151&gt;'02_Parameters'!$B$19),"Out of accepted range","Valid"))))</f>
        <v/>
      </c>
      <c r="S151" s="16"/>
      <c r="T151" s="16" t="str">
        <f>IF(AND(ISNUMBER(S151),S151&lt;&gt;-1,S151&gt;='02_Parameters'!$B$20,S151&lt;='02_Parameters'!$B$21),S151,"")</f>
        <v/>
      </c>
      <c r="U151" s="16"/>
      <c r="V151" t="str">
        <f>IF(B151&lt;&gt;"Sensor Snapshot","",IF(S151="","Missing",IF(S151=-1,"Sensor failure sentinel (-1)",IF(OR(S151&lt;'02_Parameters'!$B$20,S151&gt;'02_Parameters'!$B$21),"Out of accepted range","Valid"))))</f>
        <v/>
      </c>
      <c r="W151" s="16"/>
      <c r="X151" s="16" t="str">
        <f t="shared" si="30"/>
        <v/>
      </c>
      <c r="Y151" t="str">
        <f t="shared" si="31"/>
        <v/>
      </c>
      <c r="Z151" s="16"/>
      <c r="AB151" t="str">
        <f>IF(B151&lt;&gt;"Sensor Snapshot","",IF(ISNUMBER(AA151),--(AA151&lt;&gt;0),IF(ISNUMBER(Z151),--(Z151&lt;'02_Parameters'!$B$15),"")))</f>
        <v/>
      </c>
      <c r="AC151" t="str">
        <f>IF(B151&lt;&gt;"Sensor Snapshot","",IF(ISNUMBER(X151),--(X151&gt;='02_Parameters'!$B$16),""))</f>
        <v/>
      </c>
      <c r="AD151">
        <v>0</v>
      </c>
      <c r="AE151" t="str">
        <f t="shared" si="32"/>
        <v/>
      </c>
      <c r="AF151" s="3" t="str">
        <f t="shared" si="33"/>
        <v/>
      </c>
      <c r="AG151" s="16"/>
      <c r="AH151" s="16" t="str">
        <f>IF(B151&lt;&gt;"Sensor Snapshot","",IF(ISNUMBER(AG151),IF(AG151&lt;0,"",IF(AG151&gt;10,AG151/'02_Parameters'!$B$17,AG151)),""))</f>
        <v/>
      </c>
      <c r="AI151" t="str">
        <f t="shared" si="34"/>
        <v/>
      </c>
      <c r="AJ151" t="str">
        <f t="shared" si="35"/>
        <v/>
      </c>
      <c r="AK151" t="str">
        <f t="shared" si="36"/>
        <v/>
      </c>
      <c r="AM151" t="str">
        <f t="shared" si="37"/>
        <v/>
      </c>
      <c r="AN151" t="str">
        <f>IF(B151&lt;&gt;"Sensor Snapshot","",--(N151&gt;='02_Parameters'!$B$13))</f>
        <v/>
      </c>
      <c r="AO151" t="str">
        <f>IF(B151&lt;&gt;"Sensor Snapshot","",--(AND(L151="PUMPING",ISNUMBER(AH151),AH151&lt;='02_Parameters'!$B$10)))</f>
        <v/>
      </c>
      <c r="AP151" s="16"/>
      <c r="AQ151" s="16" t="str">
        <f t="shared" si="38"/>
        <v/>
      </c>
      <c r="AR151" s="16" t="str">
        <f t="shared" si="39"/>
        <v/>
      </c>
      <c r="AW151" s="3" t="s">
        <v>377</v>
      </c>
      <c r="AX151" s="3" t="str">
        <f t="shared" si="40"/>
        <v/>
      </c>
      <c r="AY151" s="3" t="str">
        <f t="shared" si="41"/>
        <v/>
      </c>
      <c r="AZ151" s="3" t="s">
        <v>247</v>
      </c>
      <c r="BA151" s="3"/>
    </row>
    <row r="152" spans="1:53" ht="27.6">
      <c r="A152" t="s">
        <v>451</v>
      </c>
      <c r="B152" t="s">
        <v>231</v>
      </c>
      <c r="C152" s="14">
        <v>302134</v>
      </c>
      <c r="D152" s="15">
        <f t="shared" si="28"/>
        <v>302.13400000000001</v>
      </c>
      <c r="E152" t="s">
        <v>232</v>
      </c>
      <c r="G152" t="s">
        <v>234</v>
      </c>
      <c r="H152" t="s">
        <v>235</v>
      </c>
      <c r="I152" s="3"/>
      <c r="J152" s="3"/>
      <c r="L152" t="s">
        <v>385</v>
      </c>
      <c r="M152">
        <f t="shared" si="29"/>
        <v>0</v>
      </c>
      <c r="N152">
        <v>0</v>
      </c>
      <c r="O152" s="16">
        <v>27.3</v>
      </c>
      <c r="P152" s="16">
        <f>IF(AND(ISNUMBER(O152),O152&lt;&gt;-1,O152&gt;='02_Parameters'!$B$18,O152&lt;='02_Parameters'!$B$19),O152,"")</f>
        <v>27.3</v>
      </c>
      <c r="Q152" s="16">
        <v>27.3</v>
      </c>
      <c r="R152" t="str">
        <f>IF(B152&lt;&gt;"Sensor Snapshot","",IF(O152="","Missing",IF(O152=-1,"Sensor failure sentinel (-1)",IF(OR(O152&lt;'02_Parameters'!$B$18,O152&gt;'02_Parameters'!$B$19),"Out of accepted range","Valid"))))</f>
        <v>Valid</v>
      </c>
      <c r="S152" s="16">
        <v>81.3</v>
      </c>
      <c r="T152" s="16">
        <f>IF(AND(ISNUMBER(S152),S152&lt;&gt;-1,S152&gt;='02_Parameters'!$B$20,S152&lt;='02_Parameters'!$B$21),S152,"")</f>
        <v>81.3</v>
      </c>
      <c r="U152" s="16">
        <v>81.3</v>
      </c>
      <c r="V152" t="str">
        <f>IF(B152&lt;&gt;"Sensor Snapshot","",IF(S152="","Missing",IF(S152=-1,"Sensor failure sentinel (-1)",IF(OR(S152&lt;'02_Parameters'!$B$20,S152&gt;'02_Parameters'!$B$21),"Out of accepted range","Valid"))))</f>
        <v>Valid</v>
      </c>
      <c r="W152" s="16">
        <v>32.4</v>
      </c>
      <c r="X152" s="16">
        <f t="shared" si="30"/>
        <v>32.4</v>
      </c>
      <c r="Y152" t="str">
        <f t="shared" si="31"/>
        <v>Valid</v>
      </c>
      <c r="Z152" s="16"/>
      <c r="AA152">
        <v>1</v>
      </c>
      <c r="AB152">
        <f>IF(B152&lt;&gt;"Sensor Snapshot","",IF(ISNUMBER(AA152),--(AA152&lt;&gt;0),IF(ISNUMBER(Z152),--(Z152&lt;'02_Parameters'!$B$15),"")))</f>
        <v>1</v>
      </c>
      <c r="AC152">
        <f>IF(B152&lt;&gt;"Sensor Snapshot","",IF(ISNUMBER(X152),--(X152&gt;='02_Parameters'!$B$16),""))</f>
        <v>1</v>
      </c>
      <c r="AD152">
        <v>0</v>
      </c>
      <c r="AE152">
        <f t="shared" si="32"/>
        <v>1</v>
      </c>
      <c r="AF152" s="3" t="str">
        <f t="shared" si="33"/>
        <v>Derived: optical AND weight</v>
      </c>
      <c r="AG152" s="16">
        <v>0</v>
      </c>
      <c r="AH152" s="16">
        <f>IF(B152&lt;&gt;"Sensor Snapshot","",IF(ISNUMBER(AG152),IF(AG152&lt;0,"",IF(AG152&gt;10,AG152/'02_Parameters'!$B$17,AG152)),""))</f>
        <v>0</v>
      </c>
      <c r="AI152" t="str">
        <f t="shared" si="34"/>
        <v>Valid</v>
      </c>
      <c r="AJ152">
        <f t="shared" si="35"/>
        <v>0</v>
      </c>
      <c r="AK152">
        <f t="shared" si="36"/>
        <v>0</v>
      </c>
      <c r="AM152">
        <f t="shared" si="37"/>
        <v>0</v>
      </c>
      <c r="AN152">
        <f>IF(B152&lt;&gt;"Sensor Snapshot","",--(N152&gt;='02_Parameters'!$B$13))</f>
        <v>0</v>
      </c>
      <c r="AO152">
        <f>IF(B152&lt;&gt;"Sensor Snapshot","",--(AND(L152="PUMPING",ISNUMBER(AH152),AH152&lt;='02_Parameters'!$B$10)))</f>
        <v>0</v>
      </c>
      <c r="AP152" s="16"/>
      <c r="AQ152" s="16" t="str">
        <f t="shared" si="38"/>
        <v/>
      </c>
      <c r="AR152" s="16" t="str">
        <f t="shared" si="39"/>
        <v/>
      </c>
      <c r="AU152" t="s">
        <v>236</v>
      </c>
      <c r="AV152" t="s">
        <v>237</v>
      </c>
      <c r="AW152" s="3" t="s">
        <v>257</v>
      </c>
      <c r="AX152" s="3">
        <f t="shared" si="40"/>
        <v>100</v>
      </c>
      <c r="AY152" s="3" t="str">
        <f t="shared" si="41"/>
        <v>A</v>
      </c>
      <c r="AZ152" s="3" t="s">
        <v>386</v>
      </c>
      <c r="BA152" s="3"/>
    </row>
    <row r="153" spans="1:53" ht="27.6">
      <c r="A153" t="s">
        <v>452</v>
      </c>
      <c r="B153" t="s">
        <v>231</v>
      </c>
      <c r="C153" s="14">
        <v>307277</v>
      </c>
      <c r="D153" s="15">
        <f t="shared" si="28"/>
        <v>307.27699999999999</v>
      </c>
      <c r="E153" t="s">
        <v>232</v>
      </c>
      <c r="G153" t="s">
        <v>234</v>
      </c>
      <c r="H153" t="s">
        <v>235</v>
      </c>
      <c r="I153" s="3"/>
      <c r="J153" s="3"/>
      <c r="L153" t="s">
        <v>385</v>
      </c>
      <c r="M153">
        <f t="shared" si="29"/>
        <v>0</v>
      </c>
      <c r="N153">
        <v>0</v>
      </c>
      <c r="O153" s="16">
        <v>27.3</v>
      </c>
      <c r="P153" s="16">
        <f>IF(AND(ISNUMBER(O153),O153&lt;&gt;-1,O153&gt;='02_Parameters'!$B$18,O153&lt;='02_Parameters'!$B$19),O153,"")</f>
        <v>27.3</v>
      </c>
      <c r="Q153" s="16">
        <v>27.3</v>
      </c>
      <c r="R153" t="str">
        <f>IF(B153&lt;&gt;"Sensor Snapshot","",IF(O153="","Missing",IF(O153=-1,"Sensor failure sentinel (-1)",IF(OR(O153&lt;'02_Parameters'!$B$18,O153&gt;'02_Parameters'!$B$19),"Out of accepted range","Valid"))))</f>
        <v>Valid</v>
      </c>
      <c r="S153" s="16">
        <v>81.5</v>
      </c>
      <c r="T153" s="16">
        <f>IF(AND(ISNUMBER(S153),S153&lt;&gt;-1,S153&gt;='02_Parameters'!$B$20,S153&lt;='02_Parameters'!$B$21),S153,"")</f>
        <v>81.5</v>
      </c>
      <c r="U153" s="16">
        <v>81.5</v>
      </c>
      <c r="V153" t="str">
        <f>IF(B153&lt;&gt;"Sensor Snapshot","",IF(S153="","Missing",IF(S153=-1,"Sensor failure sentinel (-1)",IF(OR(S153&lt;'02_Parameters'!$B$20,S153&gt;'02_Parameters'!$B$21),"Out of accepted range","Valid"))))</f>
        <v>Valid</v>
      </c>
      <c r="W153" s="16">
        <v>0.4</v>
      </c>
      <c r="X153" s="16">
        <f t="shared" si="30"/>
        <v>0.4</v>
      </c>
      <c r="Y153" t="str">
        <f t="shared" si="31"/>
        <v>Valid</v>
      </c>
      <c r="Z153" s="16"/>
      <c r="AA153">
        <v>1</v>
      </c>
      <c r="AB153">
        <f>IF(B153&lt;&gt;"Sensor Snapshot","",IF(ISNUMBER(AA153),--(AA153&lt;&gt;0),IF(ISNUMBER(Z153),--(Z153&lt;'02_Parameters'!$B$15),"")))</f>
        <v>1</v>
      </c>
      <c r="AC153">
        <f>IF(B153&lt;&gt;"Sensor Snapshot","",IF(ISNUMBER(X153),--(X153&gt;='02_Parameters'!$B$16),""))</f>
        <v>0</v>
      </c>
      <c r="AD153">
        <v>0</v>
      </c>
      <c r="AE153">
        <f t="shared" si="32"/>
        <v>0</v>
      </c>
      <c r="AF153" s="3" t="str">
        <f t="shared" si="33"/>
        <v>Partial detection only</v>
      </c>
      <c r="AG153" s="16">
        <v>0</v>
      </c>
      <c r="AH153" s="16">
        <f>IF(B153&lt;&gt;"Sensor Snapshot","",IF(ISNUMBER(AG153),IF(AG153&lt;0,"",IF(AG153&gt;10,AG153/'02_Parameters'!$B$17,AG153)),""))</f>
        <v>0</v>
      </c>
      <c r="AI153" t="str">
        <f t="shared" si="34"/>
        <v>Valid</v>
      </c>
      <c r="AJ153">
        <f t="shared" si="35"/>
        <v>0</v>
      </c>
      <c r="AK153">
        <f t="shared" si="36"/>
        <v>0</v>
      </c>
      <c r="AM153">
        <f t="shared" si="37"/>
        <v>0</v>
      </c>
      <c r="AN153">
        <f>IF(B153&lt;&gt;"Sensor Snapshot","",--(N153&gt;='02_Parameters'!$B$13))</f>
        <v>0</v>
      </c>
      <c r="AO153">
        <f>IF(B153&lt;&gt;"Sensor Snapshot","",--(AND(L153="PUMPING",ISNUMBER(AH153),AH153&lt;='02_Parameters'!$B$10)))</f>
        <v>0</v>
      </c>
      <c r="AP153" s="16"/>
      <c r="AQ153" s="16" t="str">
        <f t="shared" si="38"/>
        <v/>
      </c>
      <c r="AR153" s="16" t="str">
        <f t="shared" si="39"/>
        <v/>
      </c>
      <c r="AU153" t="s">
        <v>236</v>
      </c>
      <c r="AV153" t="s">
        <v>237</v>
      </c>
      <c r="AW153" s="3" t="s">
        <v>257</v>
      </c>
      <c r="AX153" s="3">
        <f t="shared" si="40"/>
        <v>100</v>
      </c>
      <c r="AY153" s="3" t="str">
        <f t="shared" si="41"/>
        <v>A</v>
      </c>
      <c r="AZ153" s="3" t="s">
        <v>386</v>
      </c>
      <c r="BA153" s="3"/>
    </row>
    <row r="154" spans="1:53" ht="27.6">
      <c r="A154" t="s">
        <v>453</v>
      </c>
      <c r="B154" t="s">
        <v>231</v>
      </c>
      <c r="C154" s="14">
        <v>312296</v>
      </c>
      <c r="D154" s="15">
        <f t="shared" si="28"/>
        <v>312.29599999999999</v>
      </c>
      <c r="E154" t="s">
        <v>232</v>
      </c>
      <c r="G154" t="s">
        <v>234</v>
      </c>
      <c r="H154" t="s">
        <v>235</v>
      </c>
      <c r="I154" s="3"/>
      <c r="J154" s="3"/>
      <c r="L154" t="s">
        <v>385</v>
      </c>
      <c r="M154">
        <f t="shared" si="29"/>
        <v>0</v>
      </c>
      <c r="N154">
        <v>0</v>
      </c>
      <c r="O154" s="16">
        <v>27.3</v>
      </c>
      <c r="P154" s="16">
        <f>IF(AND(ISNUMBER(O154),O154&lt;&gt;-1,O154&gt;='02_Parameters'!$B$18,O154&lt;='02_Parameters'!$B$19),O154,"")</f>
        <v>27.3</v>
      </c>
      <c r="Q154" s="16">
        <v>27.3</v>
      </c>
      <c r="R154" t="str">
        <f>IF(B154&lt;&gt;"Sensor Snapshot","",IF(O154="","Missing",IF(O154=-1,"Sensor failure sentinel (-1)",IF(OR(O154&lt;'02_Parameters'!$B$18,O154&gt;'02_Parameters'!$B$19),"Out of accepted range","Valid"))))</f>
        <v>Valid</v>
      </c>
      <c r="S154" s="16">
        <v>81.3</v>
      </c>
      <c r="T154" s="16">
        <f>IF(AND(ISNUMBER(S154),S154&lt;&gt;-1,S154&gt;='02_Parameters'!$B$20,S154&lt;='02_Parameters'!$B$21),S154,"")</f>
        <v>81.3</v>
      </c>
      <c r="U154" s="16">
        <v>81.3</v>
      </c>
      <c r="V154" t="str">
        <f>IF(B154&lt;&gt;"Sensor Snapshot","",IF(S154="","Missing",IF(S154=-1,"Sensor failure sentinel (-1)",IF(OR(S154&lt;'02_Parameters'!$B$20,S154&gt;'02_Parameters'!$B$21),"Out of accepted range","Valid"))))</f>
        <v>Valid</v>
      </c>
      <c r="W154" s="16">
        <v>0.8</v>
      </c>
      <c r="X154" s="16">
        <f t="shared" si="30"/>
        <v>0.8</v>
      </c>
      <c r="Y154" t="str">
        <f t="shared" si="31"/>
        <v>Valid</v>
      </c>
      <c r="Z154" s="16"/>
      <c r="AA154">
        <v>1</v>
      </c>
      <c r="AB154">
        <f>IF(B154&lt;&gt;"Sensor Snapshot","",IF(ISNUMBER(AA154),--(AA154&lt;&gt;0),IF(ISNUMBER(Z154),--(Z154&lt;'02_Parameters'!$B$15),"")))</f>
        <v>1</v>
      </c>
      <c r="AC154">
        <f>IF(B154&lt;&gt;"Sensor Snapshot","",IF(ISNUMBER(X154),--(X154&gt;='02_Parameters'!$B$16),""))</f>
        <v>0</v>
      </c>
      <c r="AD154">
        <v>0</v>
      </c>
      <c r="AE154">
        <f t="shared" si="32"/>
        <v>0</v>
      </c>
      <c r="AF154" s="3" t="str">
        <f t="shared" si="33"/>
        <v>Partial detection only</v>
      </c>
      <c r="AG154" s="16">
        <v>0</v>
      </c>
      <c r="AH154" s="16">
        <f>IF(B154&lt;&gt;"Sensor Snapshot","",IF(ISNUMBER(AG154),IF(AG154&lt;0,"",IF(AG154&gt;10,AG154/'02_Parameters'!$B$17,AG154)),""))</f>
        <v>0</v>
      </c>
      <c r="AI154" t="str">
        <f t="shared" si="34"/>
        <v>Valid</v>
      </c>
      <c r="AJ154">
        <f t="shared" si="35"/>
        <v>0</v>
      </c>
      <c r="AK154">
        <f t="shared" si="36"/>
        <v>0</v>
      </c>
      <c r="AM154">
        <f t="shared" si="37"/>
        <v>0</v>
      </c>
      <c r="AN154">
        <f>IF(B154&lt;&gt;"Sensor Snapshot","",--(N154&gt;='02_Parameters'!$B$13))</f>
        <v>0</v>
      </c>
      <c r="AO154">
        <f>IF(B154&lt;&gt;"Sensor Snapshot","",--(AND(L154="PUMPING",ISNUMBER(AH154),AH154&lt;='02_Parameters'!$B$10)))</f>
        <v>0</v>
      </c>
      <c r="AP154" s="16"/>
      <c r="AQ154" s="16" t="str">
        <f t="shared" si="38"/>
        <v/>
      </c>
      <c r="AR154" s="16" t="str">
        <f t="shared" si="39"/>
        <v/>
      </c>
      <c r="AU154" t="s">
        <v>236</v>
      </c>
      <c r="AV154" t="s">
        <v>237</v>
      </c>
      <c r="AW154" s="3" t="s">
        <v>257</v>
      </c>
      <c r="AX154" s="3">
        <f t="shared" si="40"/>
        <v>100</v>
      </c>
      <c r="AY154" s="3" t="str">
        <f t="shared" si="41"/>
        <v>A</v>
      </c>
      <c r="AZ154" s="3" t="s">
        <v>386</v>
      </c>
      <c r="BA154" s="3"/>
    </row>
    <row r="155" spans="1:53" ht="27.6">
      <c r="A155" t="s">
        <v>454</v>
      </c>
      <c r="B155" t="s">
        <v>231</v>
      </c>
      <c r="C155" s="14">
        <v>317316</v>
      </c>
      <c r="D155" s="15">
        <f t="shared" si="28"/>
        <v>317.31599999999997</v>
      </c>
      <c r="E155" t="s">
        <v>232</v>
      </c>
      <c r="G155" t="s">
        <v>234</v>
      </c>
      <c r="H155" t="s">
        <v>235</v>
      </c>
      <c r="I155" s="3"/>
      <c r="J155" s="3"/>
      <c r="L155" t="s">
        <v>385</v>
      </c>
      <c r="M155">
        <f t="shared" si="29"/>
        <v>0</v>
      </c>
      <c r="N155">
        <v>0</v>
      </c>
      <c r="O155" s="16">
        <v>27.3</v>
      </c>
      <c r="P155" s="16">
        <f>IF(AND(ISNUMBER(O155),O155&lt;&gt;-1,O155&gt;='02_Parameters'!$B$18,O155&lt;='02_Parameters'!$B$19),O155,"")</f>
        <v>27.3</v>
      </c>
      <c r="Q155" s="16">
        <v>27.3</v>
      </c>
      <c r="R155" t="str">
        <f>IF(B155&lt;&gt;"Sensor Snapshot","",IF(O155="","Missing",IF(O155=-1,"Sensor failure sentinel (-1)",IF(OR(O155&lt;'02_Parameters'!$B$18,O155&gt;'02_Parameters'!$B$19),"Out of accepted range","Valid"))))</f>
        <v>Valid</v>
      </c>
      <c r="S155" s="16">
        <v>81.3</v>
      </c>
      <c r="T155" s="16">
        <f>IF(AND(ISNUMBER(S155),S155&lt;&gt;-1,S155&gt;='02_Parameters'!$B$20,S155&lt;='02_Parameters'!$B$21),S155,"")</f>
        <v>81.3</v>
      </c>
      <c r="U155" s="16">
        <v>81.3</v>
      </c>
      <c r="V155" t="str">
        <f>IF(B155&lt;&gt;"Sensor Snapshot","",IF(S155="","Missing",IF(S155=-1,"Sensor failure sentinel (-1)",IF(OR(S155&lt;'02_Parameters'!$B$20,S155&gt;'02_Parameters'!$B$21),"Out of accepted range","Valid"))))</f>
        <v>Valid</v>
      </c>
      <c r="W155" s="16">
        <v>-3</v>
      </c>
      <c r="X155" s="16">
        <f t="shared" si="30"/>
        <v>3</v>
      </c>
      <c r="Y155" t="str">
        <f t="shared" si="31"/>
        <v>Sign corrected to positive</v>
      </c>
      <c r="Z155" s="16"/>
      <c r="AA155">
        <v>1</v>
      </c>
      <c r="AB155">
        <f>IF(B155&lt;&gt;"Sensor Snapshot","",IF(ISNUMBER(AA155),--(AA155&lt;&gt;0),IF(ISNUMBER(Z155),--(Z155&lt;'02_Parameters'!$B$15),"")))</f>
        <v>1</v>
      </c>
      <c r="AC155">
        <f>IF(B155&lt;&gt;"Sensor Snapshot","",IF(ISNUMBER(X155),--(X155&gt;='02_Parameters'!$B$16),""))</f>
        <v>0</v>
      </c>
      <c r="AD155">
        <v>0</v>
      </c>
      <c r="AE155">
        <f t="shared" si="32"/>
        <v>0</v>
      </c>
      <c r="AF155" s="3" t="str">
        <f t="shared" si="33"/>
        <v>Partial detection only</v>
      </c>
      <c r="AG155" s="16">
        <v>0</v>
      </c>
      <c r="AH155" s="16">
        <f>IF(B155&lt;&gt;"Sensor Snapshot","",IF(ISNUMBER(AG155),IF(AG155&lt;0,"",IF(AG155&gt;10,AG155/'02_Parameters'!$B$17,AG155)),""))</f>
        <v>0</v>
      </c>
      <c r="AI155" t="str">
        <f t="shared" si="34"/>
        <v>Valid</v>
      </c>
      <c r="AJ155">
        <f t="shared" si="35"/>
        <v>0</v>
      </c>
      <c r="AK155">
        <f t="shared" si="36"/>
        <v>0</v>
      </c>
      <c r="AM155">
        <f t="shared" si="37"/>
        <v>0</v>
      </c>
      <c r="AN155">
        <f>IF(B155&lt;&gt;"Sensor Snapshot","",--(N155&gt;='02_Parameters'!$B$13))</f>
        <v>0</v>
      </c>
      <c r="AO155">
        <f>IF(B155&lt;&gt;"Sensor Snapshot","",--(AND(L155="PUMPING",ISNUMBER(AH155),AH155&lt;='02_Parameters'!$B$10)))</f>
        <v>0</v>
      </c>
      <c r="AP155" s="16"/>
      <c r="AQ155" s="16" t="str">
        <f t="shared" si="38"/>
        <v/>
      </c>
      <c r="AR155" s="16" t="str">
        <f t="shared" si="39"/>
        <v/>
      </c>
      <c r="AU155" t="s">
        <v>236</v>
      </c>
      <c r="AV155" t="s">
        <v>237</v>
      </c>
      <c r="AW155" s="3" t="s">
        <v>238</v>
      </c>
      <c r="AX155" s="3">
        <f t="shared" si="40"/>
        <v>100</v>
      </c>
      <c r="AY155" s="3" t="str">
        <f t="shared" si="41"/>
        <v>A</v>
      </c>
      <c r="AZ155" s="3" t="s">
        <v>386</v>
      </c>
      <c r="BA155" s="3"/>
    </row>
    <row r="156" spans="1:53" ht="27.6">
      <c r="A156" t="s">
        <v>455</v>
      </c>
      <c r="B156" t="s">
        <v>231</v>
      </c>
      <c r="C156" s="14">
        <v>322333</v>
      </c>
      <c r="D156" s="15">
        <f t="shared" si="28"/>
        <v>322.33300000000003</v>
      </c>
      <c r="E156" t="s">
        <v>232</v>
      </c>
      <c r="G156" t="s">
        <v>234</v>
      </c>
      <c r="H156" t="s">
        <v>235</v>
      </c>
      <c r="I156" s="3"/>
      <c r="J156" s="3"/>
      <c r="L156" t="s">
        <v>385</v>
      </c>
      <c r="M156">
        <f t="shared" si="29"/>
        <v>0</v>
      </c>
      <c r="N156">
        <v>0</v>
      </c>
      <c r="O156" s="16">
        <v>27.3</v>
      </c>
      <c r="P156" s="16">
        <f>IF(AND(ISNUMBER(O156),O156&lt;&gt;-1,O156&gt;='02_Parameters'!$B$18,O156&lt;='02_Parameters'!$B$19),O156,"")</f>
        <v>27.3</v>
      </c>
      <c r="Q156" s="16">
        <v>27.3</v>
      </c>
      <c r="R156" t="str">
        <f>IF(B156&lt;&gt;"Sensor Snapshot","",IF(O156="","Missing",IF(O156=-1,"Sensor failure sentinel (-1)",IF(OR(O156&lt;'02_Parameters'!$B$18,O156&gt;'02_Parameters'!$B$19),"Out of accepted range","Valid"))))</f>
        <v>Valid</v>
      </c>
      <c r="S156" s="16">
        <v>81.3</v>
      </c>
      <c r="T156" s="16">
        <f>IF(AND(ISNUMBER(S156),S156&lt;&gt;-1,S156&gt;='02_Parameters'!$B$20,S156&lt;='02_Parameters'!$B$21),S156,"")</f>
        <v>81.3</v>
      </c>
      <c r="U156" s="16">
        <v>81.3</v>
      </c>
      <c r="V156" t="str">
        <f>IF(B156&lt;&gt;"Sensor Snapshot","",IF(S156="","Missing",IF(S156=-1,"Sensor failure sentinel (-1)",IF(OR(S156&lt;'02_Parameters'!$B$20,S156&gt;'02_Parameters'!$B$21),"Out of accepted range","Valid"))))</f>
        <v>Valid</v>
      </c>
      <c r="W156" s="16">
        <v>-0.9</v>
      </c>
      <c r="X156" s="16">
        <f t="shared" si="30"/>
        <v>0.9</v>
      </c>
      <c r="Y156" t="str">
        <f t="shared" si="31"/>
        <v>Sign corrected to positive</v>
      </c>
      <c r="Z156" s="16"/>
      <c r="AA156">
        <v>1</v>
      </c>
      <c r="AB156">
        <f>IF(B156&lt;&gt;"Sensor Snapshot","",IF(ISNUMBER(AA156),--(AA156&lt;&gt;0),IF(ISNUMBER(Z156),--(Z156&lt;'02_Parameters'!$B$15),"")))</f>
        <v>1</v>
      </c>
      <c r="AC156">
        <f>IF(B156&lt;&gt;"Sensor Snapshot","",IF(ISNUMBER(X156),--(X156&gt;='02_Parameters'!$B$16),""))</f>
        <v>0</v>
      </c>
      <c r="AD156">
        <v>0</v>
      </c>
      <c r="AE156">
        <f t="shared" si="32"/>
        <v>0</v>
      </c>
      <c r="AF156" s="3" t="str">
        <f t="shared" si="33"/>
        <v>Partial detection only</v>
      </c>
      <c r="AG156" s="16">
        <v>0</v>
      </c>
      <c r="AH156" s="16">
        <f>IF(B156&lt;&gt;"Sensor Snapshot","",IF(ISNUMBER(AG156),IF(AG156&lt;0,"",IF(AG156&gt;10,AG156/'02_Parameters'!$B$17,AG156)),""))</f>
        <v>0</v>
      </c>
      <c r="AI156" t="str">
        <f t="shared" si="34"/>
        <v>Valid</v>
      </c>
      <c r="AJ156">
        <f t="shared" si="35"/>
        <v>0</v>
      </c>
      <c r="AK156">
        <f t="shared" si="36"/>
        <v>0</v>
      </c>
      <c r="AM156">
        <f t="shared" si="37"/>
        <v>0</v>
      </c>
      <c r="AN156">
        <f>IF(B156&lt;&gt;"Sensor Snapshot","",--(N156&gt;='02_Parameters'!$B$13))</f>
        <v>0</v>
      </c>
      <c r="AO156">
        <f>IF(B156&lt;&gt;"Sensor Snapshot","",--(AND(L156="PUMPING",ISNUMBER(AH156),AH156&lt;='02_Parameters'!$B$10)))</f>
        <v>0</v>
      </c>
      <c r="AP156" s="16"/>
      <c r="AQ156" s="16" t="str">
        <f t="shared" si="38"/>
        <v/>
      </c>
      <c r="AR156" s="16" t="str">
        <f t="shared" si="39"/>
        <v/>
      </c>
      <c r="AU156" t="s">
        <v>236</v>
      </c>
      <c r="AV156" t="s">
        <v>237</v>
      </c>
      <c r="AW156" s="3" t="s">
        <v>238</v>
      </c>
      <c r="AX156" s="3">
        <f t="shared" si="40"/>
        <v>100</v>
      </c>
      <c r="AY156" s="3" t="str">
        <f t="shared" si="41"/>
        <v>A</v>
      </c>
      <c r="AZ156" s="3" t="s">
        <v>386</v>
      </c>
      <c r="BA156" s="3"/>
    </row>
    <row r="157" spans="1:53" ht="27.6">
      <c r="A157" t="s">
        <v>456</v>
      </c>
      <c r="B157" t="s">
        <v>231</v>
      </c>
      <c r="C157" s="14">
        <v>327353</v>
      </c>
      <c r="D157" s="15">
        <f t="shared" si="28"/>
        <v>327.35300000000001</v>
      </c>
      <c r="E157" t="s">
        <v>232</v>
      </c>
      <c r="G157" t="s">
        <v>234</v>
      </c>
      <c r="H157" t="s">
        <v>235</v>
      </c>
      <c r="I157" s="3"/>
      <c r="J157" s="3"/>
      <c r="L157" t="s">
        <v>385</v>
      </c>
      <c r="M157">
        <f t="shared" si="29"/>
        <v>0</v>
      </c>
      <c r="N157">
        <v>0</v>
      </c>
      <c r="O157" s="16">
        <v>27.3</v>
      </c>
      <c r="P157" s="16">
        <f>IF(AND(ISNUMBER(O157),O157&lt;&gt;-1,O157&gt;='02_Parameters'!$B$18,O157&lt;='02_Parameters'!$B$19),O157,"")</f>
        <v>27.3</v>
      </c>
      <c r="Q157" s="16">
        <v>27.3</v>
      </c>
      <c r="R157" t="str">
        <f>IF(B157&lt;&gt;"Sensor Snapshot","",IF(O157="","Missing",IF(O157=-1,"Sensor failure sentinel (-1)",IF(OR(O157&lt;'02_Parameters'!$B$18,O157&gt;'02_Parameters'!$B$19),"Out of accepted range","Valid"))))</f>
        <v>Valid</v>
      </c>
      <c r="S157" s="16">
        <v>81.3</v>
      </c>
      <c r="T157" s="16">
        <f>IF(AND(ISNUMBER(S157),S157&lt;&gt;-1,S157&gt;='02_Parameters'!$B$20,S157&lt;='02_Parameters'!$B$21),S157,"")</f>
        <v>81.3</v>
      </c>
      <c r="U157" s="16">
        <v>81.3</v>
      </c>
      <c r="V157" t="str">
        <f>IF(B157&lt;&gt;"Sensor Snapshot","",IF(S157="","Missing",IF(S157=-1,"Sensor failure sentinel (-1)",IF(OR(S157&lt;'02_Parameters'!$B$20,S157&gt;'02_Parameters'!$B$21),"Out of accepted range","Valid"))))</f>
        <v>Valid</v>
      </c>
      <c r="W157" s="16">
        <v>-0.3</v>
      </c>
      <c r="X157" s="16">
        <f t="shared" si="30"/>
        <v>0.3</v>
      </c>
      <c r="Y157" t="str">
        <f t="shared" si="31"/>
        <v>Sign corrected to positive</v>
      </c>
      <c r="Z157" s="16"/>
      <c r="AA157">
        <v>1</v>
      </c>
      <c r="AB157">
        <f>IF(B157&lt;&gt;"Sensor Snapshot","",IF(ISNUMBER(AA157),--(AA157&lt;&gt;0),IF(ISNUMBER(Z157),--(Z157&lt;'02_Parameters'!$B$15),"")))</f>
        <v>1</v>
      </c>
      <c r="AC157">
        <f>IF(B157&lt;&gt;"Sensor Snapshot","",IF(ISNUMBER(X157),--(X157&gt;='02_Parameters'!$B$16),""))</f>
        <v>0</v>
      </c>
      <c r="AD157">
        <v>0</v>
      </c>
      <c r="AE157">
        <f t="shared" si="32"/>
        <v>0</v>
      </c>
      <c r="AF157" s="3" t="str">
        <f t="shared" si="33"/>
        <v>Partial detection only</v>
      </c>
      <c r="AG157" s="16">
        <v>0</v>
      </c>
      <c r="AH157" s="16">
        <f>IF(B157&lt;&gt;"Sensor Snapshot","",IF(ISNUMBER(AG157),IF(AG157&lt;0,"",IF(AG157&gt;10,AG157/'02_Parameters'!$B$17,AG157)),""))</f>
        <v>0</v>
      </c>
      <c r="AI157" t="str">
        <f t="shared" si="34"/>
        <v>Valid</v>
      </c>
      <c r="AJ157">
        <f t="shared" si="35"/>
        <v>0</v>
      </c>
      <c r="AK157">
        <f t="shared" si="36"/>
        <v>0</v>
      </c>
      <c r="AM157">
        <f t="shared" si="37"/>
        <v>0</v>
      </c>
      <c r="AN157">
        <f>IF(B157&lt;&gt;"Sensor Snapshot","",--(N157&gt;='02_Parameters'!$B$13))</f>
        <v>0</v>
      </c>
      <c r="AO157">
        <f>IF(B157&lt;&gt;"Sensor Snapshot","",--(AND(L157="PUMPING",ISNUMBER(AH157),AH157&lt;='02_Parameters'!$B$10)))</f>
        <v>0</v>
      </c>
      <c r="AP157" s="16"/>
      <c r="AQ157" s="16" t="str">
        <f t="shared" si="38"/>
        <v/>
      </c>
      <c r="AR157" s="16" t="str">
        <f t="shared" si="39"/>
        <v/>
      </c>
      <c r="AU157" t="s">
        <v>236</v>
      </c>
      <c r="AV157" t="s">
        <v>237</v>
      </c>
      <c r="AW157" s="3" t="s">
        <v>238</v>
      </c>
      <c r="AX157" s="3">
        <f t="shared" si="40"/>
        <v>100</v>
      </c>
      <c r="AY157" s="3" t="str">
        <f t="shared" si="41"/>
        <v>A</v>
      </c>
      <c r="AZ157" s="3" t="s">
        <v>386</v>
      </c>
      <c r="BA157" s="3"/>
    </row>
    <row r="158" spans="1:53" ht="27.6">
      <c r="A158" t="s">
        <v>457</v>
      </c>
      <c r="B158" t="s">
        <v>231</v>
      </c>
      <c r="C158" s="14">
        <v>332371</v>
      </c>
      <c r="D158" s="15">
        <f t="shared" si="28"/>
        <v>332.37099999999998</v>
      </c>
      <c r="E158" t="s">
        <v>232</v>
      </c>
      <c r="G158" t="s">
        <v>234</v>
      </c>
      <c r="H158" t="s">
        <v>235</v>
      </c>
      <c r="I158" s="3"/>
      <c r="J158" s="3"/>
      <c r="L158" t="s">
        <v>385</v>
      </c>
      <c r="M158">
        <f t="shared" si="29"/>
        <v>0</v>
      </c>
      <c r="N158">
        <v>0</v>
      </c>
      <c r="O158" s="16">
        <v>27.3</v>
      </c>
      <c r="P158" s="16">
        <f>IF(AND(ISNUMBER(O158),O158&lt;&gt;-1,O158&gt;='02_Parameters'!$B$18,O158&lt;='02_Parameters'!$B$19),O158,"")</f>
        <v>27.3</v>
      </c>
      <c r="Q158" s="16">
        <v>27.3</v>
      </c>
      <c r="R158" t="str">
        <f>IF(B158&lt;&gt;"Sensor Snapshot","",IF(O158="","Missing",IF(O158=-1,"Sensor failure sentinel (-1)",IF(OR(O158&lt;'02_Parameters'!$B$18,O158&gt;'02_Parameters'!$B$19),"Out of accepted range","Valid"))))</f>
        <v>Valid</v>
      </c>
      <c r="S158" s="16">
        <v>81.3</v>
      </c>
      <c r="T158" s="16">
        <f>IF(AND(ISNUMBER(S158),S158&lt;&gt;-1,S158&gt;='02_Parameters'!$B$20,S158&lt;='02_Parameters'!$B$21),S158,"")</f>
        <v>81.3</v>
      </c>
      <c r="U158" s="16">
        <v>81.3</v>
      </c>
      <c r="V158" t="str">
        <f>IF(B158&lt;&gt;"Sensor Snapshot","",IF(S158="","Missing",IF(S158=-1,"Sensor failure sentinel (-1)",IF(OR(S158&lt;'02_Parameters'!$B$20,S158&gt;'02_Parameters'!$B$21),"Out of accepted range","Valid"))))</f>
        <v>Valid</v>
      </c>
      <c r="W158" s="16">
        <v>-0.1</v>
      </c>
      <c r="X158" s="16">
        <f t="shared" si="30"/>
        <v>0.1</v>
      </c>
      <c r="Y158" t="str">
        <f t="shared" si="31"/>
        <v>Sign corrected to positive</v>
      </c>
      <c r="Z158" s="16"/>
      <c r="AA158">
        <v>1</v>
      </c>
      <c r="AB158">
        <f>IF(B158&lt;&gt;"Sensor Snapshot","",IF(ISNUMBER(AA158),--(AA158&lt;&gt;0),IF(ISNUMBER(Z158),--(Z158&lt;'02_Parameters'!$B$15),"")))</f>
        <v>1</v>
      </c>
      <c r="AC158">
        <f>IF(B158&lt;&gt;"Sensor Snapshot","",IF(ISNUMBER(X158),--(X158&gt;='02_Parameters'!$B$16),""))</f>
        <v>0</v>
      </c>
      <c r="AD158">
        <v>0</v>
      </c>
      <c r="AE158">
        <f t="shared" si="32"/>
        <v>0</v>
      </c>
      <c r="AF158" s="3" t="str">
        <f t="shared" si="33"/>
        <v>Partial detection only</v>
      </c>
      <c r="AG158" s="16">
        <v>0</v>
      </c>
      <c r="AH158" s="16">
        <f>IF(B158&lt;&gt;"Sensor Snapshot","",IF(ISNUMBER(AG158),IF(AG158&lt;0,"",IF(AG158&gt;10,AG158/'02_Parameters'!$B$17,AG158)),""))</f>
        <v>0</v>
      </c>
      <c r="AI158" t="str">
        <f t="shared" si="34"/>
        <v>Valid</v>
      </c>
      <c r="AJ158">
        <f t="shared" si="35"/>
        <v>0</v>
      </c>
      <c r="AK158">
        <f t="shared" si="36"/>
        <v>0</v>
      </c>
      <c r="AM158">
        <f t="shared" si="37"/>
        <v>0</v>
      </c>
      <c r="AN158">
        <f>IF(B158&lt;&gt;"Sensor Snapshot","",--(N158&gt;='02_Parameters'!$B$13))</f>
        <v>0</v>
      </c>
      <c r="AO158">
        <f>IF(B158&lt;&gt;"Sensor Snapshot","",--(AND(L158="PUMPING",ISNUMBER(AH158),AH158&lt;='02_Parameters'!$B$10)))</f>
        <v>0</v>
      </c>
      <c r="AP158" s="16"/>
      <c r="AQ158" s="16" t="str">
        <f t="shared" si="38"/>
        <v/>
      </c>
      <c r="AR158" s="16" t="str">
        <f t="shared" si="39"/>
        <v/>
      </c>
      <c r="AU158" t="s">
        <v>236</v>
      </c>
      <c r="AV158" t="s">
        <v>237</v>
      </c>
      <c r="AW158" s="3" t="s">
        <v>238</v>
      </c>
      <c r="AX158" s="3">
        <f t="shared" si="40"/>
        <v>100</v>
      </c>
      <c r="AY158" s="3" t="str">
        <f t="shared" si="41"/>
        <v>A</v>
      </c>
      <c r="AZ158" s="3" t="s">
        <v>386</v>
      </c>
      <c r="BA158" s="3"/>
    </row>
    <row r="159" spans="1:53" ht="27.6">
      <c r="A159" t="s">
        <v>458</v>
      </c>
      <c r="B159" t="s">
        <v>231</v>
      </c>
      <c r="C159" s="14">
        <v>337389</v>
      </c>
      <c r="D159" s="15">
        <f t="shared" si="28"/>
        <v>337.38900000000001</v>
      </c>
      <c r="E159" t="s">
        <v>232</v>
      </c>
      <c r="G159" t="s">
        <v>234</v>
      </c>
      <c r="H159" t="s">
        <v>235</v>
      </c>
      <c r="I159" s="3"/>
      <c r="J159" s="3"/>
      <c r="L159" t="s">
        <v>385</v>
      </c>
      <c r="M159">
        <f t="shared" si="29"/>
        <v>0</v>
      </c>
      <c r="N159">
        <v>0</v>
      </c>
      <c r="O159" s="16">
        <v>27.3</v>
      </c>
      <c r="P159" s="16">
        <f>IF(AND(ISNUMBER(O159),O159&lt;&gt;-1,O159&gt;='02_Parameters'!$B$18,O159&lt;='02_Parameters'!$B$19),O159,"")</f>
        <v>27.3</v>
      </c>
      <c r="Q159" s="16">
        <v>27.3</v>
      </c>
      <c r="R159" t="str">
        <f>IF(B159&lt;&gt;"Sensor Snapshot","",IF(O159="","Missing",IF(O159=-1,"Sensor failure sentinel (-1)",IF(OR(O159&lt;'02_Parameters'!$B$18,O159&gt;'02_Parameters'!$B$19),"Out of accepted range","Valid"))))</f>
        <v>Valid</v>
      </c>
      <c r="S159" s="16">
        <v>81.5</v>
      </c>
      <c r="T159" s="16">
        <f>IF(AND(ISNUMBER(S159),S159&lt;&gt;-1,S159&gt;='02_Parameters'!$B$20,S159&lt;='02_Parameters'!$B$21),S159,"")</f>
        <v>81.5</v>
      </c>
      <c r="U159" s="16">
        <v>81.5</v>
      </c>
      <c r="V159" t="str">
        <f>IF(B159&lt;&gt;"Sensor Snapshot","",IF(S159="","Missing",IF(S159=-1,"Sensor failure sentinel (-1)",IF(OR(S159&lt;'02_Parameters'!$B$20,S159&gt;'02_Parameters'!$B$21),"Out of accepted range","Valid"))))</f>
        <v>Valid</v>
      </c>
      <c r="W159" s="16">
        <v>-1</v>
      </c>
      <c r="X159" s="16">
        <f t="shared" si="30"/>
        <v>1</v>
      </c>
      <c r="Y159" t="str">
        <f t="shared" si="31"/>
        <v>Sign corrected to positive</v>
      </c>
      <c r="Z159" s="16"/>
      <c r="AA159">
        <v>1</v>
      </c>
      <c r="AB159">
        <f>IF(B159&lt;&gt;"Sensor Snapshot","",IF(ISNUMBER(AA159),--(AA159&lt;&gt;0),IF(ISNUMBER(Z159),--(Z159&lt;'02_Parameters'!$B$15),"")))</f>
        <v>1</v>
      </c>
      <c r="AC159">
        <f>IF(B159&lt;&gt;"Sensor Snapshot","",IF(ISNUMBER(X159),--(X159&gt;='02_Parameters'!$B$16),""))</f>
        <v>0</v>
      </c>
      <c r="AD159">
        <v>1</v>
      </c>
      <c r="AE159">
        <f t="shared" si="32"/>
        <v>1</v>
      </c>
      <c r="AF159" s="3" t="str">
        <f t="shared" si="33"/>
        <v>Logged dual-sensor event</v>
      </c>
      <c r="AG159" s="16">
        <v>0</v>
      </c>
      <c r="AH159" s="16">
        <f>IF(B159&lt;&gt;"Sensor Snapshot","",IF(ISNUMBER(AG159),IF(AG159&lt;0,"",IF(AG159&gt;10,AG159/'02_Parameters'!$B$17,AG159)),""))</f>
        <v>0</v>
      </c>
      <c r="AI159" t="str">
        <f t="shared" si="34"/>
        <v>Valid</v>
      </c>
      <c r="AJ159">
        <f t="shared" si="35"/>
        <v>0</v>
      </c>
      <c r="AK159">
        <f t="shared" si="36"/>
        <v>0</v>
      </c>
      <c r="AM159">
        <f t="shared" si="37"/>
        <v>0</v>
      </c>
      <c r="AN159">
        <f>IF(B159&lt;&gt;"Sensor Snapshot","",--(N159&gt;='02_Parameters'!$B$13))</f>
        <v>0</v>
      </c>
      <c r="AO159">
        <f>IF(B159&lt;&gt;"Sensor Snapshot","",--(AND(L159="PUMPING",ISNUMBER(AH159),AH159&lt;='02_Parameters'!$B$10)))</f>
        <v>0</v>
      </c>
      <c r="AP159" s="16"/>
      <c r="AQ159" s="16" t="str">
        <f t="shared" si="38"/>
        <v/>
      </c>
      <c r="AR159" s="16" t="str">
        <f t="shared" si="39"/>
        <v/>
      </c>
      <c r="AU159" t="s">
        <v>236</v>
      </c>
      <c r="AV159" t="s">
        <v>237</v>
      </c>
      <c r="AW159" s="3" t="s">
        <v>238</v>
      </c>
      <c r="AX159" s="3">
        <f t="shared" si="40"/>
        <v>100</v>
      </c>
      <c r="AY159" s="3" t="str">
        <f t="shared" si="41"/>
        <v>A</v>
      </c>
      <c r="AZ159" s="3" t="s">
        <v>386</v>
      </c>
      <c r="BA159" s="3" t="s">
        <v>433</v>
      </c>
    </row>
    <row r="160" spans="1:53" ht="27.6">
      <c r="A160" t="s">
        <v>459</v>
      </c>
      <c r="B160" t="s">
        <v>242</v>
      </c>
      <c r="C160" s="14">
        <v>337389</v>
      </c>
      <c r="D160" s="15">
        <f t="shared" si="28"/>
        <v>337.38900000000001</v>
      </c>
      <c r="E160" t="s">
        <v>232</v>
      </c>
      <c r="G160" t="s">
        <v>91</v>
      </c>
      <c r="H160" t="s">
        <v>374</v>
      </c>
      <c r="I160" s="3" t="s">
        <v>435</v>
      </c>
      <c r="J160" s="3" t="s">
        <v>436</v>
      </c>
      <c r="L160" t="s">
        <v>385</v>
      </c>
      <c r="M160">
        <f t="shared" si="29"/>
        <v>0</v>
      </c>
      <c r="O160" s="16"/>
      <c r="P160" s="16" t="str">
        <f>IF(AND(ISNUMBER(O160),O160&lt;&gt;-1,O160&gt;='02_Parameters'!$B$18,O160&lt;='02_Parameters'!$B$19),O160,"")</f>
        <v/>
      </c>
      <c r="Q160" s="16"/>
      <c r="R160" t="str">
        <f>IF(B160&lt;&gt;"Sensor Snapshot","",IF(O160="","Missing",IF(O160=-1,"Sensor failure sentinel (-1)",IF(OR(O160&lt;'02_Parameters'!$B$18,O160&gt;'02_Parameters'!$B$19),"Out of accepted range","Valid"))))</f>
        <v/>
      </c>
      <c r="S160" s="16"/>
      <c r="T160" s="16" t="str">
        <f>IF(AND(ISNUMBER(S160),S160&lt;&gt;-1,S160&gt;='02_Parameters'!$B$20,S160&lt;='02_Parameters'!$B$21),S160,"")</f>
        <v/>
      </c>
      <c r="U160" s="16"/>
      <c r="V160" t="str">
        <f>IF(B160&lt;&gt;"Sensor Snapshot","",IF(S160="","Missing",IF(S160=-1,"Sensor failure sentinel (-1)",IF(OR(S160&lt;'02_Parameters'!$B$20,S160&gt;'02_Parameters'!$B$21),"Out of accepted range","Valid"))))</f>
        <v/>
      </c>
      <c r="W160" s="16"/>
      <c r="X160" s="16" t="str">
        <f t="shared" si="30"/>
        <v/>
      </c>
      <c r="Y160" t="str">
        <f t="shared" si="31"/>
        <v/>
      </c>
      <c r="Z160" s="16"/>
      <c r="AB160" t="str">
        <f>IF(B160&lt;&gt;"Sensor Snapshot","",IF(ISNUMBER(AA160),--(AA160&lt;&gt;0),IF(ISNUMBER(Z160),--(Z160&lt;'02_Parameters'!$B$15),"")))</f>
        <v/>
      </c>
      <c r="AC160" t="str">
        <f>IF(B160&lt;&gt;"Sensor Snapshot","",IF(ISNUMBER(X160),--(X160&gt;='02_Parameters'!$B$16),""))</f>
        <v/>
      </c>
      <c r="AD160">
        <v>1</v>
      </c>
      <c r="AE160" t="str">
        <f t="shared" si="32"/>
        <v/>
      </c>
      <c r="AF160" s="3" t="str">
        <f t="shared" si="33"/>
        <v/>
      </c>
      <c r="AG160" s="16"/>
      <c r="AH160" s="16" t="str">
        <f>IF(B160&lt;&gt;"Sensor Snapshot","",IF(ISNUMBER(AG160),IF(AG160&lt;0,"",IF(AG160&gt;10,AG160/'02_Parameters'!$B$17,AG160)),""))</f>
        <v/>
      </c>
      <c r="AI160" t="str">
        <f t="shared" si="34"/>
        <v/>
      </c>
      <c r="AJ160" t="str">
        <f t="shared" si="35"/>
        <v/>
      </c>
      <c r="AK160" t="str">
        <f t="shared" si="36"/>
        <v/>
      </c>
      <c r="AM160" t="str">
        <f t="shared" si="37"/>
        <v/>
      </c>
      <c r="AN160" t="str">
        <f>IF(B160&lt;&gt;"Sensor Snapshot","",--(N160&gt;='02_Parameters'!$B$13))</f>
        <v/>
      </c>
      <c r="AO160" t="str">
        <f>IF(B160&lt;&gt;"Sensor Snapshot","",--(AND(L160="PUMPING",ISNUMBER(AH160),AH160&lt;='02_Parameters'!$B$10)))</f>
        <v/>
      </c>
      <c r="AP160" s="16"/>
      <c r="AQ160" s="16" t="str">
        <f t="shared" si="38"/>
        <v/>
      </c>
      <c r="AR160" s="16" t="str">
        <f t="shared" si="39"/>
        <v/>
      </c>
      <c r="AW160" s="3" t="s">
        <v>377</v>
      </c>
      <c r="AX160" s="3" t="str">
        <f t="shared" si="40"/>
        <v/>
      </c>
      <c r="AY160" s="3" t="str">
        <f t="shared" si="41"/>
        <v/>
      </c>
      <c r="AZ160" s="3" t="s">
        <v>437</v>
      </c>
      <c r="BA160" s="3"/>
    </row>
    <row r="161" spans="1:53" ht="27.6">
      <c r="A161" t="s">
        <v>460</v>
      </c>
      <c r="B161" t="s">
        <v>242</v>
      </c>
      <c r="C161" s="14">
        <v>337389</v>
      </c>
      <c r="D161" s="15">
        <f t="shared" si="28"/>
        <v>337.38900000000001</v>
      </c>
      <c r="E161" t="s">
        <v>232</v>
      </c>
      <c r="G161" t="s">
        <v>91</v>
      </c>
      <c r="H161" t="s">
        <v>374</v>
      </c>
      <c r="I161" s="3" t="s">
        <v>439</v>
      </c>
      <c r="J161" s="3" t="s">
        <v>440</v>
      </c>
      <c r="L161" t="s">
        <v>385</v>
      </c>
      <c r="M161">
        <f t="shared" si="29"/>
        <v>0</v>
      </c>
      <c r="O161" s="16"/>
      <c r="P161" s="16" t="str">
        <f>IF(AND(ISNUMBER(O161),O161&lt;&gt;-1,O161&gt;='02_Parameters'!$B$18,O161&lt;='02_Parameters'!$B$19),O161,"")</f>
        <v/>
      </c>
      <c r="Q161" s="16"/>
      <c r="R161" t="str">
        <f>IF(B161&lt;&gt;"Sensor Snapshot","",IF(O161="","Missing",IF(O161=-1,"Sensor failure sentinel (-1)",IF(OR(O161&lt;'02_Parameters'!$B$18,O161&gt;'02_Parameters'!$B$19),"Out of accepted range","Valid"))))</f>
        <v/>
      </c>
      <c r="S161" s="16"/>
      <c r="T161" s="16" t="str">
        <f>IF(AND(ISNUMBER(S161),S161&lt;&gt;-1,S161&gt;='02_Parameters'!$B$20,S161&lt;='02_Parameters'!$B$21),S161,"")</f>
        <v/>
      </c>
      <c r="U161" s="16"/>
      <c r="V161" t="str">
        <f>IF(B161&lt;&gt;"Sensor Snapshot","",IF(S161="","Missing",IF(S161=-1,"Sensor failure sentinel (-1)",IF(OR(S161&lt;'02_Parameters'!$B$20,S161&gt;'02_Parameters'!$B$21),"Out of accepted range","Valid"))))</f>
        <v/>
      </c>
      <c r="W161" s="16"/>
      <c r="X161" s="16" t="str">
        <f t="shared" si="30"/>
        <v/>
      </c>
      <c r="Y161" t="str">
        <f t="shared" si="31"/>
        <v/>
      </c>
      <c r="Z161" s="16"/>
      <c r="AB161" t="str">
        <f>IF(B161&lt;&gt;"Sensor Snapshot","",IF(ISNUMBER(AA161),--(AA161&lt;&gt;0),IF(ISNUMBER(Z161),--(Z161&lt;'02_Parameters'!$B$15),"")))</f>
        <v/>
      </c>
      <c r="AC161" t="str">
        <f>IF(B161&lt;&gt;"Sensor Snapshot","",IF(ISNUMBER(X161),--(X161&gt;='02_Parameters'!$B$16),""))</f>
        <v/>
      </c>
      <c r="AD161">
        <v>0</v>
      </c>
      <c r="AE161" t="str">
        <f t="shared" si="32"/>
        <v/>
      </c>
      <c r="AF161" s="3" t="str">
        <f t="shared" si="33"/>
        <v/>
      </c>
      <c r="AG161" s="16"/>
      <c r="AH161" s="16" t="str">
        <f>IF(B161&lt;&gt;"Sensor Snapshot","",IF(ISNUMBER(AG161),IF(AG161&lt;0,"",IF(AG161&gt;10,AG161/'02_Parameters'!$B$17,AG161)),""))</f>
        <v/>
      </c>
      <c r="AI161" t="str">
        <f t="shared" si="34"/>
        <v/>
      </c>
      <c r="AJ161" t="str">
        <f t="shared" si="35"/>
        <v/>
      </c>
      <c r="AK161" t="str">
        <f t="shared" si="36"/>
        <v/>
      </c>
      <c r="AM161" t="str">
        <f t="shared" si="37"/>
        <v/>
      </c>
      <c r="AN161" t="str">
        <f>IF(B161&lt;&gt;"Sensor Snapshot","",--(N161&gt;='02_Parameters'!$B$13))</f>
        <v/>
      </c>
      <c r="AO161" t="str">
        <f>IF(B161&lt;&gt;"Sensor Snapshot","",--(AND(L161="PUMPING",ISNUMBER(AH161),AH161&lt;='02_Parameters'!$B$10)))</f>
        <v/>
      </c>
      <c r="AP161" s="16"/>
      <c r="AQ161" s="16" t="str">
        <f t="shared" si="38"/>
        <v/>
      </c>
      <c r="AR161" s="16" t="str">
        <f t="shared" si="39"/>
        <v/>
      </c>
      <c r="AW161" s="3" t="s">
        <v>377</v>
      </c>
      <c r="AX161" s="3" t="str">
        <f t="shared" si="40"/>
        <v/>
      </c>
      <c r="AY161" s="3" t="str">
        <f t="shared" si="41"/>
        <v/>
      </c>
      <c r="AZ161" s="3" t="s">
        <v>247</v>
      </c>
      <c r="BA161" s="3"/>
    </row>
    <row r="162" spans="1:53" ht="27.6">
      <c r="A162" t="s">
        <v>461</v>
      </c>
      <c r="B162" t="s">
        <v>231</v>
      </c>
      <c r="C162" s="14">
        <v>348723</v>
      </c>
      <c r="D162" s="15">
        <f t="shared" si="28"/>
        <v>348.72300000000001</v>
      </c>
      <c r="E162" t="s">
        <v>232</v>
      </c>
      <c r="G162" t="s">
        <v>234</v>
      </c>
      <c r="H162" t="s">
        <v>235</v>
      </c>
      <c r="I162" s="3"/>
      <c r="J162" s="3"/>
      <c r="L162" t="s">
        <v>385</v>
      </c>
      <c r="M162">
        <f t="shared" si="29"/>
        <v>0</v>
      </c>
      <c r="N162">
        <v>0</v>
      </c>
      <c r="O162" s="16">
        <v>27.3</v>
      </c>
      <c r="P162" s="16">
        <f>IF(AND(ISNUMBER(O162),O162&lt;&gt;-1,O162&gt;='02_Parameters'!$B$18,O162&lt;='02_Parameters'!$B$19),O162,"")</f>
        <v>27.3</v>
      </c>
      <c r="Q162" s="16">
        <v>27.3</v>
      </c>
      <c r="R162" t="str">
        <f>IF(B162&lt;&gt;"Sensor Snapshot","",IF(O162="","Missing",IF(O162=-1,"Sensor failure sentinel (-1)",IF(OR(O162&lt;'02_Parameters'!$B$18,O162&gt;'02_Parameters'!$B$19),"Out of accepted range","Valid"))))</f>
        <v>Valid</v>
      </c>
      <c r="S162" s="16">
        <v>81.5</v>
      </c>
      <c r="T162" s="16">
        <f>IF(AND(ISNUMBER(S162),S162&lt;&gt;-1,S162&gt;='02_Parameters'!$B$20,S162&lt;='02_Parameters'!$B$21),S162,"")</f>
        <v>81.5</v>
      </c>
      <c r="U162" s="16">
        <v>81.5</v>
      </c>
      <c r="V162" t="str">
        <f>IF(B162&lt;&gt;"Sensor Snapshot","",IF(S162="","Missing",IF(S162=-1,"Sensor failure sentinel (-1)",IF(OR(S162&lt;'02_Parameters'!$B$20,S162&gt;'02_Parameters'!$B$21),"Out of accepted range","Valid"))))</f>
        <v>Valid</v>
      </c>
      <c r="W162" s="16">
        <v>67.099999999999994</v>
      </c>
      <c r="X162" s="16">
        <f t="shared" si="30"/>
        <v>67.099999999999994</v>
      </c>
      <c r="Y162" t="str">
        <f t="shared" si="31"/>
        <v>Valid</v>
      </c>
      <c r="Z162" s="16"/>
      <c r="AA162">
        <v>1</v>
      </c>
      <c r="AB162">
        <f>IF(B162&lt;&gt;"Sensor Snapshot","",IF(ISNUMBER(AA162),--(AA162&lt;&gt;0),IF(ISNUMBER(Z162),--(Z162&lt;'02_Parameters'!$B$15),"")))</f>
        <v>1</v>
      </c>
      <c r="AC162">
        <f>IF(B162&lt;&gt;"Sensor Snapshot","",IF(ISNUMBER(X162),--(X162&gt;='02_Parameters'!$B$16),""))</f>
        <v>1</v>
      </c>
      <c r="AD162">
        <v>0</v>
      </c>
      <c r="AE162">
        <f t="shared" si="32"/>
        <v>1</v>
      </c>
      <c r="AF162" s="3" t="str">
        <f t="shared" si="33"/>
        <v>Derived: optical AND weight</v>
      </c>
      <c r="AG162" s="16">
        <v>0</v>
      </c>
      <c r="AH162" s="16">
        <f>IF(B162&lt;&gt;"Sensor Snapshot","",IF(ISNUMBER(AG162),IF(AG162&lt;0,"",IF(AG162&gt;10,AG162/'02_Parameters'!$B$17,AG162)),""))</f>
        <v>0</v>
      </c>
      <c r="AI162" t="str">
        <f t="shared" si="34"/>
        <v>Valid</v>
      </c>
      <c r="AJ162">
        <f t="shared" si="35"/>
        <v>0</v>
      </c>
      <c r="AK162">
        <f t="shared" si="36"/>
        <v>0</v>
      </c>
      <c r="AM162">
        <f t="shared" si="37"/>
        <v>0</v>
      </c>
      <c r="AN162">
        <f>IF(B162&lt;&gt;"Sensor Snapshot","",--(N162&gt;='02_Parameters'!$B$13))</f>
        <v>0</v>
      </c>
      <c r="AO162">
        <f>IF(B162&lt;&gt;"Sensor Snapshot","",--(AND(L162="PUMPING",ISNUMBER(AH162),AH162&lt;='02_Parameters'!$B$10)))</f>
        <v>0</v>
      </c>
      <c r="AP162" s="16"/>
      <c r="AQ162" s="16" t="str">
        <f t="shared" si="38"/>
        <v/>
      </c>
      <c r="AR162" s="16" t="str">
        <f t="shared" si="39"/>
        <v/>
      </c>
      <c r="AU162" t="s">
        <v>236</v>
      </c>
      <c r="AV162" t="s">
        <v>237</v>
      </c>
      <c r="AW162" s="3" t="s">
        <v>257</v>
      </c>
      <c r="AX162" s="3">
        <f t="shared" si="40"/>
        <v>100</v>
      </c>
      <c r="AY162" s="3" t="str">
        <f t="shared" si="41"/>
        <v>A</v>
      </c>
      <c r="AZ162" s="3" t="s">
        <v>386</v>
      </c>
      <c r="BA162" s="3"/>
    </row>
    <row r="163" spans="1:53" ht="27.6">
      <c r="A163" t="s">
        <v>462</v>
      </c>
      <c r="B163" t="s">
        <v>231</v>
      </c>
      <c r="C163" s="14">
        <v>353722</v>
      </c>
      <c r="D163" s="15">
        <f t="shared" si="28"/>
        <v>353.72199999999998</v>
      </c>
      <c r="E163" t="s">
        <v>232</v>
      </c>
      <c r="G163" t="s">
        <v>234</v>
      </c>
      <c r="H163" t="s">
        <v>235</v>
      </c>
      <c r="I163" s="3"/>
      <c r="J163" s="3"/>
      <c r="L163" t="s">
        <v>385</v>
      </c>
      <c r="M163">
        <f t="shared" si="29"/>
        <v>0</v>
      </c>
      <c r="N163">
        <v>0</v>
      </c>
      <c r="O163" s="16">
        <v>27.2</v>
      </c>
      <c r="P163" s="16">
        <f>IF(AND(ISNUMBER(O163),O163&lt;&gt;-1,O163&gt;='02_Parameters'!$B$18,O163&lt;='02_Parameters'!$B$19),O163,"")</f>
        <v>27.2</v>
      </c>
      <c r="Q163" s="16">
        <v>27.2</v>
      </c>
      <c r="R163" t="str">
        <f>IF(B163&lt;&gt;"Sensor Snapshot","",IF(O163="","Missing",IF(O163=-1,"Sensor failure sentinel (-1)",IF(OR(O163&lt;'02_Parameters'!$B$18,O163&gt;'02_Parameters'!$B$19),"Out of accepted range","Valid"))))</f>
        <v>Valid</v>
      </c>
      <c r="S163" s="16">
        <v>81.7</v>
      </c>
      <c r="T163" s="16">
        <f>IF(AND(ISNUMBER(S163),S163&lt;&gt;-1,S163&gt;='02_Parameters'!$B$20,S163&lt;='02_Parameters'!$B$21),S163,"")</f>
        <v>81.7</v>
      </c>
      <c r="U163" s="16">
        <v>81.7</v>
      </c>
      <c r="V163" t="str">
        <f>IF(B163&lt;&gt;"Sensor Snapshot","",IF(S163="","Missing",IF(S163=-1,"Sensor failure sentinel (-1)",IF(OR(S163&lt;'02_Parameters'!$B$20,S163&gt;'02_Parameters'!$B$21),"Out of accepted range","Valid"))))</f>
        <v>Valid</v>
      </c>
      <c r="W163" s="16">
        <v>-0.6</v>
      </c>
      <c r="X163" s="16">
        <f t="shared" si="30"/>
        <v>0.6</v>
      </c>
      <c r="Y163" t="str">
        <f t="shared" si="31"/>
        <v>Sign corrected to positive</v>
      </c>
      <c r="Z163" s="16"/>
      <c r="AA163">
        <v>1</v>
      </c>
      <c r="AB163">
        <f>IF(B163&lt;&gt;"Sensor Snapshot","",IF(ISNUMBER(AA163),--(AA163&lt;&gt;0),IF(ISNUMBER(Z163),--(Z163&lt;'02_Parameters'!$B$15),"")))</f>
        <v>1</v>
      </c>
      <c r="AC163">
        <f>IF(B163&lt;&gt;"Sensor Snapshot","",IF(ISNUMBER(X163),--(X163&gt;='02_Parameters'!$B$16),""))</f>
        <v>0</v>
      </c>
      <c r="AD163">
        <v>0</v>
      </c>
      <c r="AE163">
        <f t="shared" si="32"/>
        <v>0</v>
      </c>
      <c r="AF163" s="3" t="str">
        <f t="shared" si="33"/>
        <v>Partial detection only</v>
      </c>
      <c r="AG163" s="16">
        <v>0</v>
      </c>
      <c r="AH163" s="16">
        <f>IF(B163&lt;&gt;"Sensor Snapshot","",IF(ISNUMBER(AG163),IF(AG163&lt;0,"",IF(AG163&gt;10,AG163/'02_Parameters'!$B$17,AG163)),""))</f>
        <v>0</v>
      </c>
      <c r="AI163" t="str">
        <f t="shared" si="34"/>
        <v>Valid</v>
      </c>
      <c r="AJ163">
        <f t="shared" si="35"/>
        <v>0</v>
      </c>
      <c r="AK163">
        <f t="shared" si="36"/>
        <v>0</v>
      </c>
      <c r="AM163">
        <f t="shared" si="37"/>
        <v>0</v>
      </c>
      <c r="AN163">
        <f>IF(B163&lt;&gt;"Sensor Snapshot","",--(N163&gt;='02_Parameters'!$B$13))</f>
        <v>0</v>
      </c>
      <c r="AO163">
        <f>IF(B163&lt;&gt;"Sensor Snapshot","",--(AND(L163="PUMPING",ISNUMBER(AH163),AH163&lt;='02_Parameters'!$B$10)))</f>
        <v>0</v>
      </c>
      <c r="AP163" s="16"/>
      <c r="AQ163" s="16" t="str">
        <f t="shared" si="38"/>
        <v/>
      </c>
      <c r="AR163" s="16" t="str">
        <f t="shared" si="39"/>
        <v/>
      </c>
      <c r="AU163" t="s">
        <v>236</v>
      </c>
      <c r="AV163" t="s">
        <v>237</v>
      </c>
      <c r="AW163" s="3" t="s">
        <v>238</v>
      </c>
      <c r="AX163" s="3">
        <f t="shared" si="40"/>
        <v>100</v>
      </c>
      <c r="AY163" s="3" t="str">
        <f t="shared" si="41"/>
        <v>A</v>
      </c>
      <c r="AZ163" s="3" t="s">
        <v>386</v>
      </c>
      <c r="BA163" s="3"/>
    </row>
    <row r="164" spans="1:53" ht="27.6">
      <c r="A164" t="s">
        <v>463</v>
      </c>
      <c r="B164" t="s">
        <v>231</v>
      </c>
      <c r="C164" s="14">
        <v>358721</v>
      </c>
      <c r="D164" s="15">
        <f t="shared" si="28"/>
        <v>358.721</v>
      </c>
      <c r="E164" t="s">
        <v>232</v>
      </c>
      <c r="G164" t="s">
        <v>234</v>
      </c>
      <c r="H164" t="s">
        <v>235</v>
      </c>
      <c r="I164" s="3"/>
      <c r="J164" s="3"/>
      <c r="L164" t="s">
        <v>385</v>
      </c>
      <c r="M164">
        <f t="shared" si="29"/>
        <v>0</v>
      </c>
      <c r="N164">
        <v>0</v>
      </c>
      <c r="O164" s="16">
        <v>27.3</v>
      </c>
      <c r="P164" s="16">
        <f>IF(AND(ISNUMBER(O164),O164&lt;&gt;-1,O164&gt;='02_Parameters'!$B$18,O164&lt;='02_Parameters'!$B$19),O164,"")</f>
        <v>27.3</v>
      </c>
      <c r="Q164" s="16">
        <v>27.3</v>
      </c>
      <c r="R164" t="str">
        <f>IF(B164&lt;&gt;"Sensor Snapshot","",IF(O164="","Missing",IF(O164=-1,"Sensor failure sentinel (-1)",IF(OR(O164&lt;'02_Parameters'!$B$18,O164&gt;'02_Parameters'!$B$19),"Out of accepted range","Valid"))))</f>
        <v>Valid</v>
      </c>
      <c r="S164" s="16">
        <v>81.3</v>
      </c>
      <c r="T164" s="16">
        <f>IF(AND(ISNUMBER(S164),S164&lt;&gt;-1,S164&gt;='02_Parameters'!$B$20,S164&lt;='02_Parameters'!$B$21),S164,"")</f>
        <v>81.3</v>
      </c>
      <c r="U164" s="16">
        <v>81.3</v>
      </c>
      <c r="V164" t="str">
        <f>IF(B164&lt;&gt;"Sensor Snapshot","",IF(S164="","Missing",IF(S164=-1,"Sensor failure sentinel (-1)",IF(OR(S164&lt;'02_Parameters'!$B$20,S164&gt;'02_Parameters'!$B$21),"Out of accepted range","Valid"))))</f>
        <v>Valid</v>
      </c>
      <c r="W164" s="16">
        <v>-0.4</v>
      </c>
      <c r="X164" s="16">
        <f t="shared" si="30"/>
        <v>0.4</v>
      </c>
      <c r="Y164" t="str">
        <f t="shared" si="31"/>
        <v>Sign corrected to positive</v>
      </c>
      <c r="Z164" s="16"/>
      <c r="AA164">
        <v>1</v>
      </c>
      <c r="AB164">
        <f>IF(B164&lt;&gt;"Sensor Snapshot","",IF(ISNUMBER(AA164),--(AA164&lt;&gt;0),IF(ISNUMBER(Z164),--(Z164&lt;'02_Parameters'!$B$15),"")))</f>
        <v>1</v>
      </c>
      <c r="AC164">
        <f>IF(B164&lt;&gt;"Sensor Snapshot","",IF(ISNUMBER(X164),--(X164&gt;='02_Parameters'!$B$16),""))</f>
        <v>0</v>
      </c>
      <c r="AD164">
        <v>0</v>
      </c>
      <c r="AE164">
        <f t="shared" si="32"/>
        <v>0</v>
      </c>
      <c r="AF164" s="3" t="str">
        <f t="shared" si="33"/>
        <v>Partial detection only</v>
      </c>
      <c r="AG164" s="16">
        <v>0</v>
      </c>
      <c r="AH164" s="16">
        <f>IF(B164&lt;&gt;"Sensor Snapshot","",IF(ISNUMBER(AG164),IF(AG164&lt;0,"",IF(AG164&gt;10,AG164/'02_Parameters'!$B$17,AG164)),""))</f>
        <v>0</v>
      </c>
      <c r="AI164" t="str">
        <f t="shared" si="34"/>
        <v>Valid</v>
      </c>
      <c r="AJ164">
        <f t="shared" si="35"/>
        <v>0</v>
      </c>
      <c r="AK164">
        <f t="shared" si="36"/>
        <v>0</v>
      </c>
      <c r="AM164">
        <f t="shared" si="37"/>
        <v>0</v>
      </c>
      <c r="AN164">
        <f>IF(B164&lt;&gt;"Sensor Snapshot","",--(N164&gt;='02_Parameters'!$B$13))</f>
        <v>0</v>
      </c>
      <c r="AO164">
        <f>IF(B164&lt;&gt;"Sensor Snapshot","",--(AND(L164="PUMPING",ISNUMBER(AH164),AH164&lt;='02_Parameters'!$B$10)))</f>
        <v>0</v>
      </c>
      <c r="AP164" s="16"/>
      <c r="AQ164" s="16" t="str">
        <f t="shared" si="38"/>
        <v/>
      </c>
      <c r="AR164" s="16" t="str">
        <f t="shared" si="39"/>
        <v/>
      </c>
      <c r="AU164" t="s">
        <v>236</v>
      </c>
      <c r="AV164" t="s">
        <v>237</v>
      </c>
      <c r="AW164" s="3" t="s">
        <v>238</v>
      </c>
      <c r="AX164" s="3">
        <f t="shared" si="40"/>
        <v>100</v>
      </c>
      <c r="AY164" s="3" t="str">
        <f t="shared" si="41"/>
        <v>A</v>
      </c>
      <c r="AZ164" s="3" t="s">
        <v>386</v>
      </c>
      <c r="BA164" s="3"/>
    </row>
    <row r="165" spans="1:53" ht="27.6">
      <c r="A165" t="s">
        <v>464</v>
      </c>
      <c r="B165" t="s">
        <v>231</v>
      </c>
      <c r="C165" s="14">
        <v>363721</v>
      </c>
      <c r="D165" s="15">
        <f t="shared" si="28"/>
        <v>363.721</v>
      </c>
      <c r="E165" t="s">
        <v>232</v>
      </c>
      <c r="G165" t="s">
        <v>234</v>
      </c>
      <c r="H165" t="s">
        <v>235</v>
      </c>
      <c r="I165" s="3"/>
      <c r="J165" s="3"/>
      <c r="L165" t="s">
        <v>385</v>
      </c>
      <c r="M165">
        <f t="shared" si="29"/>
        <v>0</v>
      </c>
      <c r="N165">
        <v>0</v>
      </c>
      <c r="O165" s="16">
        <v>27.3</v>
      </c>
      <c r="P165" s="16">
        <f>IF(AND(ISNUMBER(O165),O165&lt;&gt;-1,O165&gt;='02_Parameters'!$B$18,O165&lt;='02_Parameters'!$B$19),O165,"")</f>
        <v>27.3</v>
      </c>
      <c r="Q165" s="16">
        <v>27.3</v>
      </c>
      <c r="R165" t="str">
        <f>IF(B165&lt;&gt;"Sensor Snapshot","",IF(O165="","Missing",IF(O165=-1,"Sensor failure sentinel (-1)",IF(OR(O165&lt;'02_Parameters'!$B$18,O165&gt;'02_Parameters'!$B$19),"Out of accepted range","Valid"))))</f>
        <v>Valid</v>
      </c>
      <c r="S165" s="16">
        <v>81.099999999999994</v>
      </c>
      <c r="T165" s="16">
        <f>IF(AND(ISNUMBER(S165),S165&lt;&gt;-1,S165&gt;='02_Parameters'!$B$20,S165&lt;='02_Parameters'!$B$21),S165,"")</f>
        <v>81.099999999999994</v>
      </c>
      <c r="U165" s="16">
        <v>81.099999999999994</v>
      </c>
      <c r="V165" t="str">
        <f>IF(B165&lt;&gt;"Sensor Snapshot","",IF(S165="","Missing",IF(S165=-1,"Sensor failure sentinel (-1)",IF(OR(S165&lt;'02_Parameters'!$B$20,S165&gt;'02_Parameters'!$B$21),"Out of accepted range","Valid"))))</f>
        <v>Valid</v>
      </c>
      <c r="W165" s="16">
        <v>-0.3</v>
      </c>
      <c r="X165" s="16">
        <f t="shared" si="30"/>
        <v>0.3</v>
      </c>
      <c r="Y165" t="str">
        <f t="shared" si="31"/>
        <v>Sign corrected to positive</v>
      </c>
      <c r="Z165" s="16"/>
      <c r="AA165">
        <v>1</v>
      </c>
      <c r="AB165">
        <f>IF(B165&lt;&gt;"Sensor Snapshot","",IF(ISNUMBER(AA165),--(AA165&lt;&gt;0),IF(ISNUMBER(Z165),--(Z165&lt;'02_Parameters'!$B$15),"")))</f>
        <v>1</v>
      </c>
      <c r="AC165">
        <f>IF(B165&lt;&gt;"Sensor Snapshot","",IF(ISNUMBER(X165),--(X165&gt;='02_Parameters'!$B$16),""))</f>
        <v>0</v>
      </c>
      <c r="AD165">
        <v>0</v>
      </c>
      <c r="AE165">
        <f t="shared" si="32"/>
        <v>0</v>
      </c>
      <c r="AF165" s="3" t="str">
        <f t="shared" si="33"/>
        <v>Partial detection only</v>
      </c>
      <c r="AG165" s="16">
        <v>0</v>
      </c>
      <c r="AH165" s="16">
        <f>IF(B165&lt;&gt;"Sensor Snapshot","",IF(ISNUMBER(AG165),IF(AG165&lt;0,"",IF(AG165&gt;10,AG165/'02_Parameters'!$B$17,AG165)),""))</f>
        <v>0</v>
      </c>
      <c r="AI165" t="str">
        <f t="shared" si="34"/>
        <v>Valid</v>
      </c>
      <c r="AJ165">
        <f t="shared" si="35"/>
        <v>0</v>
      </c>
      <c r="AK165">
        <f t="shared" si="36"/>
        <v>0</v>
      </c>
      <c r="AM165">
        <f t="shared" si="37"/>
        <v>0</v>
      </c>
      <c r="AN165">
        <f>IF(B165&lt;&gt;"Sensor Snapshot","",--(N165&gt;='02_Parameters'!$B$13))</f>
        <v>0</v>
      </c>
      <c r="AO165">
        <f>IF(B165&lt;&gt;"Sensor Snapshot","",--(AND(L165="PUMPING",ISNUMBER(AH165),AH165&lt;='02_Parameters'!$B$10)))</f>
        <v>0</v>
      </c>
      <c r="AP165" s="16"/>
      <c r="AQ165" s="16" t="str">
        <f t="shared" si="38"/>
        <v/>
      </c>
      <c r="AR165" s="16" t="str">
        <f t="shared" si="39"/>
        <v/>
      </c>
      <c r="AU165" t="s">
        <v>236</v>
      </c>
      <c r="AV165" t="s">
        <v>237</v>
      </c>
      <c r="AW165" s="3" t="s">
        <v>238</v>
      </c>
      <c r="AX165" s="3">
        <f t="shared" si="40"/>
        <v>100</v>
      </c>
      <c r="AY165" s="3" t="str">
        <f t="shared" si="41"/>
        <v>A</v>
      </c>
      <c r="AZ165" s="3" t="s">
        <v>386</v>
      </c>
      <c r="BA165" s="3"/>
    </row>
    <row r="166" spans="1:53" ht="27.6">
      <c r="A166" t="s">
        <v>465</v>
      </c>
      <c r="B166" t="s">
        <v>231</v>
      </c>
      <c r="C166" s="14">
        <v>368721</v>
      </c>
      <c r="D166" s="15">
        <f t="shared" si="28"/>
        <v>368.721</v>
      </c>
      <c r="E166" t="s">
        <v>232</v>
      </c>
      <c r="G166" t="s">
        <v>234</v>
      </c>
      <c r="H166" t="s">
        <v>235</v>
      </c>
      <c r="I166" s="3"/>
      <c r="J166" s="3"/>
      <c r="L166" t="s">
        <v>385</v>
      </c>
      <c r="M166">
        <f t="shared" si="29"/>
        <v>0</v>
      </c>
      <c r="N166">
        <v>0</v>
      </c>
      <c r="O166" s="16">
        <v>27.3</v>
      </c>
      <c r="P166" s="16">
        <f>IF(AND(ISNUMBER(O166),O166&lt;&gt;-1,O166&gt;='02_Parameters'!$B$18,O166&lt;='02_Parameters'!$B$19),O166,"")</f>
        <v>27.3</v>
      </c>
      <c r="Q166" s="16">
        <v>27.3</v>
      </c>
      <c r="R166" t="str">
        <f>IF(B166&lt;&gt;"Sensor Snapshot","",IF(O166="","Missing",IF(O166=-1,"Sensor failure sentinel (-1)",IF(OR(O166&lt;'02_Parameters'!$B$18,O166&gt;'02_Parameters'!$B$19),"Out of accepted range","Valid"))))</f>
        <v>Valid</v>
      </c>
      <c r="S166" s="16">
        <v>81</v>
      </c>
      <c r="T166" s="16">
        <f>IF(AND(ISNUMBER(S166),S166&lt;&gt;-1,S166&gt;='02_Parameters'!$B$20,S166&lt;='02_Parameters'!$B$21),S166,"")</f>
        <v>81</v>
      </c>
      <c r="U166" s="16">
        <v>81</v>
      </c>
      <c r="V166" t="str">
        <f>IF(B166&lt;&gt;"Sensor Snapshot","",IF(S166="","Missing",IF(S166=-1,"Sensor failure sentinel (-1)",IF(OR(S166&lt;'02_Parameters'!$B$20,S166&gt;'02_Parameters'!$B$21),"Out of accepted range","Valid"))))</f>
        <v>Valid</v>
      </c>
      <c r="W166" s="16">
        <v>-0.2</v>
      </c>
      <c r="X166" s="16">
        <f t="shared" si="30"/>
        <v>0.2</v>
      </c>
      <c r="Y166" t="str">
        <f t="shared" si="31"/>
        <v>Sign corrected to positive</v>
      </c>
      <c r="Z166" s="16"/>
      <c r="AA166">
        <v>1</v>
      </c>
      <c r="AB166">
        <f>IF(B166&lt;&gt;"Sensor Snapshot","",IF(ISNUMBER(AA166),--(AA166&lt;&gt;0),IF(ISNUMBER(Z166),--(Z166&lt;'02_Parameters'!$B$15),"")))</f>
        <v>1</v>
      </c>
      <c r="AC166">
        <f>IF(B166&lt;&gt;"Sensor Snapshot","",IF(ISNUMBER(X166),--(X166&gt;='02_Parameters'!$B$16),""))</f>
        <v>0</v>
      </c>
      <c r="AD166">
        <v>0</v>
      </c>
      <c r="AE166">
        <f t="shared" si="32"/>
        <v>0</v>
      </c>
      <c r="AF166" s="3" t="str">
        <f t="shared" si="33"/>
        <v>Partial detection only</v>
      </c>
      <c r="AG166" s="16">
        <v>0</v>
      </c>
      <c r="AH166" s="16">
        <f>IF(B166&lt;&gt;"Sensor Snapshot","",IF(ISNUMBER(AG166),IF(AG166&lt;0,"",IF(AG166&gt;10,AG166/'02_Parameters'!$B$17,AG166)),""))</f>
        <v>0</v>
      </c>
      <c r="AI166" t="str">
        <f t="shared" si="34"/>
        <v>Valid</v>
      </c>
      <c r="AJ166">
        <f t="shared" si="35"/>
        <v>0</v>
      </c>
      <c r="AK166">
        <f t="shared" si="36"/>
        <v>0</v>
      </c>
      <c r="AM166">
        <f t="shared" si="37"/>
        <v>0</v>
      </c>
      <c r="AN166">
        <f>IF(B166&lt;&gt;"Sensor Snapshot","",--(N166&gt;='02_Parameters'!$B$13))</f>
        <v>0</v>
      </c>
      <c r="AO166">
        <f>IF(B166&lt;&gt;"Sensor Snapshot","",--(AND(L166="PUMPING",ISNUMBER(AH166),AH166&lt;='02_Parameters'!$B$10)))</f>
        <v>0</v>
      </c>
      <c r="AP166" s="16"/>
      <c r="AQ166" s="16" t="str">
        <f t="shared" si="38"/>
        <v/>
      </c>
      <c r="AR166" s="16" t="str">
        <f t="shared" si="39"/>
        <v/>
      </c>
      <c r="AU166" t="s">
        <v>236</v>
      </c>
      <c r="AV166" t="s">
        <v>237</v>
      </c>
      <c r="AW166" s="3" t="s">
        <v>238</v>
      </c>
      <c r="AX166" s="3">
        <f t="shared" si="40"/>
        <v>100</v>
      </c>
      <c r="AY166" s="3" t="str">
        <f t="shared" si="41"/>
        <v>A</v>
      </c>
      <c r="AZ166" s="3" t="s">
        <v>386</v>
      </c>
      <c r="BA166" s="3"/>
    </row>
    <row r="167" spans="1:53" ht="27.6">
      <c r="A167" t="s">
        <v>466</v>
      </c>
      <c r="B167" t="s">
        <v>231</v>
      </c>
      <c r="C167" s="14">
        <v>373726</v>
      </c>
      <c r="D167" s="15">
        <f t="shared" si="28"/>
        <v>373.726</v>
      </c>
      <c r="E167" t="s">
        <v>232</v>
      </c>
      <c r="G167" t="s">
        <v>234</v>
      </c>
      <c r="H167" t="s">
        <v>235</v>
      </c>
      <c r="I167" s="3"/>
      <c r="J167" s="3"/>
      <c r="L167" t="s">
        <v>385</v>
      </c>
      <c r="M167">
        <f t="shared" si="29"/>
        <v>0</v>
      </c>
      <c r="N167">
        <v>0</v>
      </c>
      <c r="O167" s="16">
        <v>27.3</v>
      </c>
      <c r="P167" s="16">
        <f>IF(AND(ISNUMBER(O167),O167&lt;&gt;-1,O167&gt;='02_Parameters'!$B$18,O167&lt;='02_Parameters'!$B$19),O167,"")</f>
        <v>27.3</v>
      </c>
      <c r="Q167" s="16">
        <v>27.3</v>
      </c>
      <c r="R167" t="str">
        <f>IF(B167&lt;&gt;"Sensor Snapshot","",IF(O167="","Missing",IF(O167=-1,"Sensor failure sentinel (-1)",IF(OR(O167&lt;'02_Parameters'!$B$18,O167&gt;'02_Parameters'!$B$19),"Out of accepted range","Valid"))))</f>
        <v>Valid</v>
      </c>
      <c r="S167" s="16">
        <v>80.900000000000006</v>
      </c>
      <c r="T167" s="16">
        <f>IF(AND(ISNUMBER(S167),S167&lt;&gt;-1,S167&gt;='02_Parameters'!$B$20,S167&lt;='02_Parameters'!$B$21),S167,"")</f>
        <v>80.900000000000006</v>
      </c>
      <c r="U167" s="16">
        <v>80.900000000000006</v>
      </c>
      <c r="V167" t="str">
        <f>IF(B167&lt;&gt;"Sensor Snapshot","",IF(S167="","Missing",IF(S167=-1,"Sensor failure sentinel (-1)",IF(OR(S167&lt;'02_Parameters'!$B$20,S167&gt;'02_Parameters'!$B$21),"Out of accepted range","Valid"))))</f>
        <v>Valid</v>
      </c>
      <c r="W167" s="16">
        <v>-0.2</v>
      </c>
      <c r="X167" s="16">
        <f t="shared" si="30"/>
        <v>0.2</v>
      </c>
      <c r="Y167" t="str">
        <f t="shared" si="31"/>
        <v>Sign corrected to positive</v>
      </c>
      <c r="Z167" s="16"/>
      <c r="AA167">
        <v>1</v>
      </c>
      <c r="AB167">
        <f>IF(B167&lt;&gt;"Sensor Snapshot","",IF(ISNUMBER(AA167),--(AA167&lt;&gt;0),IF(ISNUMBER(Z167),--(Z167&lt;'02_Parameters'!$B$15),"")))</f>
        <v>1</v>
      </c>
      <c r="AC167">
        <f>IF(B167&lt;&gt;"Sensor Snapshot","",IF(ISNUMBER(X167),--(X167&gt;='02_Parameters'!$B$16),""))</f>
        <v>0</v>
      </c>
      <c r="AD167">
        <v>0</v>
      </c>
      <c r="AE167">
        <f t="shared" si="32"/>
        <v>0</v>
      </c>
      <c r="AF167" s="3" t="str">
        <f t="shared" si="33"/>
        <v>Partial detection only</v>
      </c>
      <c r="AG167" s="16">
        <v>0</v>
      </c>
      <c r="AH167" s="16">
        <f>IF(B167&lt;&gt;"Sensor Snapshot","",IF(ISNUMBER(AG167),IF(AG167&lt;0,"",IF(AG167&gt;10,AG167/'02_Parameters'!$B$17,AG167)),""))</f>
        <v>0</v>
      </c>
      <c r="AI167" t="str">
        <f t="shared" si="34"/>
        <v>Valid</v>
      </c>
      <c r="AJ167">
        <f t="shared" si="35"/>
        <v>0</v>
      </c>
      <c r="AK167">
        <f t="shared" si="36"/>
        <v>0</v>
      </c>
      <c r="AM167">
        <f t="shared" si="37"/>
        <v>0</v>
      </c>
      <c r="AN167">
        <f>IF(B167&lt;&gt;"Sensor Snapshot","",--(N167&gt;='02_Parameters'!$B$13))</f>
        <v>0</v>
      </c>
      <c r="AO167">
        <f>IF(B167&lt;&gt;"Sensor Snapshot","",--(AND(L167="PUMPING",ISNUMBER(AH167),AH167&lt;='02_Parameters'!$B$10)))</f>
        <v>0</v>
      </c>
      <c r="AP167" s="16"/>
      <c r="AQ167" s="16" t="str">
        <f t="shared" si="38"/>
        <v/>
      </c>
      <c r="AR167" s="16" t="str">
        <f t="shared" si="39"/>
        <v/>
      </c>
      <c r="AU167" t="s">
        <v>236</v>
      </c>
      <c r="AV167" t="s">
        <v>237</v>
      </c>
      <c r="AW167" s="3" t="s">
        <v>238</v>
      </c>
      <c r="AX167" s="3">
        <f t="shared" si="40"/>
        <v>100</v>
      </c>
      <c r="AY167" s="3" t="str">
        <f t="shared" si="41"/>
        <v>A</v>
      </c>
      <c r="AZ167" s="3" t="s">
        <v>386</v>
      </c>
      <c r="BA167" s="3"/>
    </row>
    <row r="168" spans="1:53" ht="27.6">
      <c r="A168" t="s">
        <v>467</v>
      </c>
      <c r="B168" t="s">
        <v>231</v>
      </c>
      <c r="C168" s="14">
        <v>378745</v>
      </c>
      <c r="D168" s="15">
        <f t="shared" si="28"/>
        <v>378.745</v>
      </c>
      <c r="E168" t="s">
        <v>232</v>
      </c>
      <c r="G168" t="s">
        <v>234</v>
      </c>
      <c r="H168" t="s">
        <v>235</v>
      </c>
      <c r="I168" s="3"/>
      <c r="J168" s="3"/>
      <c r="L168" t="s">
        <v>385</v>
      </c>
      <c r="M168">
        <f t="shared" si="29"/>
        <v>0</v>
      </c>
      <c r="N168">
        <v>0</v>
      </c>
      <c r="O168" s="16">
        <v>27.2</v>
      </c>
      <c r="P168" s="16">
        <f>IF(AND(ISNUMBER(O168),O168&lt;&gt;-1,O168&gt;='02_Parameters'!$B$18,O168&lt;='02_Parameters'!$B$19),O168,"")</f>
        <v>27.2</v>
      </c>
      <c r="Q168" s="16">
        <v>27.2</v>
      </c>
      <c r="R168" t="str">
        <f>IF(B168&lt;&gt;"Sensor Snapshot","",IF(O168="","Missing",IF(O168=-1,"Sensor failure sentinel (-1)",IF(OR(O168&lt;'02_Parameters'!$B$18,O168&gt;'02_Parameters'!$B$19),"Out of accepted range","Valid"))))</f>
        <v>Valid</v>
      </c>
      <c r="S168" s="16">
        <v>80.900000000000006</v>
      </c>
      <c r="T168" s="16">
        <f>IF(AND(ISNUMBER(S168),S168&lt;&gt;-1,S168&gt;='02_Parameters'!$B$20,S168&lt;='02_Parameters'!$B$21),S168,"")</f>
        <v>80.900000000000006</v>
      </c>
      <c r="U168" s="16">
        <v>80.900000000000006</v>
      </c>
      <c r="V168" t="str">
        <f>IF(B168&lt;&gt;"Sensor Snapshot","",IF(S168="","Missing",IF(S168=-1,"Sensor failure sentinel (-1)",IF(OR(S168&lt;'02_Parameters'!$B$20,S168&gt;'02_Parameters'!$B$21),"Out of accepted range","Valid"))))</f>
        <v>Valid</v>
      </c>
      <c r="W168" s="16">
        <v>-0.2</v>
      </c>
      <c r="X168" s="16">
        <f t="shared" si="30"/>
        <v>0.2</v>
      </c>
      <c r="Y168" t="str">
        <f t="shared" si="31"/>
        <v>Sign corrected to positive</v>
      </c>
      <c r="Z168" s="16"/>
      <c r="AA168">
        <v>1</v>
      </c>
      <c r="AB168">
        <f>IF(B168&lt;&gt;"Sensor Snapshot","",IF(ISNUMBER(AA168),--(AA168&lt;&gt;0),IF(ISNUMBER(Z168),--(Z168&lt;'02_Parameters'!$B$15),"")))</f>
        <v>1</v>
      </c>
      <c r="AC168">
        <f>IF(B168&lt;&gt;"Sensor Snapshot","",IF(ISNUMBER(X168),--(X168&gt;='02_Parameters'!$B$16),""))</f>
        <v>0</v>
      </c>
      <c r="AD168">
        <v>0</v>
      </c>
      <c r="AE168">
        <f t="shared" si="32"/>
        <v>0</v>
      </c>
      <c r="AF168" s="3" t="str">
        <f t="shared" si="33"/>
        <v>Partial detection only</v>
      </c>
      <c r="AG168" s="16">
        <v>0</v>
      </c>
      <c r="AH168" s="16">
        <f>IF(B168&lt;&gt;"Sensor Snapshot","",IF(ISNUMBER(AG168),IF(AG168&lt;0,"",IF(AG168&gt;10,AG168/'02_Parameters'!$B$17,AG168)),""))</f>
        <v>0</v>
      </c>
      <c r="AI168" t="str">
        <f t="shared" si="34"/>
        <v>Valid</v>
      </c>
      <c r="AJ168">
        <f t="shared" si="35"/>
        <v>0</v>
      </c>
      <c r="AK168">
        <f t="shared" si="36"/>
        <v>0</v>
      </c>
      <c r="AM168">
        <f t="shared" si="37"/>
        <v>0</v>
      </c>
      <c r="AN168">
        <f>IF(B168&lt;&gt;"Sensor Snapshot","",--(N168&gt;='02_Parameters'!$B$13))</f>
        <v>0</v>
      </c>
      <c r="AO168">
        <f>IF(B168&lt;&gt;"Sensor Snapshot","",--(AND(L168="PUMPING",ISNUMBER(AH168),AH168&lt;='02_Parameters'!$B$10)))</f>
        <v>0</v>
      </c>
      <c r="AP168" s="16"/>
      <c r="AQ168" s="16" t="str">
        <f t="shared" si="38"/>
        <v/>
      </c>
      <c r="AR168" s="16" t="str">
        <f t="shared" si="39"/>
        <v/>
      </c>
      <c r="AU168" t="s">
        <v>236</v>
      </c>
      <c r="AV168" t="s">
        <v>237</v>
      </c>
      <c r="AW168" s="3" t="s">
        <v>238</v>
      </c>
      <c r="AX168" s="3">
        <f t="shared" si="40"/>
        <v>100</v>
      </c>
      <c r="AY168" s="3" t="str">
        <f t="shared" si="41"/>
        <v>A</v>
      </c>
      <c r="AZ168" s="3" t="s">
        <v>386</v>
      </c>
      <c r="BA168" s="3"/>
    </row>
    <row r="169" spans="1:53" ht="27.6">
      <c r="A169" t="s">
        <v>468</v>
      </c>
      <c r="B169" t="s">
        <v>231</v>
      </c>
      <c r="C169" s="14">
        <v>383763</v>
      </c>
      <c r="D169" s="15">
        <f t="shared" si="28"/>
        <v>383.76299999999998</v>
      </c>
      <c r="E169" t="s">
        <v>232</v>
      </c>
      <c r="G169" t="s">
        <v>234</v>
      </c>
      <c r="H169" t="s">
        <v>235</v>
      </c>
      <c r="I169" s="3"/>
      <c r="J169" s="3"/>
      <c r="L169" t="s">
        <v>385</v>
      </c>
      <c r="M169">
        <f t="shared" si="29"/>
        <v>0</v>
      </c>
      <c r="N169">
        <v>0</v>
      </c>
      <c r="O169" s="16">
        <v>27.3</v>
      </c>
      <c r="P169" s="16">
        <f>IF(AND(ISNUMBER(O169),O169&lt;&gt;-1,O169&gt;='02_Parameters'!$B$18,O169&lt;='02_Parameters'!$B$19),O169,"")</f>
        <v>27.3</v>
      </c>
      <c r="Q169" s="16">
        <v>27.3</v>
      </c>
      <c r="R169" t="str">
        <f>IF(B169&lt;&gt;"Sensor Snapshot","",IF(O169="","Missing",IF(O169=-1,"Sensor failure sentinel (-1)",IF(OR(O169&lt;'02_Parameters'!$B$18,O169&gt;'02_Parameters'!$B$19),"Out of accepted range","Valid"))))</f>
        <v>Valid</v>
      </c>
      <c r="S169" s="16">
        <v>80.5</v>
      </c>
      <c r="T169" s="16">
        <f>IF(AND(ISNUMBER(S169),S169&lt;&gt;-1,S169&gt;='02_Parameters'!$B$20,S169&lt;='02_Parameters'!$B$21),S169,"")</f>
        <v>80.5</v>
      </c>
      <c r="U169" s="16">
        <v>80.5</v>
      </c>
      <c r="V169" t="str">
        <f>IF(B169&lt;&gt;"Sensor Snapshot","",IF(S169="","Missing",IF(S169=-1,"Sensor failure sentinel (-1)",IF(OR(S169&lt;'02_Parameters'!$B$20,S169&gt;'02_Parameters'!$B$21),"Out of accepted range","Valid"))))</f>
        <v>Valid</v>
      </c>
      <c r="W169" s="16">
        <v>-0.2</v>
      </c>
      <c r="X169" s="16">
        <f t="shared" si="30"/>
        <v>0.2</v>
      </c>
      <c r="Y169" t="str">
        <f t="shared" si="31"/>
        <v>Sign corrected to positive</v>
      </c>
      <c r="Z169" s="16"/>
      <c r="AA169">
        <v>1</v>
      </c>
      <c r="AB169">
        <f>IF(B169&lt;&gt;"Sensor Snapshot","",IF(ISNUMBER(AA169),--(AA169&lt;&gt;0),IF(ISNUMBER(Z169),--(Z169&lt;'02_Parameters'!$B$15),"")))</f>
        <v>1</v>
      </c>
      <c r="AC169">
        <f>IF(B169&lt;&gt;"Sensor Snapshot","",IF(ISNUMBER(X169),--(X169&gt;='02_Parameters'!$B$16),""))</f>
        <v>0</v>
      </c>
      <c r="AD169">
        <v>0</v>
      </c>
      <c r="AE169">
        <f t="shared" si="32"/>
        <v>0</v>
      </c>
      <c r="AF169" s="3" t="str">
        <f t="shared" si="33"/>
        <v>Partial detection only</v>
      </c>
      <c r="AG169" s="16">
        <v>0</v>
      </c>
      <c r="AH169" s="16">
        <f>IF(B169&lt;&gt;"Sensor Snapshot","",IF(ISNUMBER(AG169),IF(AG169&lt;0,"",IF(AG169&gt;10,AG169/'02_Parameters'!$B$17,AG169)),""))</f>
        <v>0</v>
      </c>
      <c r="AI169" t="str">
        <f t="shared" si="34"/>
        <v>Valid</v>
      </c>
      <c r="AJ169">
        <f t="shared" si="35"/>
        <v>0</v>
      </c>
      <c r="AK169">
        <f t="shared" si="36"/>
        <v>0</v>
      </c>
      <c r="AM169">
        <f t="shared" si="37"/>
        <v>0</v>
      </c>
      <c r="AN169">
        <f>IF(B169&lt;&gt;"Sensor Snapshot","",--(N169&gt;='02_Parameters'!$B$13))</f>
        <v>0</v>
      </c>
      <c r="AO169">
        <f>IF(B169&lt;&gt;"Sensor Snapshot","",--(AND(L169="PUMPING",ISNUMBER(AH169),AH169&lt;='02_Parameters'!$B$10)))</f>
        <v>0</v>
      </c>
      <c r="AP169" s="16"/>
      <c r="AQ169" s="16" t="str">
        <f t="shared" si="38"/>
        <v/>
      </c>
      <c r="AR169" s="16" t="str">
        <f t="shared" si="39"/>
        <v/>
      </c>
      <c r="AU169" t="s">
        <v>236</v>
      </c>
      <c r="AV169" t="s">
        <v>237</v>
      </c>
      <c r="AW169" s="3" t="s">
        <v>238</v>
      </c>
      <c r="AX169" s="3">
        <f t="shared" si="40"/>
        <v>100</v>
      </c>
      <c r="AY169" s="3" t="str">
        <f t="shared" si="41"/>
        <v>A</v>
      </c>
      <c r="AZ169" s="3" t="s">
        <v>386</v>
      </c>
      <c r="BA169" s="3"/>
    </row>
    <row r="170" spans="1:53" ht="27.6">
      <c r="A170" t="s">
        <v>469</v>
      </c>
      <c r="B170" t="s">
        <v>231</v>
      </c>
      <c r="C170" s="14">
        <v>388782</v>
      </c>
      <c r="D170" s="15">
        <f t="shared" si="28"/>
        <v>388.78199999999998</v>
      </c>
      <c r="E170" t="s">
        <v>232</v>
      </c>
      <c r="G170" t="s">
        <v>234</v>
      </c>
      <c r="H170" t="s">
        <v>235</v>
      </c>
      <c r="I170" s="3"/>
      <c r="J170" s="3"/>
      <c r="L170" t="s">
        <v>385</v>
      </c>
      <c r="M170">
        <f t="shared" si="29"/>
        <v>0</v>
      </c>
      <c r="N170">
        <v>0</v>
      </c>
      <c r="O170" s="16">
        <v>27.3</v>
      </c>
      <c r="P170" s="16">
        <f>IF(AND(ISNUMBER(O170),O170&lt;&gt;-1,O170&gt;='02_Parameters'!$B$18,O170&lt;='02_Parameters'!$B$19),O170,"")</f>
        <v>27.3</v>
      </c>
      <c r="Q170" s="16">
        <v>27.3</v>
      </c>
      <c r="R170" t="str">
        <f>IF(B170&lt;&gt;"Sensor Snapshot","",IF(O170="","Missing",IF(O170=-1,"Sensor failure sentinel (-1)",IF(OR(O170&lt;'02_Parameters'!$B$18,O170&gt;'02_Parameters'!$B$19),"Out of accepted range","Valid"))))</f>
        <v>Valid</v>
      </c>
      <c r="S170" s="16">
        <v>80.400000000000006</v>
      </c>
      <c r="T170" s="16">
        <f>IF(AND(ISNUMBER(S170),S170&lt;&gt;-1,S170&gt;='02_Parameters'!$B$20,S170&lt;='02_Parameters'!$B$21),S170,"")</f>
        <v>80.400000000000006</v>
      </c>
      <c r="U170" s="16">
        <v>80.400000000000006</v>
      </c>
      <c r="V170" t="str">
        <f>IF(B170&lt;&gt;"Sensor Snapshot","",IF(S170="","Missing",IF(S170=-1,"Sensor failure sentinel (-1)",IF(OR(S170&lt;'02_Parameters'!$B$20,S170&gt;'02_Parameters'!$B$21),"Out of accepted range","Valid"))))</f>
        <v>Valid</v>
      </c>
      <c r="W170" s="16">
        <v>0</v>
      </c>
      <c r="X170" s="16">
        <f t="shared" si="30"/>
        <v>0</v>
      </c>
      <c r="Y170" t="str">
        <f t="shared" si="31"/>
        <v>Valid</v>
      </c>
      <c r="Z170" s="16"/>
      <c r="AA170">
        <v>1</v>
      </c>
      <c r="AB170">
        <f>IF(B170&lt;&gt;"Sensor Snapshot","",IF(ISNUMBER(AA170),--(AA170&lt;&gt;0),IF(ISNUMBER(Z170),--(Z170&lt;'02_Parameters'!$B$15),"")))</f>
        <v>1</v>
      </c>
      <c r="AC170">
        <f>IF(B170&lt;&gt;"Sensor Snapshot","",IF(ISNUMBER(X170),--(X170&gt;='02_Parameters'!$B$16),""))</f>
        <v>0</v>
      </c>
      <c r="AD170">
        <v>0</v>
      </c>
      <c r="AE170">
        <f t="shared" si="32"/>
        <v>0</v>
      </c>
      <c r="AF170" s="3" t="str">
        <f t="shared" si="33"/>
        <v>Partial detection only</v>
      </c>
      <c r="AG170" s="16">
        <v>0</v>
      </c>
      <c r="AH170" s="16">
        <f>IF(B170&lt;&gt;"Sensor Snapshot","",IF(ISNUMBER(AG170),IF(AG170&lt;0,"",IF(AG170&gt;10,AG170/'02_Parameters'!$B$17,AG170)),""))</f>
        <v>0</v>
      </c>
      <c r="AI170" t="str">
        <f t="shared" si="34"/>
        <v>Valid</v>
      </c>
      <c r="AJ170">
        <f t="shared" si="35"/>
        <v>0</v>
      </c>
      <c r="AK170">
        <f t="shared" si="36"/>
        <v>0</v>
      </c>
      <c r="AM170">
        <f t="shared" si="37"/>
        <v>0</v>
      </c>
      <c r="AN170">
        <f>IF(B170&lt;&gt;"Sensor Snapshot","",--(N170&gt;='02_Parameters'!$B$13))</f>
        <v>0</v>
      </c>
      <c r="AO170">
        <f>IF(B170&lt;&gt;"Sensor Snapshot","",--(AND(L170="PUMPING",ISNUMBER(AH170),AH170&lt;='02_Parameters'!$B$10)))</f>
        <v>0</v>
      </c>
      <c r="AP170" s="16"/>
      <c r="AQ170" s="16" t="str">
        <f t="shared" si="38"/>
        <v/>
      </c>
      <c r="AR170" s="16" t="str">
        <f t="shared" si="39"/>
        <v/>
      </c>
      <c r="AU170" t="s">
        <v>236</v>
      </c>
      <c r="AV170" t="s">
        <v>237</v>
      </c>
      <c r="AW170" s="3" t="s">
        <v>257</v>
      </c>
      <c r="AX170" s="3">
        <f t="shared" si="40"/>
        <v>100</v>
      </c>
      <c r="AY170" s="3" t="str">
        <f t="shared" si="41"/>
        <v>A</v>
      </c>
      <c r="AZ170" s="3" t="s">
        <v>386</v>
      </c>
      <c r="BA170" s="3"/>
    </row>
    <row r="171" spans="1:53" ht="27.6">
      <c r="A171" t="s">
        <v>470</v>
      </c>
      <c r="B171" t="s">
        <v>231</v>
      </c>
      <c r="C171" s="14">
        <v>393801</v>
      </c>
      <c r="D171" s="15">
        <f t="shared" si="28"/>
        <v>393.80099999999999</v>
      </c>
      <c r="E171" t="s">
        <v>232</v>
      </c>
      <c r="G171" t="s">
        <v>234</v>
      </c>
      <c r="H171" t="s">
        <v>235</v>
      </c>
      <c r="I171" s="3"/>
      <c r="J171" s="3"/>
      <c r="L171" t="s">
        <v>385</v>
      </c>
      <c r="M171">
        <f t="shared" si="29"/>
        <v>0</v>
      </c>
      <c r="N171">
        <v>0</v>
      </c>
      <c r="O171" s="16">
        <v>27.3</v>
      </c>
      <c r="P171" s="16">
        <f>IF(AND(ISNUMBER(O171),O171&lt;&gt;-1,O171&gt;='02_Parameters'!$B$18,O171&lt;='02_Parameters'!$B$19),O171,"")</f>
        <v>27.3</v>
      </c>
      <c r="Q171" s="16">
        <v>27.3</v>
      </c>
      <c r="R171" t="str">
        <f>IF(B171&lt;&gt;"Sensor Snapshot","",IF(O171="","Missing",IF(O171=-1,"Sensor failure sentinel (-1)",IF(OR(O171&lt;'02_Parameters'!$B$18,O171&gt;'02_Parameters'!$B$19),"Out of accepted range","Valid"))))</f>
        <v>Valid</v>
      </c>
      <c r="S171" s="16">
        <v>80.3</v>
      </c>
      <c r="T171" s="16">
        <f>IF(AND(ISNUMBER(S171),S171&lt;&gt;-1,S171&gt;='02_Parameters'!$B$20,S171&lt;='02_Parameters'!$B$21),S171,"")</f>
        <v>80.3</v>
      </c>
      <c r="U171" s="16">
        <v>80.3</v>
      </c>
      <c r="V171" t="str">
        <f>IF(B171&lt;&gt;"Sensor Snapshot","",IF(S171="","Missing",IF(S171=-1,"Sensor failure sentinel (-1)",IF(OR(S171&lt;'02_Parameters'!$B$20,S171&gt;'02_Parameters'!$B$21),"Out of accepted range","Valid"))))</f>
        <v>Valid</v>
      </c>
      <c r="W171" s="16">
        <v>-0.1</v>
      </c>
      <c r="X171" s="16">
        <f t="shared" si="30"/>
        <v>0.1</v>
      </c>
      <c r="Y171" t="str">
        <f t="shared" si="31"/>
        <v>Sign corrected to positive</v>
      </c>
      <c r="Z171" s="16"/>
      <c r="AA171">
        <v>1</v>
      </c>
      <c r="AB171">
        <f>IF(B171&lt;&gt;"Sensor Snapshot","",IF(ISNUMBER(AA171),--(AA171&lt;&gt;0),IF(ISNUMBER(Z171),--(Z171&lt;'02_Parameters'!$B$15),"")))</f>
        <v>1</v>
      </c>
      <c r="AC171">
        <f>IF(B171&lt;&gt;"Sensor Snapshot","",IF(ISNUMBER(X171),--(X171&gt;='02_Parameters'!$B$16),""))</f>
        <v>0</v>
      </c>
      <c r="AD171">
        <v>0</v>
      </c>
      <c r="AE171">
        <f t="shared" si="32"/>
        <v>0</v>
      </c>
      <c r="AF171" s="3" t="str">
        <f t="shared" si="33"/>
        <v>Partial detection only</v>
      </c>
      <c r="AG171" s="16">
        <v>0</v>
      </c>
      <c r="AH171" s="16">
        <f>IF(B171&lt;&gt;"Sensor Snapshot","",IF(ISNUMBER(AG171),IF(AG171&lt;0,"",IF(AG171&gt;10,AG171/'02_Parameters'!$B$17,AG171)),""))</f>
        <v>0</v>
      </c>
      <c r="AI171" t="str">
        <f t="shared" si="34"/>
        <v>Valid</v>
      </c>
      <c r="AJ171">
        <f t="shared" si="35"/>
        <v>0</v>
      </c>
      <c r="AK171">
        <f t="shared" si="36"/>
        <v>0</v>
      </c>
      <c r="AM171">
        <f t="shared" si="37"/>
        <v>0</v>
      </c>
      <c r="AN171">
        <f>IF(B171&lt;&gt;"Sensor Snapshot","",--(N171&gt;='02_Parameters'!$B$13))</f>
        <v>0</v>
      </c>
      <c r="AO171">
        <f>IF(B171&lt;&gt;"Sensor Snapshot","",--(AND(L171="PUMPING",ISNUMBER(AH171),AH171&lt;='02_Parameters'!$B$10)))</f>
        <v>0</v>
      </c>
      <c r="AP171" s="16"/>
      <c r="AQ171" s="16" t="str">
        <f t="shared" si="38"/>
        <v/>
      </c>
      <c r="AR171" s="16" t="str">
        <f t="shared" si="39"/>
        <v/>
      </c>
      <c r="AU171" t="s">
        <v>236</v>
      </c>
      <c r="AV171" t="s">
        <v>237</v>
      </c>
      <c r="AW171" s="3" t="s">
        <v>238</v>
      </c>
      <c r="AX171" s="3">
        <f t="shared" si="40"/>
        <v>100</v>
      </c>
      <c r="AY171" s="3" t="str">
        <f t="shared" si="41"/>
        <v>A</v>
      </c>
      <c r="AZ171" s="3" t="s">
        <v>386</v>
      </c>
      <c r="BA171" s="3"/>
    </row>
    <row r="172" spans="1:53" ht="27.6">
      <c r="A172" t="s">
        <v>471</v>
      </c>
      <c r="B172" t="s">
        <v>231</v>
      </c>
      <c r="C172" s="14">
        <v>398821</v>
      </c>
      <c r="D172" s="15">
        <f t="shared" si="28"/>
        <v>398.82100000000003</v>
      </c>
      <c r="E172" t="s">
        <v>232</v>
      </c>
      <c r="G172" t="s">
        <v>234</v>
      </c>
      <c r="H172" t="s">
        <v>235</v>
      </c>
      <c r="I172" s="3"/>
      <c r="J172" s="3"/>
      <c r="L172" t="s">
        <v>385</v>
      </c>
      <c r="M172">
        <f t="shared" si="29"/>
        <v>0</v>
      </c>
      <c r="N172">
        <v>0</v>
      </c>
      <c r="O172" s="16">
        <v>27.3</v>
      </c>
      <c r="P172" s="16">
        <f>IF(AND(ISNUMBER(O172),O172&lt;&gt;-1,O172&gt;='02_Parameters'!$B$18,O172&lt;='02_Parameters'!$B$19),O172,"")</f>
        <v>27.3</v>
      </c>
      <c r="Q172" s="16">
        <v>27.3</v>
      </c>
      <c r="R172" t="str">
        <f>IF(B172&lt;&gt;"Sensor Snapshot","",IF(O172="","Missing",IF(O172=-1,"Sensor failure sentinel (-1)",IF(OR(O172&lt;'02_Parameters'!$B$18,O172&gt;'02_Parameters'!$B$19),"Out of accepted range","Valid"))))</f>
        <v>Valid</v>
      </c>
      <c r="S172" s="16">
        <v>80.3</v>
      </c>
      <c r="T172" s="16">
        <f>IF(AND(ISNUMBER(S172),S172&lt;&gt;-1,S172&gt;='02_Parameters'!$B$20,S172&lt;='02_Parameters'!$B$21),S172,"")</f>
        <v>80.3</v>
      </c>
      <c r="U172" s="16">
        <v>80.3</v>
      </c>
      <c r="V172" t="str">
        <f>IF(B172&lt;&gt;"Sensor Snapshot","",IF(S172="","Missing",IF(S172=-1,"Sensor failure sentinel (-1)",IF(OR(S172&lt;'02_Parameters'!$B$20,S172&gt;'02_Parameters'!$B$21),"Out of accepted range","Valid"))))</f>
        <v>Valid</v>
      </c>
      <c r="W172" s="16">
        <v>-0.1</v>
      </c>
      <c r="X172" s="16">
        <f t="shared" si="30"/>
        <v>0.1</v>
      </c>
      <c r="Y172" t="str">
        <f t="shared" si="31"/>
        <v>Sign corrected to positive</v>
      </c>
      <c r="Z172" s="16"/>
      <c r="AA172">
        <v>1</v>
      </c>
      <c r="AB172">
        <f>IF(B172&lt;&gt;"Sensor Snapshot","",IF(ISNUMBER(AA172),--(AA172&lt;&gt;0),IF(ISNUMBER(Z172),--(Z172&lt;'02_Parameters'!$B$15),"")))</f>
        <v>1</v>
      </c>
      <c r="AC172">
        <f>IF(B172&lt;&gt;"Sensor Snapshot","",IF(ISNUMBER(X172),--(X172&gt;='02_Parameters'!$B$16),""))</f>
        <v>0</v>
      </c>
      <c r="AD172">
        <v>0</v>
      </c>
      <c r="AE172">
        <f t="shared" si="32"/>
        <v>0</v>
      </c>
      <c r="AF172" s="3" t="str">
        <f t="shared" si="33"/>
        <v>Partial detection only</v>
      </c>
      <c r="AG172" s="16">
        <v>0</v>
      </c>
      <c r="AH172" s="16">
        <f>IF(B172&lt;&gt;"Sensor Snapshot","",IF(ISNUMBER(AG172),IF(AG172&lt;0,"",IF(AG172&gt;10,AG172/'02_Parameters'!$B$17,AG172)),""))</f>
        <v>0</v>
      </c>
      <c r="AI172" t="str">
        <f t="shared" si="34"/>
        <v>Valid</v>
      </c>
      <c r="AJ172">
        <f t="shared" si="35"/>
        <v>0</v>
      </c>
      <c r="AK172">
        <f t="shared" si="36"/>
        <v>0</v>
      </c>
      <c r="AM172">
        <f t="shared" si="37"/>
        <v>0</v>
      </c>
      <c r="AN172">
        <f>IF(B172&lt;&gt;"Sensor Snapshot","",--(N172&gt;='02_Parameters'!$B$13))</f>
        <v>0</v>
      </c>
      <c r="AO172">
        <f>IF(B172&lt;&gt;"Sensor Snapshot","",--(AND(L172="PUMPING",ISNUMBER(AH172),AH172&lt;='02_Parameters'!$B$10)))</f>
        <v>0</v>
      </c>
      <c r="AP172" s="16"/>
      <c r="AQ172" s="16" t="str">
        <f t="shared" si="38"/>
        <v/>
      </c>
      <c r="AR172" s="16" t="str">
        <f t="shared" si="39"/>
        <v/>
      </c>
      <c r="AU172" t="s">
        <v>236</v>
      </c>
      <c r="AV172" t="s">
        <v>237</v>
      </c>
      <c r="AW172" s="3" t="s">
        <v>238</v>
      </c>
      <c r="AX172" s="3">
        <f t="shared" si="40"/>
        <v>100</v>
      </c>
      <c r="AY172" s="3" t="str">
        <f t="shared" si="41"/>
        <v>A</v>
      </c>
      <c r="AZ172" s="3" t="s">
        <v>386</v>
      </c>
      <c r="BA172" s="3"/>
    </row>
    <row r="173" spans="1:53" ht="27.6">
      <c r="A173" t="s">
        <v>472</v>
      </c>
      <c r="B173" t="s">
        <v>231</v>
      </c>
      <c r="C173" s="14">
        <v>403838</v>
      </c>
      <c r="D173" s="15">
        <f t="shared" si="28"/>
        <v>403.83800000000002</v>
      </c>
      <c r="E173" t="s">
        <v>232</v>
      </c>
      <c r="G173" t="s">
        <v>234</v>
      </c>
      <c r="H173" t="s">
        <v>235</v>
      </c>
      <c r="I173" s="3"/>
      <c r="J173" s="3"/>
      <c r="L173" t="s">
        <v>385</v>
      </c>
      <c r="M173">
        <f t="shared" si="29"/>
        <v>0</v>
      </c>
      <c r="N173">
        <v>0</v>
      </c>
      <c r="O173" s="16">
        <v>27.3</v>
      </c>
      <c r="P173" s="16">
        <f>IF(AND(ISNUMBER(O173),O173&lt;&gt;-1,O173&gt;='02_Parameters'!$B$18,O173&lt;='02_Parameters'!$B$19),O173,"")</f>
        <v>27.3</v>
      </c>
      <c r="Q173" s="16">
        <v>27.3</v>
      </c>
      <c r="R173" t="str">
        <f>IF(B173&lt;&gt;"Sensor Snapshot","",IF(O173="","Missing",IF(O173=-1,"Sensor failure sentinel (-1)",IF(OR(O173&lt;'02_Parameters'!$B$18,O173&gt;'02_Parameters'!$B$19),"Out of accepted range","Valid"))))</f>
        <v>Valid</v>
      </c>
      <c r="S173" s="16">
        <v>80.3</v>
      </c>
      <c r="T173" s="16">
        <f>IF(AND(ISNUMBER(S173),S173&lt;&gt;-1,S173&gt;='02_Parameters'!$B$20,S173&lt;='02_Parameters'!$B$21),S173,"")</f>
        <v>80.3</v>
      </c>
      <c r="U173" s="16">
        <v>80.3</v>
      </c>
      <c r="V173" t="str">
        <f>IF(B173&lt;&gt;"Sensor Snapshot","",IF(S173="","Missing",IF(S173=-1,"Sensor failure sentinel (-1)",IF(OR(S173&lt;'02_Parameters'!$B$20,S173&gt;'02_Parameters'!$B$21),"Out of accepted range","Valid"))))</f>
        <v>Valid</v>
      </c>
      <c r="W173" s="16">
        <v>0</v>
      </c>
      <c r="X173" s="16">
        <f t="shared" si="30"/>
        <v>0</v>
      </c>
      <c r="Y173" t="str">
        <f t="shared" si="31"/>
        <v>Valid</v>
      </c>
      <c r="Z173" s="16"/>
      <c r="AA173">
        <v>1</v>
      </c>
      <c r="AB173">
        <f>IF(B173&lt;&gt;"Sensor Snapshot","",IF(ISNUMBER(AA173),--(AA173&lt;&gt;0),IF(ISNUMBER(Z173),--(Z173&lt;'02_Parameters'!$B$15),"")))</f>
        <v>1</v>
      </c>
      <c r="AC173">
        <f>IF(B173&lt;&gt;"Sensor Snapshot","",IF(ISNUMBER(X173),--(X173&gt;='02_Parameters'!$B$16),""))</f>
        <v>0</v>
      </c>
      <c r="AD173">
        <v>0</v>
      </c>
      <c r="AE173">
        <f t="shared" si="32"/>
        <v>0</v>
      </c>
      <c r="AF173" s="3" t="str">
        <f t="shared" si="33"/>
        <v>Partial detection only</v>
      </c>
      <c r="AG173" s="16">
        <v>0</v>
      </c>
      <c r="AH173" s="16">
        <f>IF(B173&lt;&gt;"Sensor Snapshot","",IF(ISNUMBER(AG173),IF(AG173&lt;0,"",IF(AG173&gt;10,AG173/'02_Parameters'!$B$17,AG173)),""))</f>
        <v>0</v>
      </c>
      <c r="AI173" t="str">
        <f t="shared" si="34"/>
        <v>Valid</v>
      </c>
      <c r="AJ173">
        <f t="shared" si="35"/>
        <v>0</v>
      </c>
      <c r="AK173">
        <f t="shared" si="36"/>
        <v>0</v>
      </c>
      <c r="AM173">
        <f t="shared" si="37"/>
        <v>0</v>
      </c>
      <c r="AN173">
        <f>IF(B173&lt;&gt;"Sensor Snapshot","",--(N173&gt;='02_Parameters'!$B$13))</f>
        <v>0</v>
      </c>
      <c r="AO173">
        <f>IF(B173&lt;&gt;"Sensor Snapshot","",--(AND(L173="PUMPING",ISNUMBER(AH173),AH173&lt;='02_Parameters'!$B$10)))</f>
        <v>0</v>
      </c>
      <c r="AP173" s="16"/>
      <c r="AQ173" s="16" t="str">
        <f t="shared" si="38"/>
        <v/>
      </c>
      <c r="AR173" s="16" t="str">
        <f t="shared" si="39"/>
        <v/>
      </c>
      <c r="AU173" t="s">
        <v>236</v>
      </c>
      <c r="AV173" t="s">
        <v>237</v>
      </c>
      <c r="AW173" s="3" t="s">
        <v>257</v>
      </c>
      <c r="AX173" s="3">
        <f t="shared" si="40"/>
        <v>100</v>
      </c>
      <c r="AY173" s="3" t="str">
        <f t="shared" si="41"/>
        <v>A</v>
      </c>
      <c r="AZ173" s="3" t="s">
        <v>386</v>
      </c>
      <c r="BA173" s="3"/>
    </row>
    <row r="174" spans="1:53" ht="27.6">
      <c r="A174" t="s">
        <v>473</v>
      </c>
      <c r="B174" t="s">
        <v>231</v>
      </c>
      <c r="C174" s="14">
        <v>408857</v>
      </c>
      <c r="D174" s="15">
        <f t="shared" si="28"/>
        <v>408.85700000000003</v>
      </c>
      <c r="E174" t="s">
        <v>232</v>
      </c>
      <c r="G174" t="s">
        <v>234</v>
      </c>
      <c r="H174" t="s">
        <v>235</v>
      </c>
      <c r="I174" s="3"/>
      <c r="J174" s="3"/>
      <c r="L174" t="s">
        <v>385</v>
      </c>
      <c r="M174">
        <f t="shared" si="29"/>
        <v>0</v>
      </c>
      <c r="N174">
        <v>0</v>
      </c>
      <c r="O174" s="16">
        <v>27.3</v>
      </c>
      <c r="P174" s="16">
        <f>IF(AND(ISNUMBER(O174),O174&lt;&gt;-1,O174&gt;='02_Parameters'!$B$18,O174&lt;='02_Parameters'!$B$19),O174,"")</f>
        <v>27.3</v>
      </c>
      <c r="Q174" s="16">
        <v>27.3</v>
      </c>
      <c r="R174" t="str">
        <f>IF(B174&lt;&gt;"Sensor Snapshot","",IF(O174="","Missing",IF(O174=-1,"Sensor failure sentinel (-1)",IF(OR(O174&lt;'02_Parameters'!$B$18,O174&gt;'02_Parameters'!$B$19),"Out of accepted range","Valid"))))</f>
        <v>Valid</v>
      </c>
      <c r="S174" s="16">
        <v>80.5</v>
      </c>
      <c r="T174" s="16">
        <f>IF(AND(ISNUMBER(S174),S174&lt;&gt;-1,S174&gt;='02_Parameters'!$B$20,S174&lt;='02_Parameters'!$B$21),S174,"")</f>
        <v>80.5</v>
      </c>
      <c r="U174" s="16">
        <v>80.5</v>
      </c>
      <c r="V174" t="str">
        <f>IF(B174&lt;&gt;"Sensor Snapshot","",IF(S174="","Missing",IF(S174=-1,"Sensor failure sentinel (-1)",IF(OR(S174&lt;'02_Parameters'!$B$20,S174&gt;'02_Parameters'!$B$21),"Out of accepted range","Valid"))))</f>
        <v>Valid</v>
      </c>
      <c r="W174" s="16">
        <v>0</v>
      </c>
      <c r="X174" s="16">
        <f t="shared" si="30"/>
        <v>0</v>
      </c>
      <c r="Y174" t="str">
        <f t="shared" si="31"/>
        <v>Valid</v>
      </c>
      <c r="Z174" s="16"/>
      <c r="AA174">
        <v>1</v>
      </c>
      <c r="AB174">
        <f>IF(B174&lt;&gt;"Sensor Snapshot","",IF(ISNUMBER(AA174),--(AA174&lt;&gt;0),IF(ISNUMBER(Z174),--(Z174&lt;'02_Parameters'!$B$15),"")))</f>
        <v>1</v>
      </c>
      <c r="AC174">
        <f>IF(B174&lt;&gt;"Sensor Snapshot","",IF(ISNUMBER(X174),--(X174&gt;='02_Parameters'!$B$16),""))</f>
        <v>0</v>
      </c>
      <c r="AD174">
        <v>0</v>
      </c>
      <c r="AE174">
        <f t="shared" si="32"/>
        <v>0</v>
      </c>
      <c r="AF174" s="3" t="str">
        <f t="shared" si="33"/>
        <v>Partial detection only</v>
      </c>
      <c r="AG174" s="16">
        <v>0</v>
      </c>
      <c r="AH174" s="16">
        <f>IF(B174&lt;&gt;"Sensor Snapshot","",IF(ISNUMBER(AG174),IF(AG174&lt;0,"",IF(AG174&gt;10,AG174/'02_Parameters'!$B$17,AG174)),""))</f>
        <v>0</v>
      </c>
      <c r="AI174" t="str">
        <f t="shared" si="34"/>
        <v>Valid</v>
      </c>
      <c r="AJ174">
        <f t="shared" si="35"/>
        <v>0</v>
      </c>
      <c r="AK174">
        <f t="shared" si="36"/>
        <v>0</v>
      </c>
      <c r="AM174">
        <f t="shared" si="37"/>
        <v>0</v>
      </c>
      <c r="AN174">
        <f>IF(B174&lt;&gt;"Sensor Snapshot","",--(N174&gt;='02_Parameters'!$B$13))</f>
        <v>0</v>
      </c>
      <c r="AO174">
        <f>IF(B174&lt;&gt;"Sensor Snapshot","",--(AND(L174="PUMPING",ISNUMBER(AH174),AH174&lt;='02_Parameters'!$B$10)))</f>
        <v>0</v>
      </c>
      <c r="AP174" s="16"/>
      <c r="AQ174" s="16" t="str">
        <f t="shared" si="38"/>
        <v/>
      </c>
      <c r="AR174" s="16" t="str">
        <f t="shared" si="39"/>
        <v/>
      </c>
      <c r="AU174" t="s">
        <v>236</v>
      </c>
      <c r="AV174" t="s">
        <v>237</v>
      </c>
      <c r="AW174" s="3" t="s">
        <v>257</v>
      </c>
      <c r="AX174" s="3">
        <f t="shared" si="40"/>
        <v>100</v>
      </c>
      <c r="AY174" s="3" t="str">
        <f t="shared" si="41"/>
        <v>A</v>
      </c>
      <c r="AZ174" s="3" t="s">
        <v>386</v>
      </c>
      <c r="BA174" s="3"/>
    </row>
    <row r="175" spans="1:53" ht="27.6">
      <c r="A175" t="s">
        <v>474</v>
      </c>
      <c r="B175" t="s">
        <v>231</v>
      </c>
      <c r="C175" s="14">
        <v>413877</v>
      </c>
      <c r="D175" s="15">
        <f t="shared" si="28"/>
        <v>413.87700000000001</v>
      </c>
      <c r="E175" t="s">
        <v>232</v>
      </c>
      <c r="G175" t="s">
        <v>234</v>
      </c>
      <c r="H175" t="s">
        <v>235</v>
      </c>
      <c r="I175" s="3"/>
      <c r="J175" s="3"/>
      <c r="L175" t="s">
        <v>385</v>
      </c>
      <c r="M175">
        <f t="shared" si="29"/>
        <v>0</v>
      </c>
      <c r="N175">
        <v>0</v>
      </c>
      <c r="O175" s="16">
        <v>27.3</v>
      </c>
      <c r="P175" s="16">
        <f>IF(AND(ISNUMBER(O175),O175&lt;&gt;-1,O175&gt;='02_Parameters'!$B$18,O175&lt;='02_Parameters'!$B$19),O175,"")</f>
        <v>27.3</v>
      </c>
      <c r="Q175" s="16">
        <v>27.3</v>
      </c>
      <c r="R175" t="str">
        <f>IF(B175&lt;&gt;"Sensor Snapshot","",IF(O175="","Missing",IF(O175=-1,"Sensor failure sentinel (-1)",IF(OR(O175&lt;'02_Parameters'!$B$18,O175&gt;'02_Parameters'!$B$19),"Out of accepted range","Valid"))))</f>
        <v>Valid</v>
      </c>
      <c r="S175" s="16">
        <v>80.400000000000006</v>
      </c>
      <c r="T175" s="16">
        <f>IF(AND(ISNUMBER(S175),S175&lt;&gt;-1,S175&gt;='02_Parameters'!$B$20,S175&lt;='02_Parameters'!$B$21),S175,"")</f>
        <v>80.400000000000006</v>
      </c>
      <c r="U175" s="16">
        <v>80.400000000000006</v>
      </c>
      <c r="V175" t="str">
        <f>IF(B175&lt;&gt;"Sensor Snapshot","",IF(S175="","Missing",IF(S175=-1,"Sensor failure sentinel (-1)",IF(OR(S175&lt;'02_Parameters'!$B$20,S175&gt;'02_Parameters'!$B$21),"Out of accepted range","Valid"))))</f>
        <v>Valid</v>
      </c>
      <c r="W175" s="16">
        <v>-0.1</v>
      </c>
      <c r="X175" s="16">
        <f t="shared" si="30"/>
        <v>0.1</v>
      </c>
      <c r="Y175" t="str">
        <f t="shared" si="31"/>
        <v>Sign corrected to positive</v>
      </c>
      <c r="Z175" s="16"/>
      <c r="AA175">
        <v>1</v>
      </c>
      <c r="AB175">
        <f>IF(B175&lt;&gt;"Sensor Snapshot","",IF(ISNUMBER(AA175),--(AA175&lt;&gt;0),IF(ISNUMBER(Z175),--(Z175&lt;'02_Parameters'!$B$15),"")))</f>
        <v>1</v>
      </c>
      <c r="AC175">
        <f>IF(B175&lt;&gt;"Sensor Snapshot","",IF(ISNUMBER(X175),--(X175&gt;='02_Parameters'!$B$16),""))</f>
        <v>0</v>
      </c>
      <c r="AD175">
        <v>0</v>
      </c>
      <c r="AE175">
        <f t="shared" si="32"/>
        <v>0</v>
      </c>
      <c r="AF175" s="3" t="str">
        <f t="shared" si="33"/>
        <v>Partial detection only</v>
      </c>
      <c r="AG175" s="16">
        <v>0</v>
      </c>
      <c r="AH175" s="16">
        <f>IF(B175&lt;&gt;"Sensor Snapshot","",IF(ISNUMBER(AG175),IF(AG175&lt;0,"",IF(AG175&gt;10,AG175/'02_Parameters'!$B$17,AG175)),""))</f>
        <v>0</v>
      </c>
      <c r="AI175" t="str">
        <f t="shared" si="34"/>
        <v>Valid</v>
      </c>
      <c r="AJ175">
        <f t="shared" si="35"/>
        <v>0</v>
      </c>
      <c r="AK175">
        <f t="shared" si="36"/>
        <v>0</v>
      </c>
      <c r="AM175">
        <f t="shared" si="37"/>
        <v>0</v>
      </c>
      <c r="AN175">
        <f>IF(B175&lt;&gt;"Sensor Snapshot","",--(N175&gt;='02_Parameters'!$B$13))</f>
        <v>0</v>
      </c>
      <c r="AO175">
        <f>IF(B175&lt;&gt;"Sensor Snapshot","",--(AND(L175="PUMPING",ISNUMBER(AH175),AH175&lt;='02_Parameters'!$B$10)))</f>
        <v>0</v>
      </c>
      <c r="AP175" s="16"/>
      <c r="AQ175" s="16" t="str">
        <f t="shared" si="38"/>
        <v/>
      </c>
      <c r="AR175" s="16" t="str">
        <f t="shared" si="39"/>
        <v/>
      </c>
      <c r="AU175" t="s">
        <v>236</v>
      </c>
      <c r="AV175" t="s">
        <v>237</v>
      </c>
      <c r="AW175" s="3" t="s">
        <v>238</v>
      </c>
      <c r="AX175" s="3">
        <f t="shared" si="40"/>
        <v>100</v>
      </c>
      <c r="AY175" s="3" t="str">
        <f t="shared" si="41"/>
        <v>A</v>
      </c>
      <c r="AZ175" s="3" t="s">
        <v>386</v>
      </c>
      <c r="BA175" s="3"/>
    </row>
    <row r="176" spans="1:53" ht="27.6">
      <c r="A176" t="s">
        <v>475</v>
      </c>
      <c r="B176" t="s">
        <v>231</v>
      </c>
      <c r="C176" s="14">
        <v>418894</v>
      </c>
      <c r="D176" s="15">
        <f t="shared" si="28"/>
        <v>418.89400000000001</v>
      </c>
      <c r="E176" t="s">
        <v>232</v>
      </c>
      <c r="G176" t="s">
        <v>234</v>
      </c>
      <c r="H176" t="s">
        <v>235</v>
      </c>
      <c r="I176" s="3"/>
      <c r="J176" s="3"/>
      <c r="L176" t="s">
        <v>385</v>
      </c>
      <c r="M176">
        <f t="shared" si="29"/>
        <v>0</v>
      </c>
      <c r="N176">
        <v>0</v>
      </c>
      <c r="O176" s="16">
        <v>27.3</v>
      </c>
      <c r="P176" s="16">
        <f>IF(AND(ISNUMBER(O176),O176&lt;&gt;-1,O176&gt;='02_Parameters'!$B$18,O176&lt;='02_Parameters'!$B$19),O176,"")</f>
        <v>27.3</v>
      </c>
      <c r="Q176" s="16">
        <v>27.3</v>
      </c>
      <c r="R176" t="str">
        <f>IF(B176&lt;&gt;"Sensor Snapshot","",IF(O176="","Missing",IF(O176=-1,"Sensor failure sentinel (-1)",IF(OR(O176&lt;'02_Parameters'!$B$18,O176&gt;'02_Parameters'!$B$19),"Out of accepted range","Valid"))))</f>
        <v>Valid</v>
      </c>
      <c r="S176" s="16">
        <v>80.3</v>
      </c>
      <c r="T176" s="16">
        <f>IF(AND(ISNUMBER(S176),S176&lt;&gt;-1,S176&gt;='02_Parameters'!$B$20,S176&lt;='02_Parameters'!$B$21),S176,"")</f>
        <v>80.3</v>
      </c>
      <c r="U176" s="16">
        <v>80.3</v>
      </c>
      <c r="V176" t="str">
        <f>IF(B176&lt;&gt;"Sensor Snapshot","",IF(S176="","Missing",IF(S176=-1,"Sensor failure sentinel (-1)",IF(OR(S176&lt;'02_Parameters'!$B$20,S176&gt;'02_Parameters'!$B$21),"Out of accepted range","Valid"))))</f>
        <v>Valid</v>
      </c>
      <c r="W176" s="16">
        <v>0.1</v>
      </c>
      <c r="X176" s="16">
        <f t="shared" si="30"/>
        <v>0.1</v>
      </c>
      <c r="Y176" t="str">
        <f t="shared" si="31"/>
        <v>Valid</v>
      </c>
      <c r="Z176" s="16"/>
      <c r="AA176">
        <v>1</v>
      </c>
      <c r="AB176">
        <f>IF(B176&lt;&gt;"Sensor Snapshot","",IF(ISNUMBER(AA176),--(AA176&lt;&gt;0),IF(ISNUMBER(Z176),--(Z176&lt;'02_Parameters'!$B$15),"")))</f>
        <v>1</v>
      </c>
      <c r="AC176">
        <f>IF(B176&lt;&gt;"Sensor Snapshot","",IF(ISNUMBER(X176),--(X176&gt;='02_Parameters'!$B$16),""))</f>
        <v>0</v>
      </c>
      <c r="AD176">
        <v>0</v>
      </c>
      <c r="AE176">
        <f t="shared" si="32"/>
        <v>0</v>
      </c>
      <c r="AF176" s="3" t="str">
        <f t="shared" si="33"/>
        <v>Partial detection only</v>
      </c>
      <c r="AG176" s="16">
        <v>0</v>
      </c>
      <c r="AH176" s="16">
        <f>IF(B176&lt;&gt;"Sensor Snapshot","",IF(ISNUMBER(AG176),IF(AG176&lt;0,"",IF(AG176&gt;10,AG176/'02_Parameters'!$B$17,AG176)),""))</f>
        <v>0</v>
      </c>
      <c r="AI176" t="str">
        <f t="shared" si="34"/>
        <v>Valid</v>
      </c>
      <c r="AJ176">
        <f t="shared" si="35"/>
        <v>0</v>
      </c>
      <c r="AK176">
        <f t="shared" si="36"/>
        <v>0</v>
      </c>
      <c r="AM176">
        <f t="shared" si="37"/>
        <v>0</v>
      </c>
      <c r="AN176">
        <f>IF(B176&lt;&gt;"Sensor Snapshot","",--(N176&gt;='02_Parameters'!$B$13))</f>
        <v>0</v>
      </c>
      <c r="AO176">
        <f>IF(B176&lt;&gt;"Sensor Snapshot","",--(AND(L176="PUMPING",ISNUMBER(AH176),AH176&lt;='02_Parameters'!$B$10)))</f>
        <v>0</v>
      </c>
      <c r="AP176" s="16"/>
      <c r="AQ176" s="16" t="str">
        <f t="shared" si="38"/>
        <v/>
      </c>
      <c r="AR176" s="16" t="str">
        <f t="shared" si="39"/>
        <v/>
      </c>
      <c r="AU176" t="s">
        <v>236</v>
      </c>
      <c r="AV176" t="s">
        <v>237</v>
      </c>
      <c r="AW176" s="3" t="s">
        <v>257</v>
      </c>
      <c r="AX176" s="3">
        <f t="shared" si="40"/>
        <v>100</v>
      </c>
      <c r="AY176" s="3" t="str">
        <f t="shared" si="41"/>
        <v>A</v>
      </c>
      <c r="AZ176" s="3" t="s">
        <v>386</v>
      </c>
      <c r="BA176" s="3"/>
    </row>
    <row r="177" spans="1:53" ht="27.6">
      <c r="A177" t="s">
        <v>476</v>
      </c>
      <c r="B177" t="s">
        <v>231</v>
      </c>
      <c r="C177" s="14">
        <v>423913</v>
      </c>
      <c r="D177" s="15">
        <f t="shared" si="28"/>
        <v>423.91300000000001</v>
      </c>
      <c r="E177" t="s">
        <v>232</v>
      </c>
      <c r="G177" t="s">
        <v>234</v>
      </c>
      <c r="H177" t="s">
        <v>235</v>
      </c>
      <c r="I177" s="3"/>
      <c r="J177" s="3"/>
      <c r="L177" t="s">
        <v>385</v>
      </c>
      <c r="M177">
        <f t="shared" si="29"/>
        <v>0</v>
      </c>
      <c r="N177">
        <v>0</v>
      </c>
      <c r="O177" s="16">
        <v>27.2</v>
      </c>
      <c r="P177" s="16">
        <f>IF(AND(ISNUMBER(O177),O177&lt;&gt;-1,O177&gt;='02_Parameters'!$B$18,O177&lt;='02_Parameters'!$B$19),O177,"")</f>
        <v>27.2</v>
      </c>
      <c r="Q177" s="16">
        <v>27.2</v>
      </c>
      <c r="R177" t="str">
        <f>IF(B177&lt;&gt;"Sensor Snapshot","",IF(O177="","Missing",IF(O177=-1,"Sensor failure sentinel (-1)",IF(OR(O177&lt;'02_Parameters'!$B$18,O177&gt;'02_Parameters'!$B$19),"Out of accepted range","Valid"))))</f>
        <v>Valid</v>
      </c>
      <c r="S177" s="16">
        <v>80.2</v>
      </c>
      <c r="T177" s="16">
        <f>IF(AND(ISNUMBER(S177),S177&lt;&gt;-1,S177&gt;='02_Parameters'!$B$20,S177&lt;='02_Parameters'!$B$21),S177,"")</f>
        <v>80.2</v>
      </c>
      <c r="U177" s="16">
        <v>80.2</v>
      </c>
      <c r="V177" t="str">
        <f>IF(B177&lt;&gt;"Sensor Snapshot","",IF(S177="","Missing",IF(S177=-1,"Sensor failure sentinel (-1)",IF(OR(S177&lt;'02_Parameters'!$B$20,S177&gt;'02_Parameters'!$B$21),"Out of accepted range","Valid"))))</f>
        <v>Valid</v>
      </c>
      <c r="W177" s="16">
        <v>0</v>
      </c>
      <c r="X177" s="16">
        <f t="shared" si="30"/>
        <v>0</v>
      </c>
      <c r="Y177" t="str">
        <f t="shared" si="31"/>
        <v>Valid</v>
      </c>
      <c r="Z177" s="16"/>
      <c r="AA177">
        <v>1</v>
      </c>
      <c r="AB177">
        <f>IF(B177&lt;&gt;"Sensor Snapshot","",IF(ISNUMBER(AA177),--(AA177&lt;&gt;0),IF(ISNUMBER(Z177),--(Z177&lt;'02_Parameters'!$B$15),"")))</f>
        <v>1</v>
      </c>
      <c r="AC177">
        <f>IF(B177&lt;&gt;"Sensor Snapshot","",IF(ISNUMBER(X177),--(X177&gt;='02_Parameters'!$B$16),""))</f>
        <v>0</v>
      </c>
      <c r="AD177">
        <v>0</v>
      </c>
      <c r="AE177">
        <f t="shared" si="32"/>
        <v>0</v>
      </c>
      <c r="AF177" s="3" t="str">
        <f t="shared" si="33"/>
        <v>Partial detection only</v>
      </c>
      <c r="AG177" s="16">
        <v>0</v>
      </c>
      <c r="AH177" s="16">
        <f>IF(B177&lt;&gt;"Sensor Snapshot","",IF(ISNUMBER(AG177),IF(AG177&lt;0,"",IF(AG177&gt;10,AG177/'02_Parameters'!$B$17,AG177)),""))</f>
        <v>0</v>
      </c>
      <c r="AI177" t="str">
        <f t="shared" si="34"/>
        <v>Valid</v>
      </c>
      <c r="AJ177">
        <f t="shared" si="35"/>
        <v>0</v>
      </c>
      <c r="AK177">
        <f t="shared" si="36"/>
        <v>0</v>
      </c>
      <c r="AM177">
        <f t="shared" si="37"/>
        <v>0</v>
      </c>
      <c r="AN177">
        <f>IF(B177&lt;&gt;"Sensor Snapshot","",--(N177&gt;='02_Parameters'!$B$13))</f>
        <v>0</v>
      </c>
      <c r="AO177">
        <f>IF(B177&lt;&gt;"Sensor Snapshot","",--(AND(L177="PUMPING",ISNUMBER(AH177),AH177&lt;='02_Parameters'!$B$10)))</f>
        <v>0</v>
      </c>
      <c r="AP177" s="16"/>
      <c r="AQ177" s="16" t="str">
        <f t="shared" si="38"/>
        <v/>
      </c>
      <c r="AR177" s="16" t="str">
        <f t="shared" si="39"/>
        <v/>
      </c>
      <c r="AU177" t="s">
        <v>236</v>
      </c>
      <c r="AV177" t="s">
        <v>237</v>
      </c>
      <c r="AW177" s="3" t="s">
        <v>257</v>
      </c>
      <c r="AX177" s="3">
        <f t="shared" si="40"/>
        <v>100</v>
      </c>
      <c r="AY177" s="3" t="str">
        <f t="shared" si="41"/>
        <v>A</v>
      </c>
      <c r="AZ177" s="3" t="s">
        <v>386</v>
      </c>
      <c r="BA177" s="3"/>
    </row>
    <row r="178" spans="1:53" ht="27.6">
      <c r="A178" t="s">
        <v>477</v>
      </c>
      <c r="B178" t="s">
        <v>231</v>
      </c>
      <c r="C178" s="14">
        <v>428932</v>
      </c>
      <c r="D178" s="15">
        <f t="shared" si="28"/>
        <v>428.93200000000002</v>
      </c>
      <c r="E178" t="s">
        <v>232</v>
      </c>
      <c r="G178" t="s">
        <v>234</v>
      </c>
      <c r="H178" t="s">
        <v>235</v>
      </c>
      <c r="I178" s="3"/>
      <c r="J178" s="3"/>
      <c r="L178" t="s">
        <v>385</v>
      </c>
      <c r="M178">
        <f t="shared" si="29"/>
        <v>0</v>
      </c>
      <c r="N178">
        <v>0</v>
      </c>
      <c r="O178" s="16">
        <v>27.3</v>
      </c>
      <c r="P178" s="16">
        <f>IF(AND(ISNUMBER(O178),O178&lt;&gt;-1,O178&gt;='02_Parameters'!$B$18,O178&lt;='02_Parameters'!$B$19),O178,"")</f>
        <v>27.3</v>
      </c>
      <c r="Q178" s="16">
        <v>27.3</v>
      </c>
      <c r="R178" t="str">
        <f>IF(B178&lt;&gt;"Sensor Snapshot","",IF(O178="","Missing",IF(O178=-1,"Sensor failure sentinel (-1)",IF(OR(O178&lt;'02_Parameters'!$B$18,O178&gt;'02_Parameters'!$B$19),"Out of accepted range","Valid"))))</f>
        <v>Valid</v>
      </c>
      <c r="S178" s="16">
        <v>80.099999999999994</v>
      </c>
      <c r="T178" s="16">
        <f>IF(AND(ISNUMBER(S178),S178&lt;&gt;-1,S178&gt;='02_Parameters'!$B$20,S178&lt;='02_Parameters'!$B$21),S178,"")</f>
        <v>80.099999999999994</v>
      </c>
      <c r="U178" s="16">
        <v>80.099999999999994</v>
      </c>
      <c r="V178" t="str">
        <f>IF(B178&lt;&gt;"Sensor Snapshot","",IF(S178="","Missing",IF(S178=-1,"Sensor failure sentinel (-1)",IF(OR(S178&lt;'02_Parameters'!$B$20,S178&gt;'02_Parameters'!$B$21),"Out of accepted range","Valid"))))</f>
        <v>Valid</v>
      </c>
      <c r="W178" s="16">
        <v>0.1</v>
      </c>
      <c r="X178" s="16">
        <f t="shared" si="30"/>
        <v>0.1</v>
      </c>
      <c r="Y178" t="str">
        <f t="shared" si="31"/>
        <v>Valid</v>
      </c>
      <c r="Z178" s="16"/>
      <c r="AA178">
        <v>1</v>
      </c>
      <c r="AB178">
        <f>IF(B178&lt;&gt;"Sensor Snapshot","",IF(ISNUMBER(AA178),--(AA178&lt;&gt;0),IF(ISNUMBER(Z178),--(Z178&lt;'02_Parameters'!$B$15),"")))</f>
        <v>1</v>
      </c>
      <c r="AC178">
        <f>IF(B178&lt;&gt;"Sensor Snapshot","",IF(ISNUMBER(X178),--(X178&gt;='02_Parameters'!$B$16),""))</f>
        <v>0</v>
      </c>
      <c r="AD178">
        <v>0</v>
      </c>
      <c r="AE178">
        <f t="shared" si="32"/>
        <v>0</v>
      </c>
      <c r="AF178" s="3" t="str">
        <f t="shared" si="33"/>
        <v>Partial detection only</v>
      </c>
      <c r="AG178" s="16">
        <v>0</v>
      </c>
      <c r="AH178" s="16">
        <f>IF(B178&lt;&gt;"Sensor Snapshot","",IF(ISNUMBER(AG178),IF(AG178&lt;0,"",IF(AG178&gt;10,AG178/'02_Parameters'!$B$17,AG178)),""))</f>
        <v>0</v>
      </c>
      <c r="AI178" t="str">
        <f t="shared" si="34"/>
        <v>Valid</v>
      </c>
      <c r="AJ178">
        <f t="shared" si="35"/>
        <v>0</v>
      </c>
      <c r="AK178">
        <f t="shared" si="36"/>
        <v>0</v>
      </c>
      <c r="AM178">
        <f t="shared" si="37"/>
        <v>0</v>
      </c>
      <c r="AN178">
        <f>IF(B178&lt;&gt;"Sensor Snapshot","",--(N178&gt;='02_Parameters'!$B$13))</f>
        <v>0</v>
      </c>
      <c r="AO178">
        <f>IF(B178&lt;&gt;"Sensor Snapshot","",--(AND(L178="PUMPING",ISNUMBER(AH178),AH178&lt;='02_Parameters'!$B$10)))</f>
        <v>0</v>
      </c>
      <c r="AP178" s="16"/>
      <c r="AQ178" s="16" t="str">
        <f t="shared" si="38"/>
        <v/>
      </c>
      <c r="AR178" s="16" t="str">
        <f t="shared" si="39"/>
        <v/>
      </c>
      <c r="AU178" t="s">
        <v>236</v>
      </c>
      <c r="AV178" t="s">
        <v>237</v>
      </c>
      <c r="AW178" s="3" t="s">
        <v>257</v>
      </c>
      <c r="AX178" s="3">
        <f t="shared" si="40"/>
        <v>100</v>
      </c>
      <c r="AY178" s="3" t="str">
        <f t="shared" si="41"/>
        <v>A</v>
      </c>
      <c r="AZ178" s="3" t="s">
        <v>386</v>
      </c>
      <c r="BA178" s="3"/>
    </row>
    <row r="179" spans="1:53" ht="27.6">
      <c r="A179" t="s">
        <v>478</v>
      </c>
      <c r="B179" t="s">
        <v>231</v>
      </c>
      <c r="C179" s="14">
        <v>433951</v>
      </c>
      <c r="D179" s="15">
        <f t="shared" si="28"/>
        <v>433.95100000000002</v>
      </c>
      <c r="E179" t="s">
        <v>232</v>
      </c>
      <c r="G179" t="s">
        <v>234</v>
      </c>
      <c r="H179" t="s">
        <v>235</v>
      </c>
      <c r="I179" s="3"/>
      <c r="J179" s="3"/>
      <c r="L179" t="s">
        <v>385</v>
      </c>
      <c r="M179">
        <f t="shared" si="29"/>
        <v>0</v>
      </c>
      <c r="N179">
        <v>0</v>
      </c>
      <c r="O179" s="16">
        <v>27.3</v>
      </c>
      <c r="P179" s="16">
        <f>IF(AND(ISNUMBER(O179),O179&lt;&gt;-1,O179&gt;='02_Parameters'!$B$18,O179&lt;='02_Parameters'!$B$19),O179,"")</f>
        <v>27.3</v>
      </c>
      <c r="Q179" s="16">
        <v>27.3</v>
      </c>
      <c r="R179" t="str">
        <f>IF(B179&lt;&gt;"Sensor Snapshot","",IF(O179="","Missing",IF(O179=-1,"Sensor failure sentinel (-1)",IF(OR(O179&lt;'02_Parameters'!$B$18,O179&gt;'02_Parameters'!$B$19),"Out of accepted range","Valid"))))</f>
        <v>Valid</v>
      </c>
      <c r="S179" s="16">
        <v>80.099999999999994</v>
      </c>
      <c r="T179" s="16">
        <f>IF(AND(ISNUMBER(S179),S179&lt;&gt;-1,S179&gt;='02_Parameters'!$B$20,S179&lt;='02_Parameters'!$B$21),S179,"")</f>
        <v>80.099999999999994</v>
      </c>
      <c r="U179" s="16">
        <v>80.099999999999994</v>
      </c>
      <c r="V179" t="str">
        <f>IF(B179&lt;&gt;"Sensor Snapshot","",IF(S179="","Missing",IF(S179=-1,"Sensor failure sentinel (-1)",IF(OR(S179&lt;'02_Parameters'!$B$20,S179&gt;'02_Parameters'!$B$21),"Out of accepted range","Valid"))))</f>
        <v>Valid</v>
      </c>
      <c r="W179" s="16">
        <v>0</v>
      </c>
      <c r="X179" s="16">
        <f t="shared" si="30"/>
        <v>0</v>
      </c>
      <c r="Y179" t="str">
        <f t="shared" si="31"/>
        <v>Valid</v>
      </c>
      <c r="Z179" s="16"/>
      <c r="AA179">
        <v>1</v>
      </c>
      <c r="AB179">
        <f>IF(B179&lt;&gt;"Sensor Snapshot","",IF(ISNUMBER(AA179),--(AA179&lt;&gt;0),IF(ISNUMBER(Z179),--(Z179&lt;'02_Parameters'!$B$15),"")))</f>
        <v>1</v>
      </c>
      <c r="AC179">
        <f>IF(B179&lt;&gt;"Sensor Snapshot","",IF(ISNUMBER(X179),--(X179&gt;='02_Parameters'!$B$16),""))</f>
        <v>0</v>
      </c>
      <c r="AD179">
        <v>0</v>
      </c>
      <c r="AE179">
        <f t="shared" si="32"/>
        <v>0</v>
      </c>
      <c r="AF179" s="3" t="str">
        <f t="shared" si="33"/>
        <v>Partial detection only</v>
      </c>
      <c r="AG179" s="16">
        <v>0</v>
      </c>
      <c r="AH179" s="16">
        <f>IF(B179&lt;&gt;"Sensor Snapshot","",IF(ISNUMBER(AG179),IF(AG179&lt;0,"",IF(AG179&gt;10,AG179/'02_Parameters'!$B$17,AG179)),""))</f>
        <v>0</v>
      </c>
      <c r="AI179" t="str">
        <f t="shared" si="34"/>
        <v>Valid</v>
      </c>
      <c r="AJ179">
        <f t="shared" si="35"/>
        <v>0</v>
      </c>
      <c r="AK179">
        <f t="shared" si="36"/>
        <v>0</v>
      </c>
      <c r="AM179">
        <f t="shared" si="37"/>
        <v>0</v>
      </c>
      <c r="AN179">
        <f>IF(B179&lt;&gt;"Sensor Snapshot","",--(N179&gt;='02_Parameters'!$B$13))</f>
        <v>0</v>
      </c>
      <c r="AO179">
        <f>IF(B179&lt;&gt;"Sensor Snapshot","",--(AND(L179="PUMPING",ISNUMBER(AH179),AH179&lt;='02_Parameters'!$B$10)))</f>
        <v>0</v>
      </c>
      <c r="AP179" s="16"/>
      <c r="AQ179" s="16" t="str">
        <f t="shared" si="38"/>
        <v/>
      </c>
      <c r="AR179" s="16" t="str">
        <f t="shared" si="39"/>
        <v/>
      </c>
      <c r="AU179" t="s">
        <v>236</v>
      </c>
      <c r="AV179" t="s">
        <v>237</v>
      </c>
      <c r="AW179" s="3" t="s">
        <v>257</v>
      </c>
      <c r="AX179" s="3">
        <f t="shared" si="40"/>
        <v>100</v>
      </c>
      <c r="AY179" s="3" t="str">
        <f t="shared" si="41"/>
        <v>A</v>
      </c>
      <c r="AZ179" s="3" t="s">
        <v>386</v>
      </c>
      <c r="BA179" s="3"/>
    </row>
    <row r="180" spans="1:53" ht="27.6">
      <c r="A180" t="s">
        <v>479</v>
      </c>
      <c r="B180" t="s">
        <v>231</v>
      </c>
      <c r="C180" s="14">
        <v>438969</v>
      </c>
      <c r="D180" s="15">
        <f t="shared" si="28"/>
        <v>438.96899999999999</v>
      </c>
      <c r="E180" t="s">
        <v>232</v>
      </c>
      <c r="G180" t="s">
        <v>234</v>
      </c>
      <c r="H180" t="s">
        <v>235</v>
      </c>
      <c r="I180" s="3"/>
      <c r="J180" s="3"/>
      <c r="L180" t="s">
        <v>385</v>
      </c>
      <c r="M180">
        <f t="shared" si="29"/>
        <v>0</v>
      </c>
      <c r="N180">
        <v>0</v>
      </c>
      <c r="O180" s="16">
        <v>27.3</v>
      </c>
      <c r="P180" s="16">
        <f>IF(AND(ISNUMBER(O180),O180&lt;&gt;-1,O180&gt;='02_Parameters'!$B$18,O180&lt;='02_Parameters'!$B$19),O180,"")</f>
        <v>27.3</v>
      </c>
      <c r="Q180" s="16">
        <v>27.3</v>
      </c>
      <c r="R180" t="str">
        <f>IF(B180&lt;&gt;"Sensor Snapshot","",IF(O180="","Missing",IF(O180=-1,"Sensor failure sentinel (-1)",IF(OR(O180&lt;'02_Parameters'!$B$18,O180&gt;'02_Parameters'!$B$19),"Out of accepted range","Valid"))))</f>
        <v>Valid</v>
      </c>
      <c r="S180" s="16">
        <v>80</v>
      </c>
      <c r="T180" s="16">
        <f>IF(AND(ISNUMBER(S180),S180&lt;&gt;-1,S180&gt;='02_Parameters'!$B$20,S180&lt;='02_Parameters'!$B$21),S180,"")</f>
        <v>80</v>
      </c>
      <c r="U180" s="16">
        <v>80</v>
      </c>
      <c r="V180" t="str">
        <f>IF(B180&lt;&gt;"Sensor Snapshot","",IF(S180="","Missing",IF(S180=-1,"Sensor failure sentinel (-1)",IF(OR(S180&lt;'02_Parameters'!$B$20,S180&gt;'02_Parameters'!$B$21),"Out of accepted range","Valid"))))</f>
        <v>Valid</v>
      </c>
      <c r="W180" s="16">
        <v>0</v>
      </c>
      <c r="X180" s="16">
        <f t="shared" si="30"/>
        <v>0</v>
      </c>
      <c r="Y180" t="str">
        <f t="shared" si="31"/>
        <v>Valid</v>
      </c>
      <c r="Z180" s="16"/>
      <c r="AA180">
        <v>0</v>
      </c>
      <c r="AB180">
        <f>IF(B180&lt;&gt;"Sensor Snapshot","",IF(ISNUMBER(AA180),--(AA180&lt;&gt;0),IF(ISNUMBER(Z180),--(Z180&lt;'02_Parameters'!$B$15),"")))</f>
        <v>0</v>
      </c>
      <c r="AC180">
        <f>IF(B180&lt;&gt;"Sensor Snapshot","",IF(ISNUMBER(X180),--(X180&gt;='02_Parameters'!$B$16),""))</f>
        <v>0</v>
      </c>
      <c r="AD180">
        <v>0</v>
      </c>
      <c r="AE180">
        <f t="shared" si="32"/>
        <v>0</v>
      </c>
      <c r="AF180" s="3" t="str">
        <f t="shared" si="33"/>
        <v>No detection</v>
      </c>
      <c r="AG180" s="16">
        <v>0</v>
      </c>
      <c r="AH180" s="16">
        <f>IF(B180&lt;&gt;"Sensor Snapshot","",IF(ISNUMBER(AG180),IF(AG180&lt;0,"",IF(AG180&gt;10,AG180/'02_Parameters'!$B$17,AG180)),""))</f>
        <v>0</v>
      </c>
      <c r="AI180" t="str">
        <f t="shared" si="34"/>
        <v>Valid</v>
      </c>
      <c r="AJ180">
        <f t="shared" si="35"/>
        <v>0</v>
      </c>
      <c r="AK180">
        <f t="shared" si="36"/>
        <v>0</v>
      </c>
      <c r="AM180">
        <f t="shared" si="37"/>
        <v>0</v>
      </c>
      <c r="AN180">
        <f>IF(B180&lt;&gt;"Sensor Snapshot","",--(N180&gt;='02_Parameters'!$B$13))</f>
        <v>0</v>
      </c>
      <c r="AO180">
        <f>IF(B180&lt;&gt;"Sensor Snapshot","",--(AND(L180="PUMPING",ISNUMBER(AH180),AH180&lt;='02_Parameters'!$B$10)))</f>
        <v>0</v>
      </c>
      <c r="AP180" s="16"/>
      <c r="AQ180" s="16" t="str">
        <f t="shared" si="38"/>
        <v/>
      </c>
      <c r="AR180" s="16" t="str">
        <f t="shared" si="39"/>
        <v/>
      </c>
      <c r="AU180" t="s">
        <v>236</v>
      </c>
      <c r="AV180" t="s">
        <v>237</v>
      </c>
      <c r="AW180" s="3" t="s">
        <v>257</v>
      </c>
      <c r="AX180" s="3">
        <f t="shared" si="40"/>
        <v>100</v>
      </c>
      <c r="AY180" s="3" t="str">
        <f t="shared" si="41"/>
        <v>A</v>
      </c>
      <c r="AZ180" s="3" t="s">
        <v>386</v>
      </c>
      <c r="BA180" s="3"/>
    </row>
    <row r="181" spans="1:53" ht="27.6">
      <c r="A181" t="s">
        <v>480</v>
      </c>
      <c r="B181" t="s">
        <v>231</v>
      </c>
      <c r="C181" s="14">
        <v>443988</v>
      </c>
      <c r="D181" s="15">
        <f t="shared" si="28"/>
        <v>443.988</v>
      </c>
      <c r="E181" t="s">
        <v>232</v>
      </c>
      <c r="G181" t="s">
        <v>234</v>
      </c>
      <c r="H181" t="s">
        <v>235</v>
      </c>
      <c r="I181" s="3"/>
      <c r="J181" s="3"/>
      <c r="L181" t="s">
        <v>385</v>
      </c>
      <c r="M181">
        <f t="shared" si="29"/>
        <v>0</v>
      </c>
      <c r="N181">
        <v>0</v>
      </c>
      <c r="O181" s="16">
        <v>27.3</v>
      </c>
      <c r="P181" s="16">
        <f>IF(AND(ISNUMBER(O181),O181&lt;&gt;-1,O181&gt;='02_Parameters'!$B$18,O181&lt;='02_Parameters'!$B$19),O181,"")</f>
        <v>27.3</v>
      </c>
      <c r="Q181" s="16">
        <v>27.3</v>
      </c>
      <c r="R181" t="str">
        <f>IF(B181&lt;&gt;"Sensor Snapshot","",IF(O181="","Missing",IF(O181=-1,"Sensor failure sentinel (-1)",IF(OR(O181&lt;'02_Parameters'!$B$18,O181&gt;'02_Parameters'!$B$19),"Out of accepted range","Valid"))))</f>
        <v>Valid</v>
      </c>
      <c r="S181" s="16">
        <v>80</v>
      </c>
      <c r="T181" s="16">
        <f>IF(AND(ISNUMBER(S181),S181&lt;&gt;-1,S181&gt;='02_Parameters'!$B$20,S181&lt;='02_Parameters'!$B$21),S181,"")</f>
        <v>80</v>
      </c>
      <c r="U181" s="16">
        <v>80</v>
      </c>
      <c r="V181" t="str">
        <f>IF(B181&lt;&gt;"Sensor Snapshot","",IF(S181="","Missing",IF(S181=-1,"Sensor failure sentinel (-1)",IF(OR(S181&lt;'02_Parameters'!$B$20,S181&gt;'02_Parameters'!$B$21),"Out of accepted range","Valid"))))</f>
        <v>Valid</v>
      </c>
      <c r="W181" s="16">
        <v>-0.8</v>
      </c>
      <c r="X181" s="16">
        <f t="shared" si="30"/>
        <v>0.8</v>
      </c>
      <c r="Y181" t="str">
        <f t="shared" si="31"/>
        <v>Sign corrected to positive</v>
      </c>
      <c r="Z181" s="16"/>
      <c r="AA181">
        <v>1</v>
      </c>
      <c r="AB181">
        <f>IF(B181&lt;&gt;"Sensor Snapshot","",IF(ISNUMBER(AA181),--(AA181&lt;&gt;0),IF(ISNUMBER(Z181),--(Z181&lt;'02_Parameters'!$B$15),"")))</f>
        <v>1</v>
      </c>
      <c r="AC181">
        <f>IF(B181&lt;&gt;"Sensor Snapshot","",IF(ISNUMBER(X181),--(X181&gt;='02_Parameters'!$B$16),""))</f>
        <v>0</v>
      </c>
      <c r="AD181">
        <v>0</v>
      </c>
      <c r="AE181">
        <f t="shared" si="32"/>
        <v>0</v>
      </c>
      <c r="AF181" s="3" t="str">
        <f t="shared" si="33"/>
        <v>Partial detection only</v>
      </c>
      <c r="AG181" s="16">
        <v>0</v>
      </c>
      <c r="AH181" s="16">
        <f>IF(B181&lt;&gt;"Sensor Snapshot","",IF(ISNUMBER(AG181),IF(AG181&lt;0,"",IF(AG181&gt;10,AG181/'02_Parameters'!$B$17,AG181)),""))</f>
        <v>0</v>
      </c>
      <c r="AI181" t="str">
        <f t="shared" si="34"/>
        <v>Valid</v>
      </c>
      <c r="AJ181">
        <f t="shared" si="35"/>
        <v>0</v>
      </c>
      <c r="AK181">
        <f t="shared" si="36"/>
        <v>0</v>
      </c>
      <c r="AM181">
        <f t="shared" si="37"/>
        <v>0</v>
      </c>
      <c r="AN181">
        <f>IF(B181&lt;&gt;"Sensor Snapshot","",--(N181&gt;='02_Parameters'!$B$13))</f>
        <v>0</v>
      </c>
      <c r="AO181">
        <f>IF(B181&lt;&gt;"Sensor Snapshot","",--(AND(L181="PUMPING",ISNUMBER(AH181),AH181&lt;='02_Parameters'!$B$10)))</f>
        <v>0</v>
      </c>
      <c r="AP181" s="16"/>
      <c r="AQ181" s="16" t="str">
        <f t="shared" si="38"/>
        <v/>
      </c>
      <c r="AR181" s="16" t="str">
        <f t="shared" si="39"/>
        <v/>
      </c>
      <c r="AU181" t="s">
        <v>236</v>
      </c>
      <c r="AV181" t="s">
        <v>237</v>
      </c>
      <c r="AW181" s="3" t="s">
        <v>238</v>
      </c>
      <c r="AX181" s="3">
        <f t="shared" si="40"/>
        <v>100</v>
      </c>
      <c r="AY181" s="3" t="str">
        <f t="shared" si="41"/>
        <v>A</v>
      </c>
      <c r="AZ181" s="3" t="s">
        <v>386</v>
      </c>
      <c r="BA181" s="3"/>
    </row>
    <row r="182" spans="1:53" ht="27.6">
      <c r="A182" t="s">
        <v>481</v>
      </c>
      <c r="B182" t="s">
        <v>231</v>
      </c>
      <c r="C182" s="14">
        <v>449007</v>
      </c>
      <c r="D182" s="15">
        <f t="shared" si="28"/>
        <v>449.00700000000001</v>
      </c>
      <c r="E182" t="s">
        <v>232</v>
      </c>
      <c r="G182" t="s">
        <v>234</v>
      </c>
      <c r="H182" t="s">
        <v>235</v>
      </c>
      <c r="I182" s="3"/>
      <c r="J182" s="3"/>
      <c r="L182" t="s">
        <v>385</v>
      </c>
      <c r="M182">
        <f t="shared" si="29"/>
        <v>0</v>
      </c>
      <c r="N182">
        <v>0</v>
      </c>
      <c r="O182" s="16">
        <v>27.3</v>
      </c>
      <c r="P182" s="16">
        <f>IF(AND(ISNUMBER(O182),O182&lt;&gt;-1,O182&gt;='02_Parameters'!$B$18,O182&lt;='02_Parameters'!$B$19),O182,"")</f>
        <v>27.3</v>
      </c>
      <c r="Q182" s="16">
        <v>27.3</v>
      </c>
      <c r="R182" t="str">
        <f>IF(B182&lt;&gt;"Sensor Snapshot","",IF(O182="","Missing",IF(O182=-1,"Sensor failure sentinel (-1)",IF(OR(O182&lt;'02_Parameters'!$B$18,O182&gt;'02_Parameters'!$B$19),"Out of accepted range","Valid"))))</f>
        <v>Valid</v>
      </c>
      <c r="S182" s="16">
        <v>80.099999999999994</v>
      </c>
      <c r="T182" s="16">
        <f>IF(AND(ISNUMBER(S182),S182&lt;&gt;-1,S182&gt;='02_Parameters'!$B$20,S182&lt;='02_Parameters'!$B$21),S182,"")</f>
        <v>80.099999999999994</v>
      </c>
      <c r="U182" s="16">
        <v>80.099999999999994</v>
      </c>
      <c r="V182" t="str">
        <f>IF(B182&lt;&gt;"Sensor Snapshot","",IF(S182="","Missing",IF(S182=-1,"Sensor failure sentinel (-1)",IF(OR(S182&lt;'02_Parameters'!$B$20,S182&gt;'02_Parameters'!$B$21),"Out of accepted range","Valid"))))</f>
        <v>Valid</v>
      </c>
      <c r="W182" s="16">
        <v>-1.1000000000000001</v>
      </c>
      <c r="X182" s="16">
        <f t="shared" si="30"/>
        <v>1.1000000000000001</v>
      </c>
      <c r="Y182" t="str">
        <f t="shared" si="31"/>
        <v>Sign corrected to positive</v>
      </c>
      <c r="Z182" s="16"/>
      <c r="AA182">
        <v>1</v>
      </c>
      <c r="AB182">
        <f>IF(B182&lt;&gt;"Sensor Snapshot","",IF(ISNUMBER(AA182),--(AA182&lt;&gt;0),IF(ISNUMBER(Z182),--(Z182&lt;'02_Parameters'!$B$15),"")))</f>
        <v>1</v>
      </c>
      <c r="AC182">
        <f>IF(B182&lt;&gt;"Sensor Snapshot","",IF(ISNUMBER(X182),--(X182&gt;='02_Parameters'!$B$16),""))</f>
        <v>0</v>
      </c>
      <c r="AD182">
        <v>0</v>
      </c>
      <c r="AE182">
        <f t="shared" si="32"/>
        <v>0</v>
      </c>
      <c r="AF182" s="3" t="str">
        <f t="shared" si="33"/>
        <v>Partial detection only</v>
      </c>
      <c r="AG182" s="16">
        <v>0</v>
      </c>
      <c r="AH182" s="16">
        <f>IF(B182&lt;&gt;"Sensor Snapshot","",IF(ISNUMBER(AG182),IF(AG182&lt;0,"",IF(AG182&gt;10,AG182/'02_Parameters'!$B$17,AG182)),""))</f>
        <v>0</v>
      </c>
      <c r="AI182" t="str">
        <f t="shared" si="34"/>
        <v>Valid</v>
      </c>
      <c r="AJ182">
        <f t="shared" si="35"/>
        <v>0</v>
      </c>
      <c r="AK182">
        <f t="shared" si="36"/>
        <v>0</v>
      </c>
      <c r="AM182">
        <f t="shared" si="37"/>
        <v>0</v>
      </c>
      <c r="AN182">
        <f>IF(B182&lt;&gt;"Sensor Snapshot","",--(N182&gt;='02_Parameters'!$B$13))</f>
        <v>0</v>
      </c>
      <c r="AO182">
        <f>IF(B182&lt;&gt;"Sensor Snapshot","",--(AND(L182="PUMPING",ISNUMBER(AH182),AH182&lt;='02_Parameters'!$B$10)))</f>
        <v>0</v>
      </c>
      <c r="AP182" s="16"/>
      <c r="AQ182" s="16" t="str">
        <f t="shared" si="38"/>
        <v/>
      </c>
      <c r="AR182" s="16" t="str">
        <f t="shared" si="39"/>
        <v/>
      </c>
      <c r="AU182" t="s">
        <v>236</v>
      </c>
      <c r="AV182" t="s">
        <v>237</v>
      </c>
      <c r="AW182" s="3" t="s">
        <v>238</v>
      </c>
      <c r="AX182" s="3">
        <f t="shared" si="40"/>
        <v>100</v>
      </c>
      <c r="AY182" s="3" t="str">
        <f t="shared" si="41"/>
        <v>A</v>
      </c>
      <c r="AZ182" s="3" t="s">
        <v>386</v>
      </c>
      <c r="BA182" s="3"/>
    </row>
    <row r="183" spans="1:53" ht="27.6">
      <c r="A183" t="s">
        <v>482</v>
      </c>
      <c r="B183" t="s">
        <v>231</v>
      </c>
      <c r="C183" s="14">
        <v>454025</v>
      </c>
      <c r="D183" s="15">
        <f t="shared" si="28"/>
        <v>454.02499999999998</v>
      </c>
      <c r="E183" t="s">
        <v>232</v>
      </c>
      <c r="G183" t="s">
        <v>234</v>
      </c>
      <c r="H183" t="s">
        <v>235</v>
      </c>
      <c r="I183" s="3"/>
      <c r="J183" s="3"/>
      <c r="L183" t="s">
        <v>385</v>
      </c>
      <c r="M183">
        <f t="shared" si="29"/>
        <v>0</v>
      </c>
      <c r="N183">
        <v>0</v>
      </c>
      <c r="O183" s="16">
        <v>27.3</v>
      </c>
      <c r="P183" s="16">
        <f>IF(AND(ISNUMBER(O183),O183&lt;&gt;-1,O183&gt;='02_Parameters'!$B$18,O183&lt;='02_Parameters'!$B$19),O183,"")</f>
        <v>27.3</v>
      </c>
      <c r="Q183" s="16">
        <v>27.3</v>
      </c>
      <c r="R183" t="str">
        <f>IF(B183&lt;&gt;"Sensor Snapshot","",IF(O183="","Missing",IF(O183=-1,"Sensor failure sentinel (-1)",IF(OR(O183&lt;'02_Parameters'!$B$18,O183&gt;'02_Parameters'!$B$19),"Out of accepted range","Valid"))))</f>
        <v>Valid</v>
      </c>
      <c r="S183" s="16">
        <v>80.099999999999994</v>
      </c>
      <c r="T183" s="16">
        <f>IF(AND(ISNUMBER(S183),S183&lt;&gt;-1,S183&gt;='02_Parameters'!$B$20,S183&lt;='02_Parameters'!$B$21),S183,"")</f>
        <v>80.099999999999994</v>
      </c>
      <c r="U183" s="16">
        <v>80.099999999999994</v>
      </c>
      <c r="V183" t="str">
        <f>IF(B183&lt;&gt;"Sensor Snapshot","",IF(S183="","Missing",IF(S183=-1,"Sensor failure sentinel (-1)",IF(OR(S183&lt;'02_Parameters'!$B$20,S183&gt;'02_Parameters'!$B$21),"Out of accepted range","Valid"))))</f>
        <v>Valid</v>
      </c>
      <c r="W183" s="16">
        <v>-1.2</v>
      </c>
      <c r="X183" s="16">
        <f t="shared" si="30"/>
        <v>1.2</v>
      </c>
      <c r="Y183" t="str">
        <f t="shared" si="31"/>
        <v>Sign corrected to positive</v>
      </c>
      <c r="Z183" s="16"/>
      <c r="AA183">
        <v>1</v>
      </c>
      <c r="AB183">
        <f>IF(B183&lt;&gt;"Sensor Snapshot","",IF(ISNUMBER(AA183),--(AA183&lt;&gt;0),IF(ISNUMBER(Z183),--(Z183&lt;'02_Parameters'!$B$15),"")))</f>
        <v>1</v>
      </c>
      <c r="AC183">
        <f>IF(B183&lt;&gt;"Sensor Snapshot","",IF(ISNUMBER(X183),--(X183&gt;='02_Parameters'!$B$16),""))</f>
        <v>0</v>
      </c>
      <c r="AD183">
        <v>1</v>
      </c>
      <c r="AE183">
        <f t="shared" si="32"/>
        <v>1</v>
      </c>
      <c r="AF183" s="3" t="str">
        <f t="shared" si="33"/>
        <v>Logged dual-sensor event</v>
      </c>
      <c r="AG183" s="16">
        <v>0</v>
      </c>
      <c r="AH183" s="16">
        <f>IF(B183&lt;&gt;"Sensor Snapshot","",IF(ISNUMBER(AG183),IF(AG183&lt;0,"",IF(AG183&gt;10,AG183/'02_Parameters'!$B$17,AG183)),""))</f>
        <v>0</v>
      </c>
      <c r="AI183" t="str">
        <f t="shared" si="34"/>
        <v>Valid</v>
      </c>
      <c r="AJ183">
        <f t="shared" si="35"/>
        <v>0</v>
      </c>
      <c r="AK183">
        <f t="shared" si="36"/>
        <v>0</v>
      </c>
      <c r="AM183">
        <f t="shared" si="37"/>
        <v>0</v>
      </c>
      <c r="AN183">
        <f>IF(B183&lt;&gt;"Sensor Snapshot","",--(N183&gt;='02_Parameters'!$B$13))</f>
        <v>0</v>
      </c>
      <c r="AO183">
        <f>IF(B183&lt;&gt;"Sensor Snapshot","",--(AND(L183="PUMPING",ISNUMBER(AH183),AH183&lt;='02_Parameters'!$B$10)))</f>
        <v>0</v>
      </c>
      <c r="AP183" s="16"/>
      <c r="AQ183" s="16" t="str">
        <f t="shared" si="38"/>
        <v/>
      </c>
      <c r="AR183" s="16" t="str">
        <f t="shared" si="39"/>
        <v/>
      </c>
      <c r="AU183" t="s">
        <v>236</v>
      </c>
      <c r="AV183" t="s">
        <v>237</v>
      </c>
      <c r="AW183" s="3" t="s">
        <v>238</v>
      </c>
      <c r="AX183" s="3">
        <f t="shared" si="40"/>
        <v>100</v>
      </c>
      <c r="AY183" s="3" t="str">
        <f t="shared" si="41"/>
        <v>A</v>
      </c>
      <c r="AZ183" s="3" t="s">
        <v>386</v>
      </c>
      <c r="BA183" s="3" t="s">
        <v>433</v>
      </c>
    </row>
    <row r="184" spans="1:53" ht="27.6">
      <c r="A184" t="s">
        <v>483</v>
      </c>
      <c r="B184" t="s">
        <v>242</v>
      </c>
      <c r="C184" s="14">
        <v>454025</v>
      </c>
      <c r="D184" s="15">
        <f t="shared" si="28"/>
        <v>454.02499999999998</v>
      </c>
      <c r="E184" t="s">
        <v>232</v>
      </c>
      <c r="G184" t="s">
        <v>91</v>
      </c>
      <c r="H184" t="s">
        <v>374</v>
      </c>
      <c r="I184" s="3" t="s">
        <v>435</v>
      </c>
      <c r="J184" s="3" t="s">
        <v>436</v>
      </c>
      <c r="L184" t="s">
        <v>385</v>
      </c>
      <c r="M184">
        <f t="shared" si="29"/>
        <v>0</v>
      </c>
      <c r="O184" s="16"/>
      <c r="P184" s="16" t="str">
        <f>IF(AND(ISNUMBER(O184),O184&lt;&gt;-1,O184&gt;='02_Parameters'!$B$18,O184&lt;='02_Parameters'!$B$19),O184,"")</f>
        <v/>
      </c>
      <c r="Q184" s="16"/>
      <c r="R184" t="str">
        <f>IF(B184&lt;&gt;"Sensor Snapshot","",IF(O184="","Missing",IF(O184=-1,"Sensor failure sentinel (-1)",IF(OR(O184&lt;'02_Parameters'!$B$18,O184&gt;'02_Parameters'!$B$19),"Out of accepted range","Valid"))))</f>
        <v/>
      </c>
      <c r="S184" s="16"/>
      <c r="T184" s="16" t="str">
        <f>IF(AND(ISNUMBER(S184),S184&lt;&gt;-1,S184&gt;='02_Parameters'!$B$20,S184&lt;='02_Parameters'!$B$21),S184,"")</f>
        <v/>
      </c>
      <c r="U184" s="16"/>
      <c r="V184" t="str">
        <f>IF(B184&lt;&gt;"Sensor Snapshot","",IF(S184="","Missing",IF(S184=-1,"Sensor failure sentinel (-1)",IF(OR(S184&lt;'02_Parameters'!$B$20,S184&gt;'02_Parameters'!$B$21),"Out of accepted range","Valid"))))</f>
        <v/>
      </c>
      <c r="W184" s="16"/>
      <c r="X184" s="16" t="str">
        <f t="shared" si="30"/>
        <v/>
      </c>
      <c r="Y184" t="str">
        <f t="shared" si="31"/>
        <v/>
      </c>
      <c r="Z184" s="16"/>
      <c r="AB184" t="str">
        <f>IF(B184&lt;&gt;"Sensor Snapshot","",IF(ISNUMBER(AA184),--(AA184&lt;&gt;0),IF(ISNUMBER(Z184),--(Z184&lt;'02_Parameters'!$B$15),"")))</f>
        <v/>
      </c>
      <c r="AC184" t="str">
        <f>IF(B184&lt;&gt;"Sensor Snapshot","",IF(ISNUMBER(X184),--(X184&gt;='02_Parameters'!$B$16),""))</f>
        <v/>
      </c>
      <c r="AD184">
        <v>1</v>
      </c>
      <c r="AE184" t="str">
        <f t="shared" si="32"/>
        <v/>
      </c>
      <c r="AF184" s="3" t="str">
        <f t="shared" si="33"/>
        <v/>
      </c>
      <c r="AG184" s="16"/>
      <c r="AH184" s="16" t="str">
        <f>IF(B184&lt;&gt;"Sensor Snapshot","",IF(ISNUMBER(AG184),IF(AG184&lt;0,"",IF(AG184&gt;10,AG184/'02_Parameters'!$B$17,AG184)),""))</f>
        <v/>
      </c>
      <c r="AI184" t="str">
        <f t="shared" si="34"/>
        <v/>
      </c>
      <c r="AJ184" t="str">
        <f t="shared" si="35"/>
        <v/>
      </c>
      <c r="AK184" t="str">
        <f t="shared" si="36"/>
        <v/>
      </c>
      <c r="AM184" t="str">
        <f t="shared" si="37"/>
        <v/>
      </c>
      <c r="AN184" t="str">
        <f>IF(B184&lt;&gt;"Sensor Snapshot","",--(N184&gt;='02_Parameters'!$B$13))</f>
        <v/>
      </c>
      <c r="AO184" t="str">
        <f>IF(B184&lt;&gt;"Sensor Snapshot","",--(AND(L184="PUMPING",ISNUMBER(AH184),AH184&lt;='02_Parameters'!$B$10)))</f>
        <v/>
      </c>
      <c r="AP184" s="16"/>
      <c r="AQ184" s="16" t="str">
        <f t="shared" si="38"/>
        <v/>
      </c>
      <c r="AR184" s="16" t="str">
        <f t="shared" si="39"/>
        <v/>
      </c>
      <c r="AW184" s="3" t="s">
        <v>377</v>
      </c>
      <c r="AX184" s="3" t="str">
        <f t="shared" si="40"/>
        <v/>
      </c>
      <c r="AY184" s="3" t="str">
        <f t="shared" si="41"/>
        <v/>
      </c>
      <c r="AZ184" s="3" t="s">
        <v>437</v>
      </c>
      <c r="BA184" s="3"/>
    </row>
    <row r="185" spans="1:53" ht="27.6">
      <c r="A185" t="s">
        <v>484</v>
      </c>
      <c r="B185" t="s">
        <v>242</v>
      </c>
      <c r="C185" s="14">
        <v>454025</v>
      </c>
      <c r="D185" s="15">
        <f t="shared" si="28"/>
        <v>454.02499999999998</v>
      </c>
      <c r="E185" t="s">
        <v>232</v>
      </c>
      <c r="G185" t="s">
        <v>91</v>
      </c>
      <c r="H185" t="s">
        <v>374</v>
      </c>
      <c r="I185" s="3" t="s">
        <v>439</v>
      </c>
      <c r="J185" s="3" t="s">
        <v>440</v>
      </c>
      <c r="L185" t="s">
        <v>385</v>
      </c>
      <c r="M185">
        <f t="shared" si="29"/>
        <v>0</v>
      </c>
      <c r="O185" s="16"/>
      <c r="P185" s="16" t="str">
        <f>IF(AND(ISNUMBER(O185),O185&lt;&gt;-1,O185&gt;='02_Parameters'!$B$18,O185&lt;='02_Parameters'!$B$19),O185,"")</f>
        <v/>
      </c>
      <c r="Q185" s="16"/>
      <c r="R185" t="str">
        <f>IF(B185&lt;&gt;"Sensor Snapshot","",IF(O185="","Missing",IF(O185=-1,"Sensor failure sentinel (-1)",IF(OR(O185&lt;'02_Parameters'!$B$18,O185&gt;'02_Parameters'!$B$19),"Out of accepted range","Valid"))))</f>
        <v/>
      </c>
      <c r="S185" s="16"/>
      <c r="T185" s="16" t="str">
        <f>IF(AND(ISNUMBER(S185),S185&lt;&gt;-1,S185&gt;='02_Parameters'!$B$20,S185&lt;='02_Parameters'!$B$21),S185,"")</f>
        <v/>
      </c>
      <c r="U185" s="16"/>
      <c r="V185" t="str">
        <f>IF(B185&lt;&gt;"Sensor Snapshot","",IF(S185="","Missing",IF(S185=-1,"Sensor failure sentinel (-1)",IF(OR(S185&lt;'02_Parameters'!$B$20,S185&gt;'02_Parameters'!$B$21),"Out of accepted range","Valid"))))</f>
        <v/>
      </c>
      <c r="W185" s="16"/>
      <c r="X185" s="16" t="str">
        <f t="shared" si="30"/>
        <v/>
      </c>
      <c r="Y185" t="str">
        <f t="shared" si="31"/>
        <v/>
      </c>
      <c r="Z185" s="16"/>
      <c r="AB185" t="str">
        <f>IF(B185&lt;&gt;"Sensor Snapshot","",IF(ISNUMBER(AA185),--(AA185&lt;&gt;0),IF(ISNUMBER(Z185),--(Z185&lt;'02_Parameters'!$B$15),"")))</f>
        <v/>
      </c>
      <c r="AC185" t="str">
        <f>IF(B185&lt;&gt;"Sensor Snapshot","",IF(ISNUMBER(X185),--(X185&gt;='02_Parameters'!$B$16),""))</f>
        <v/>
      </c>
      <c r="AD185">
        <v>0</v>
      </c>
      <c r="AE185" t="str">
        <f t="shared" si="32"/>
        <v/>
      </c>
      <c r="AF185" s="3" t="str">
        <f t="shared" si="33"/>
        <v/>
      </c>
      <c r="AG185" s="16"/>
      <c r="AH185" s="16" t="str">
        <f>IF(B185&lt;&gt;"Sensor Snapshot","",IF(ISNUMBER(AG185),IF(AG185&lt;0,"",IF(AG185&gt;10,AG185/'02_Parameters'!$B$17,AG185)),""))</f>
        <v/>
      </c>
      <c r="AI185" t="str">
        <f t="shared" si="34"/>
        <v/>
      </c>
      <c r="AJ185" t="str">
        <f t="shared" si="35"/>
        <v/>
      </c>
      <c r="AK185" t="str">
        <f t="shared" si="36"/>
        <v/>
      </c>
      <c r="AM185" t="str">
        <f t="shared" si="37"/>
        <v/>
      </c>
      <c r="AN185" t="str">
        <f>IF(B185&lt;&gt;"Sensor Snapshot","",--(N185&gt;='02_Parameters'!$B$13))</f>
        <v/>
      </c>
      <c r="AO185" t="str">
        <f>IF(B185&lt;&gt;"Sensor Snapshot","",--(AND(L185="PUMPING",ISNUMBER(AH185),AH185&lt;='02_Parameters'!$B$10)))</f>
        <v/>
      </c>
      <c r="AP185" s="16"/>
      <c r="AQ185" s="16" t="str">
        <f t="shared" si="38"/>
        <v/>
      </c>
      <c r="AR185" s="16" t="str">
        <f t="shared" si="39"/>
        <v/>
      </c>
      <c r="AW185" s="3" t="s">
        <v>377</v>
      </c>
      <c r="AX185" s="3" t="str">
        <f t="shared" si="40"/>
        <v/>
      </c>
      <c r="AY185" s="3" t="str">
        <f t="shared" si="41"/>
        <v/>
      </c>
      <c r="AZ185" s="3" t="s">
        <v>247</v>
      </c>
      <c r="BA185" s="3"/>
    </row>
    <row r="186" spans="1:53" ht="27.6">
      <c r="A186" t="s">
        <v>485</v>
      </c>
      <c r="B186" t="s">
        <v>231</v>
      </c>
      <c r="C186" s="14">
        <v>466339</v>
      </c>
      <c r="D186" s="15">
        <f t="shared" si="28"/>
        <v>466.339</v>
      </c>
      <c r="E186" t="s">
        <v>232</v>
      </c>
      <c r="G186" t="s">
        <v>234</v>
      </c>
      <c r="H186" t="s">
        <v>235</v>
      </c>
      <c r="I186" s="3"/>
      <c r="J186" s="3"/>
      <c r="L186" t="s">
        <v>385</v>
      </c>
      <c r="M186">
        <f t="shared" si="29"/>
        <v>0</v>
      </c>
      <c r="N186">
        <v>1</v>
      </c>
      <c r="O186" s="16">
        <v>27.3</v>
      </c>
      <c r="P186" s="16">
        <f>IF(AND(ISNUMBER(O186),O186&lt;&gt;-1,O186&gt;='02_Parameters'!$B$18,O186&lt;='02_Parameters'!$B$19),O186,"")</f>
        <v>27.3</v>
      </c>
      <c r="Q186" s="16">
        <v>27.3</v>
      </c>
      <c r="R186" t="str">
        <f>IF(B186&lt;&gt;"Sensor Snapshot","",IF(O186="","Missing",IF(O186=-1,"Sensor failure sentinel (-1)",IF(OR(O186&lt;'02_Parameters'!$B$18,O186&gt;'02_Parameters'!$B$19),"Out of accepted range","Valid"))))</f>
        <v>Valid</v>
      </c>
      <c r="S186" s="16">
        <v>80.3</v>
      </c>
      <c r="T186" s="16">
        <f>IF(AND(ISNUMBER(S186),S186&lt;&gt;-1,S186&gt;='02_Parameters'!$B$20,S186&lt;='02_Parameters'!$B$21),S186,"")</f>
        <v>80.3</v>
      </c>
      <c r="U186" s="16">
        <v>80.3</v>
      </c>
      <c r="V186" t="str">
        <f>IF(B186&lt;&gt;"Sensor Snapshot","",IF(S186="","Missing",IF(S186=-1,"Sensor failure sentinel (-1)",IF(OR(S186&lt;'02_Parameters'!$B$20,S186&gt;'02_Parameters'!$B$21),"Out of accepted range","Valid"))))</f>
        <v>Valid</v>
      </c>
      <c r="W186" s="16">
        <v>31.1</v>
      </c>
      <c r="X186" s="16">
        <f t="shared" si="30"/>
        <v>31.1</v>
      </c>
      <c r="Y186" t="str">
        <f t="shared" si="31"/>
        <v>Valid</v>
      </c>
      <c r="Z186" s="16"/>
      <c r="AA186">
        <v>1</v>
      </c>
      <c r="AB186">
        <f>IF(B186&lt;&gt;"Sensor Snapshot","",IF(ISNUMBER(AA186),--(AA186&lt;&gt;0),IF(ISNUMBER(Z186),--(Z186&lt;'02_Parameters'!$B$15),"")))</f>
        <v>1</v>
      </c>
      <c r="AC186">
        <f>IF(B186&lt;&gt;"Sensor Snapshot","",IF(ISNUMBER(X186),--(X186&gt;='02_Parameters'!$B$16),""))</f>
        <v>1</v>
      </c>
      <c r="AD186">
        <v>0</v>
      </c>
      <c r="AE186">
        <f t="shared" si="32"/>
        <v>1</v>
      </c>
      <c r="AF186" s="3" t="str">
        <f t="shared" si="33"/>
        <v>Derived: optical AND weight</v>
      </c>
      <c r="AG186" s="16">
        <v>0</v>
      </c>
      <c r="AH186" s="16">
        <f>IF(B186&lt;&gt;"Sensor Snapshot","",IF(ISNUMBER(AG186),IF(AG186&lt;0,"",IF(AG186&gt;10,AG186/'02_Parameters'!$B$17,AG186)),""))</f>
        <v>0</v>
      </c>
      <c r="AI186" t="str">
        <f t="shared" si="34"/>
        <v>Valid</v>
      </c>
      <c r="AJ186">
        <f t="shared" si="35"/>
        <v>0</v>
      </c>
      <c r="AK186">
        <f t="shared" si="36"/>
        <v>0</v>
      </c>
      <c r="AM186">
        <f t="shared" si="37"/>
        <v>0</v>
      </c>
      <c r="AN186">
        <f>IF(B186&lt;&gt;"Sensor Snapshot","",--(N186&gt;='02_Parameters'!$B$13))</f>
        <v>0</v>
      </c>
      <c r="AO186">
        <f>IF(B186&lt;&gt;"Sensor Snapshot","",--(AND(L186="PUMPING",ISNUMBER(AH186),AH186&lt;='02_Parameters'!$B$10)))</f>
        <v>0</v>
      </c>
      <c r="AP186" s="16"/>
      <c r="AQ186" s="16" t="str">
        <f t="shared" si="38"/>
        <v/>
      </c>
      <c r="AR186" s="16" t="str">
        <f t="shared" si="39"/>
        <v/>
      </c>
      <c r="AU186" t="s">
        <v>236</v>
      </c>
      <c r="AV186" t="s">
        <v>237</v>
      </c>
      <c r="AW186" s="3" t="s">
        <v>257</v>
      </c>
      <c r="AX186" s="3">
        <f t="shared" si="40"/>
        <v>100</v>
      </c>
      <c r="AY186" s="3" t="str">
        <f t="shared" si="41"/>
        <v>A</v>
      </c>
      <c r="AZ186" s="3" t="s">
        <v>386</v>
      </c>
      <c r="BA186" s="3"/>
    </row>
    <row r="187" spans="1:53" ht="27.6">
      <c r="A187" t="s">
        <v>486</v>
      </c>
      <c r="B187" t="s">
        <v>231</v>
      </c>
      <c r="C187" s="14">
        <v>471500</v>
      </c>
      <c r="D187" s="15">
        <f t="shared" si="28"/>
        <v>471.5</v>
      </c>
      <c r="E187" t="s">
        <v>232</v>
      </c>
      <c r="G187" t="s">
        <v>234</v>
      </c>
      <c r="H187" t="s">
        <v>235</v>
      </c>
      <c r="I187" s="3"/>
      <c r="J187" s="3"/>
      <c r="L187" t="s">
        <v>385</v>
      </c>
      <c r="M187">
        <f t="shared" si="29"/>
        <v>0</v>
      </c>
      <c r="N187">
        <v>1</v>
      </c>
      <c r="O187" s="16">
        <v>27.3</v>
      </c>
      <c r="P187" s="16">
        <f>IF(AND(ISNUMBER(O187),O187&lt;&gt;-1,O187&gt;='02_Parameters'!$B$18,O187&lt;='02_Parameters'!$B$19),O187,"")</f>
        <v>27.3</v>
      </c>
      <c r="Q187" s="16">
        <v>27.3</v>
      </c>
      <c r="R187" t="str">
        <f>IF(B187&lt;&gt;"Sensor Snapshot","",IF(O187="","Missing",IF(O187=-1,"Sensor failure sentinel (-1)",IF(OR(O187&lt;'02_Parameters'!$B$18,O187&gt;'02_Parameters'!$B$19),"Out of accepted range","Valid"))))</f>
        <v>Valid</v>
      </c>
      <c r="S187" s="16">
        <v>80.5</v>
      </c>
      <c r="T187" s="16">
        <f>IF(AND(ISNUMBER(S187),S187&lt;&gt;-1,S187&gt;='02_Parameters'!$B$20,S187&lt;='02_Parameters'!$B$21),S187,"")</f>
        <v>80.5</v>
      </c>
      <c r="U187" s="16">
        <v>80.5</v>
      </c>
      <c r="V187" t="str">
        <f>IF(B187&lt;&gt;"Sensor Snapshot","",IF(S187="","Missing",IF(S187=-1,"Sensor failure sentinel (-1)",IF(OR(S187&lt;'02_Parameters'!$B$20,S187&gt;'02_Parameters'!$B$21),"Out of accepted range","Valid"))))</f>
        <v>Valid</v>
      </c>
      <c r="W187" s="16">
        <v>-9.9</v>
      </c>
      <c r="X187" s="16">
        <f t="shared" si="30"/>
        <v>9.9</v>
      </c>
      <c r="Y187" t="str">
        <f t="shared" si="31"/>
        <v>Sign corrected to positive</v>
      </c>
      <c r="Z187" s="16"/>
      <c r="AA187">
        <v>1</v>
      </c>
      <c r="AB187">
        <f>IF(B187&lt;&gt;"Sensor Snapshot","",IF(ISNUMBER(AA187),--(AA187&lt;&gt;0),IF(ISNUMBER(Z187),--(Z187&lt;'02_Parameters'!$B$15),"")))</f>
        <v>1</v>
      </c>
      <c r="AC187">
        <f>IF(B187&lt;&gt;"Sensor Snapshot","",IF(ISNUMBER(X187),--(X187&gt;='02_Parameters'!$B$16),""))</f>
        <v>0</v>
      </c>
      <c r="AD187">
        <v>0</v>
      </c>
      <c r="AE187">
        <f t="shared" si="32"/>
        <v>0</v>
      </c>
      <c r="AF187" s="3" t="str">
        <f t="shared" si="33"/>
        <v>Partial detection only</v>
      </c>
      <c r="AG187" s="16">
        <v>0</v>
      </c>
      <c r="AH187" s="16">
        <f>IF(B187&lt;&gt;"Sensor Snapshot","",IF(ISNUMBER(AG187),IF(AG187&lt;0,"",IF(AG187&gt;10,AG187/'02_Parameters'!$B$17,AG187)),""))</f>
        <v>0</v>
      </c>
      <c r="AI187" t="str">
        <f t="shared" si="34"/>
        <v>Valid</v>
      </c>
      <c r="AJ187">
        <f t="shared" si="35"/>
        <v>0</v>
      </c>
      <c r="AK187">
        <f t="shared" si="36"/>
        <v>0</v>
      </c>
      <c r="AM187">
        <f t="shared" si="37"/>
        <v>0</v>
      </c>
      <c r="AN187">
        <f>IF(B187&lt;&gt;"Sensor Snapshot","",--(N187&gt;='02_Parameters'!$B$13))</f>
        <v>0</v>
      </c>
      <c r="AO187">
        <f>IF(B187&lt;&gt;"Sensor Snapshot","",--(AND(L187="PUMPING",ISNUMBER(AH187),AH187&lt;='02_Parameters'!$B$10)))</f>
        <v>0</v>
      </c>
      <c r="AP187" s="16"/>
      <c r="AQ187" s="16" t="str">
        <f t="shared" si="38"/>
        <v/>
      </c>
      <c r="AR187" s="16" t="str">
        <f t="shared" si="39"/>
        <v/>
      </c>
      <c r="AU187" t="s">
        <v>236</v>
      </c>
      <c r="AV187" t="s">
        <v>237</v>
      </c>
      <c r="AW187" s="3" t="s">
        <v>238</v>
      </c>
      <c r="AX187" s="3">
        <f t="shared" si="40"/>
        <v>100</v>
      </c>
      <c r="AY187" s="3" t="str">
        <f t="shared" si="41"/>
        <v>A</v>
      </c>
      <c r="AZ187" s="3" t="s">
        <v>386</v>
      </c>
      <c r="BA187" s="3"/>
    </row>
    <row r="188" spans="1:53" ht="27.6">
      <c r="A188" t="s">
        <v>487</v>
      </c>
      <c r="B188" t="s">
        <v>231</v>
      </c>
      <c r="C188" s="14">
        <v>476518</v>
      </c>
      <c r="D188" s="15">
        <f t="shared" si="28"/>
        <v>476.51799999999997</v>
      </c>
      <c r="E188" t="s">
        <v>232</v>
      </c>
      <c r="G188" t="s">
        <v>234</v>
      </c>
      <c r="H188" t="s">
        <v>235</v>
      </c>
      <c r="I188" s="3"/>
      <c r="J188" s="3"/>
      <c r="L188" t="s">
        <v>385</v>
      </c>
      <c r="M188">
        <f t="shared" si="29"/>
        <v>0</v>
      </c>
      <c r="N188">
        <v>1</v>
      </c>
      <c r="O188" s="16">
        <v>27.3</v>
      </c>
      <c r="P188" s="16">
        <f>IF(AND(ISNUMBER(O188),O188&lt;&gt;-1,O188&gt;='02_Parameters'!$B$18,O188&lt;='02_Parameters'!$B$19),O188,"")</f>
        <v>27.3</v>
      </c>
      <c r="Q188" s="16">
        <v>27.3</v>
      </c>
      <c r="R188" t="str">
        <f>IF(B188&lt;&gt;"Sensor Snapshot","",IF(O188="","Missing",IF(O188=-1,"Sensor failure sentinel (-1)",IF(OR(O188&lt;'02_Parameters'!$B$18,O188&gt;'02_Parameters'!$B$19),"Out of accepted range","Valid"))))</f>
        <v>Valid</v>
      </c>
      <c r="S188" s="16">
        <v>80.5</v>
      </c>
      <c r="T188" s="16">
        <f>IF(AND(ISNUMBER(S188),S188&lt;&gt;-1,S188&gt;='02_Parameters'!$B$20,S188&lt;='02_Parameters'!$B$21),S188,"")</f>
        <v>80.5</v>
      </c>
      <c r="U188" s="16">
        <v>80.5</v>
      </c>
      <c r="V188" t="str">
        <f>IF(B188&lt;&gt;"Sensor Snapshot","",IF(S188="","Missing",IF(S188=-1,"Sensor failure sentinel (-1)",IF(OR(S188&lt;'02_Parameters'!$B$20,S188&gt;'02_Parameters'!$B$21),"Out of accepted range","Valid"))))</f>
        <v>Valid</v>
      </c>
      <c r="W188" s="16">
        <v>-3.2</v>
      </c>
      <c r="X188" s="16">
        <f t="shared" si="30"/>
        <v>3.2</v>
      </c>
      <c r="Y188" t="str">
        <f t="shared" si="31"/>
        <v>Sign corrected to positive</v>
      </c>
      <c r="Z188" s="16"/>
      <c r="AA188">
        <v>1</v>
      </c>
      <c r="AB188">
        <f>IF(B188&lt;&gt;"Sensor Snapshot","",IF(ISNUMBER(AA188),--(AA188&lt;&gt;0),IF(ISNUMBER(Z188),--(Z188&lt;'02_Parameters'!$B$15),"")))</f>
        <v>1</v>
      </c>
      <c r="AC188">
        <f>IF(B188&lt;&gt;"Sensor Snapshot","",IF(ISNUMBER(X188),--(X188&gt;='02_Parameters'!$B$16),""))</f>
        <v>0</v>
      </c>
      <c r="AD188">
        <v>0</v>
      </c>
      <c r="AE188">
        <f t="shared" si="32"/>
        <v>0</v>
      </c>
      <c r="AF188" s="3" t="str">
        <f t="shared" si="33"/>
        <v>Partial detection only</v>
      </c>
      <c r="AG188" s="16">
        <v>0</v>
      </c>
      <c r="AH188" s="16">
        <f>IF(B188&lt;&gt;"Sensor Snapshot","",IF(ISNUMBER(AG188),IF(AG188&lt;0,"",IF(AG188&gt;10,AG188/'02_Parameters'!$B$17,AG188)),""))</f>
        <v>0</v>
      </c>
      <c r="AI188" t="str">
        <f t="shared" si="34"/>
        <v>Valid</v>
      </c>
      <c r="AJ188">
        <f t="shared" si="35"/>
        <v>0</v>
      </c>
      <c r="AK188">
        <f t="shared" si="36"/>
        <v>0</v>
      </c>
      <c r="AM188">
        <f t="shared" si="37"/>
        <v>0</v>
      </c>
      <c r="AN188">
        <f>IF(B188&lt;&gt;"Sensor Snapshot","",--(N188&gt;='02_Parameters'!$B$13))</f>
        <v>0</v>
      </c>
      <c r="AO188">
        <f>IF(B188&lt;&gt;"Sensor Snapshot","",--(AND(L188="PUMPING",ISNUMBER(AH188),AH188&lt;='02_Parameters'!$B$10)))</f>
        <v>0</v>
      </c>
      <c r="AP188" s="16"/>
      <c r="AQ188" s="16" t="str">
        <f t="shared" si="38"/>
        <v/>
      </c>
      <c r="AR188" s="16" t="str">
        <f t="shared" si="39"/>
        <v/>
      </c>
      <c r="AU188" t="s">
        <v>236</v>
      </c>
      <c r="AV188" t="s">
        <v>237</v>
      </c>
      <c r="AW188" s="3" t="s">
        <v>238</v>
      </c>
      <c r="AX188" s="3">
        <f t="shared" si="40"/>
        <v>100</v>
      </c>
      <c r="AY188" s="3" t="str">
        <f t="shared" si="41"/>
        <v>A</v>
      </c>
      <c r="AZ188" s="3" t="s">
        <v>386</v>
      </c>
      <c r="BA188" s="3"/>
    </row>
    <row r="189" spans="1:53" ht="27.6">
      <c r="A189" t="s">
        <v>488</v>
      </c>
      <c r="B189" t="s">
        <v>231</v>
      </c>
      <c r="C189" s="14">
        <v>481538</v>
      </c>
      <c r="D189" s="15">
        <f t="shared" si="28"/>
        <v>481.53800000000001</v>
      </c>
      <c r="E189" t="s">
        <v>232</v>
      </c>
      <c r="G189" t="s">
        <v>234</v>
      </c>
      <c r="H189" t="s">
        <v>235</v>
      </c>
      <c r="I189" s="3"/>
      <c r="J189" s="3"/>
      <c r="L189" t="s">
        <v>385</v>
      </c>
      <c r="M189">
        <f t="shared" si="29"/>
        <v>0</v>
      </c>
      <c r="N189">
        <v>1</v>
      </c>
      <c r="O189" s="16">
        <v>27.2</v>
      </c>
      <c r="P189" s="16">
        <f>IF(AND(ISNUMBER(O189),O189&lt;&gt;-1,O189&gt;='02_Parameters'!$B$18,O189&lt;='02_Parameters'!$B$19),O189,"")</f>
        <v>27.2</v>
      </c>
      <c r="Q189" s="16">
        <v>27.2</v>
      </c>
      <c r="R189" t="str">
        <f>IF(B189&lt;&gt;"Sensor Snapshot","",IF(O189="","Missing",IF(O189=-1,"Sensor failure sentinel (-1)",IF(OR(O189&lt;'02_Parameters'!$B$18,O189&gt;'02_Parameters'!$B$19),"Out of accepted range","Valid"))))</f>
        <v>Valid</v>
      </c>
      <c r="S189" s="16">
        <v>80.5</v>
      </c>
      <c r="T189" s="16">
        <f>IF(AND(ISNUMBER(S189),S189&lt;&gt;-1,S189&gt;='02_Parameters'!$B$20,S189&lt;='02_Parameters'!$B$21),S189,"")</f>
        <v>80.5</v>
      </c>
      <c r="U189" s="16">
        <v>80.5</v>
      </c>
      <c r="V189" t="str">
        <f>IF(B189&lt;&gt;"Sensor Snapshot","",IF(S189="","Missing",IF(S189=-1,"Sensor failure sentinel (-1)",IF(OR(S189&lt;'02_Parameters'!$B$20,S189&gt;'02_Parameters'!$B$21),"Out of accepted range","Valid"))))</f>
        <v>Valid</v>
      </c>
      <c r="W189" s="16">
        <v>-0.5</v>
      </c>
      <c r="X189" s="16">
        <f t="shared" si="30"/>
        <v>0.5</v>
      </c>
      <c r="Y189" t="str">
        <f t="shared" si="31"/>
        <v>Sign corrected to positive</v>
      </c>
      <c r="Z189" s="16"/>
      <c r="AA189">
        <v>1</v>
      </c>
      <c r="AB189">
        <f>IF(B189&lt;&gt;"Sensor Snapshot","",IF(ISNUMBER(AA189),--(AA189&lt;&gt;0),IF(ISNUMBER(Z189),--(Z189&lt;'02_Parameters'!$B$15),"")))</f>
        <v>1</v>
      </c>
      <c r="AC189">
        <f>IF(B189&lt;&gt;"Sensor Snapshot","",IF(ISNUMBER(X189),--(X189&gt;='02_Parameters'!$B$16),""))</f>
        <v>0</v>
      </c>
      <c r="AD189">
        <v>0</v>
      </c>
      <c r="AE189">
        <f t="shared" si="32"/>
        <v>0</v>
      </c>
      <c r="AF189" s="3" t="str">
        <f t="shared" si="33"/>
        <v>Partial detection only</v>
      </c>
      <c r="AG189" s="16">
        <v>0</v>
      </c>
      <c r="AH189" s="16">
        <f>IF(B189&lt;&gt;"Sensor Snapshot","",IF(ISNUMBER(AG189),IF(AG189&lt;0,"",IF(AG189&gt;10,AG189/'02_Parameters'!$B$17,AG189)),""))</f>
        <v>0</v>
      </c>
      <c r="AI189" t="str">
        <f t="shared" si="34"/>
        <v>Valid</v>
      </c>
      <c r="AJ189">
        <f t="shared" si="35"/>
        <v>0</v>
      </c>
      <c r="AK189">
        <f t="shared" si="36"/>
        <v>0</v>
      </c>
      <c r="AM189">
        <f t="shared" si="37"/>
        <v>0</v>
      </c>
      <c r="AN189">
        <f>IF(B189&lt;&gt;"Sensor Snapshot","",--(N189&gt;='02_Parameters'!$B$13))</f>
        <v>0</v>
      </c>
      <c r="AO189">
        <f>IF(B189&lt;&gt;"Sensor Snapshot","",--(AND(L189="PUMPING",ISNUMBER(AH189),AH189&lt;='02_Parameters'!$B$10)))</f>
        <v>0</v>
      </c>
      <c r="AP189" s="16"/>
      <c r="AQ189" s="16" t="str">
        <f t="shared" si="38"/>
        <v/>
      </c>
      <c r="AR189" s="16" t="str">
        <f t="shared" si="39"/>
        <v/>
      </c>
      <c r="AU189" t="s">
        <v>236</v>
      </c>
      <c r="AV189" t="s">
        <v>237</v>
      </c>
      <c r="AW189" s="3" t="s">
        <v>238</v>
      </c>
      <c r="AX189" s="3">
        <f t="shared" si="40"/>
        <v>100</v>
      </c>
      <c r="AY189" s="3" t="str">
        <f t="shared" si="41"/>
        <v>A</v>
      </c>
      <c r="AZ189" s="3" t="s">
        <v>386</v>
      </c>
      <c r="BA189" s="3"/>
    </row>
    <row r="190" spans="1:53" ht="27.6">
      <c r="A190" t="s">
        <v>489</v>
      </c>
      <c r="B190" t="s">
        <v>231</v>
      </c>
      <c r="C190" s="14">
        <v>486555</v>
      </c>
      <c r="D190" s="15">
        <f t="shared" si="28"/>
        <v>486.55500000000001</v>
      </c>
      <c r="E190" t="s">
        <v>232</v>
      </c>
      <c r="G190" t="s">
        <v>234</v>
      </c>
      <c r="H190" t="s">
        <v>235</v>
      </c>
      <c r="I190" s="3"/>
      <c r="J190" s="3"/>
      <c r="L190" t="s">
        <v>385</v>
      </c>
      <c r="M190">
        <f t="shared" si="29"/>
        <v>0</v>
      </c>
      <c r="N190">
        <v>1</v>
      </c>
      <c r="O190" s="16">
        <v>27.3</v>
      </c>
      <c r="P190" s="16">
        <f>IF(AND(ISNUMBER(O190),O190&lt;&gt;-1,O190&gt;='02_Parameters'!$B$18,O190&lt;='02_Parameters'!$B$19),O190,"")</f>
        <v>27.3</v>
      </c>
      <c r="Q190" s="16">
        <v>27.3</v>
      </c>
      <c r="R190" t="str">
        <f>IF(B190&lt;&gt;"Sensor Snapshot","",IF(O190="","Missing",IF(O190=-1,"Sensor failure sentinel (-1)",IF(OR(O190&lt;'02_Parameters'!$B$18,O190&gt;'02_Parameters'!$B$19),"Out of accepted range","Valid"))))</f>
        <v>Valid</v>
      </c>
      <c r="S190" s="16">
        <v>80.5</v>
      </c>
      <c r="T190" s="16">
        <f>IF(AND(ISNUMBER(S190),S190&lt;&gt;-1,S190&gt;='02_Parameters'!$B$20,S190&lt;='02_Parameters'!$B$21),S190,"")</f>
        <v>80.5</v>
      </c>
      <c r="U190" s="16">
        <v>80.5</v>
      </c>
      <c r="V190" t="str">
        <f>IF(B190&lt;&gt;"Sensor Snapshot","",IF(S190="","Missing",IF(S190=-1,"Sensor failure sentinel (-1)",IF(OR(S190&lt;'02_Parameters'!$B$20,S190&gt;'02_Parameters'!$B$21),"Out of accepted range","Valid"))))</f>
        <v>Valid</v>
      </c>
      <c r="W190" s="16">
        <v>0</v>
      </c>
      <c r="X190" s="16">
        <f t="shared" si="30"/>
        <v>0</v>
      </c>
      <c r="Y190" t="str">
        <f t="shared" si="31"/>
        <v>Valid</v>
      </c>
      <c r="Z190" s="16"/>
      <c r="AA190">
        <v>1</v>
      </c>
      <c r="AB190">
        <f>IF(B190&lt;&gt;"Sensor Snapshot","",IF(ISNUMBER(AA190),--(AA190&lt;&gt;0),IF(ISNUMBER(Z190),--(Z190&lt;'02_Parameters'!$B$15),"")))</f>
        <v>1</v>
      </c>
      <c r="AC190">
        <f>IF(B190&lt;&gt;"Sensor Snapshot","",IF(ISNUMBER(X190),--(X190&gt;='02_Parameters'!$B$16),""))</f>
        <v>0</v>
      </c>
      <c r="AD190">
        <v>1</v>
      </c>
      <c r="AE190">
        <f t="shared" si="32"/>
        <v>1</v>
      </c>
      <c r="AF190" s="3" t="str">
        <f t="shared" si="33"/>
        <v>Logged dual-sensor event</v>
      </c>
      <c r="AG190" s="16">
        <v>0</v>
      </c>
      <c r="AH190" s="16">
        <f>IF(B190&lt;&gt;"Sensor Snapshot","",IF(ISNUMBER(AG190),IF(AG190&lt;0,"",IF(AG190&gt;10,AG190/'02_Parameters'!$B$17,AG190)),""))</f>
        <v>0</v>
      </c>
      <c r="AI190" t="str">
        <f t="shared" si="34"/>
        <v>Valid</v>
      </c>
      <c r="AJ190">
        <f t="shared" si="35"/>
        <v>0</v>
      </c>
      <c r="AK190">
        <f t="shared" si="36"/>
        <v>0</v>
      </c>
      <c r="AM190">
        <f t="shared" si="37"/>
        <v>0</v>
      </c>
      <c r="AN190">
        <f>IF(B190&lt;&gt;"Sensor Snapshot","",--(N190&gt;='02_Parameters'!$B$13))</f>
        <v>0</v>
      </c>
      <c r="AO190">
        <f>IF(B190&lt;&gt;"Sensor Snapshot","",--(AND(L190="PUMPING",ISNUMBER(AH190),AH190&lt;='02_Parameters'!$B$10)))</f>
        <v>0</v>
      </c>
      <c r="AP190" s="16"/>
      <c r="AQ190" s="16" t="str">
        <f t="shared" si="38"/>
        <v/>
      </c>
      <c r="AR190" s="16" t="str">
        <f t="shared" si="39"/>
        <v/>
      </c>
      <c r="AU190" t="s">
        <v>236</v>
      </c>
      <c r="AV190" t="s">
        <v>237</v>
      </c>
      <c r="AW190" s="3" t="s">
        <v>257</v>
      </c>
      <c r="AX190" s="3">
        <f t="shared" si="40"/>
        <v>100</v>
      </c>
      <c r="AY190" s="3" t="str">
        <f t="shared" si="41"/>
        <v>A</v>
      </c>
      <c r="AZ190" s="3" t="s">
        <v>386</v>
      </c>
      <c r="BA190" s="3" t="s">
        <v>433</v>
      </c>
    </row>
    <row r="191" spans="1:53" ht="27.6">
      <c r="A191" t="s">
        <v>490</v>
      </c>
      <c r="B191" t="s">
        <v>242</v>
      </c>
      <c r="C191" s="14">
        <v>486555</v>
      </c>
      <c r="D191" s="15">
        <f t="shared" si="28"/>
        <v>486.55500000000001</v>
      </c>
      <c r="E191" t="s">
        <v>232</v>
      </c>
      <c r="G191" t="s">
        <v>91</v>
      </c>
      <c r="H191" t="s">
        <v>374</v>
      </c>
      <c r="I191" s="3" t="s">
        <v>435</v>
      </c>
      <c r="J191" s="3" t="s">
        <v>436</v>
      </c>
      <c r="L191" t="s">
        <v>385</v>
      </c>
      <c r="M191">
        <f t="shared" si="29"/>
        <v>0</v>
      </c>
      <c r="O191" s="16"/>
      <c r="P191" s="16" t="str">
        <f>IF(AND(ISNUMBER(O191),O191&lt;&gt;-1,O191&gt;='02_Parameters'!$B$18,O191&lt;='02_Parameters'!$B$19),O191,"")</f>
        <v/>
      </c>
      <c r="Q191" s="16"/>
      <c r="R191" t="str">
        <f>IF(B191&lt;&gt;"Sensor Snapshot","",IF(O191="","Missing",IF(O191=-1,"Sensor failure sentinel (-1)",IF(OR(O191&lt;'02_Parameters'!$B$18,O191&gt;'02_Parameters'!$B$19),"Out of accepted range","Valid"))))</f>
        <v/>
      </c>
      <c r="S191" s="16"/>
      <c r="T191" s="16" t="str">
        <f>IF(AND(ISNUMBER(S191),S191&lt;&gt;-1,S191&gt;='02_Parameters'!$B$20,S191&lt;='02_Parameters'!$B$21),S191,"")</f>
        <v/>
      </c>
      <c r="U191" s="16"/>
      <c r="V191" t="str">
        <f>IF(B191&lt;&gt;"Sensor Snapshot","",IF(S191="","Missing",IF(S191=-1,"Sensor failure sentinel (-1)",IF(OR(S191&lt;'02_Parameters'!$B$20,S191&gt;'02_Parameters'!$B$21),"Out of accepted range","Valid"))))</f>
        <v/>
      </c>
      <c r="W191" s="16"/>
      <c r="X191" s="16" t="str">
        <f t="shared" si="30"/>
        <v/>
      </c>
      <c r="Y191" t="str">
        <f t="shared" si="31"/>
        <v/>
      </c>
      <c r="Z191" s="16"/>
      <c r="AB191" t="str">
        <f>IF(B191&lt;&gt;"Sensor Snapshot","",IF(ISNUMBER(AA191),--(AA191&lt;&gt;0),IF(ISNUMBER(Z191),--(Z191&lt;'02_Parameters'!$B$15),"")))</f>
        <v/>
      </c>
      <c r="AC191" t="str">
        <f>IF(B191&lt;&gt;"Sensor Snapshot","",IF(ISNUMBER(X191),--(X191&gt;='02_Parameters'!$B$16),""))</f>
        <v/>
      </c>
      <c r="AD191">
        <v>1</v>
      </c>
      <c r="AE191" t="str">
        <f t="shared" si="32"/>
        <v/>
      </c>
      <c r="AF191" s="3" t="str">
        <f t="shared" si="33"/>
        <v/>
      </c>
      <c r="AG191" s="16"/>
      <c r="AH191" s="16" t="str">
        <f>IF(B191&lt;&gt;"Sensor Snapshot","",IF(ISNUMBER(AG191),IF(AG191&lt;0,"",IF(AG191&gt;10,AG191/'02_Parameters'!$B$17,AG191)),""))</f>
        <v/>
      </c>
      <c r="AI191" t="str">
        <f t="shared" si="34"/>
        <v/>
      </c>
      <c r="AJ191" t="str">
        <f t="shared" si="35"/>
        <v/>
      </c>
      <c r="AK191" t="str">
        <f t="shared" si="36"/>
        <v/>
      </c>
      <c r="AM191" t="str">
        <f t="shared" si="37"/>
        <v/>
      </c>
      <c r="AN191" t="str">
        <f>IF(B191&lt;&gt;"Sensor Snapshot","",--(N191&gt;='02_Parameters'!$B$13))</f>
        <v/>
      </c>
      <c r="AO191" t="str">
        <f>IF(B191&lt;&gt;"Sensor Snapshot","",--(AND(L191="PUMPING",ISNUMBER(AH191),AH191&lt;='02_Parameters'!$B$10)))</f>
        <v/>
      </c>
      <c r="AP191" s="16"/>
      <c r="AQ191" s="16" t="str">
        <f t="shared" si="38"/>
        <v/>
      </c>
      <c r="AR191" s="16" t="str">
        <f t="shared" si="39"/>
        <v/>
      </c>
      <c r="AW191" s="3" t="s">
        <v>377</v>
      </c>
      <c r="AX191" s="3" t="str">
        <f t="shared" si="40"/>
        <v/>
      </c>
      <c r="AY191" s="3" t="str">
        <f t="shared" si="41"/>
        <v/>
      </c>
      <c r="AZ191" s="3" t="s">
        <v>437</v>
      </c>
      <c r="BA191" s="3"/>
    </row>
    <row r="192" spans="1:53" ht="27.6">
      <c r="A192" t="s">
        <v>491</v>
      </c>
      <c r="B192" t="s">
        <v>242</v>
      </c>
      <c r="C192" s="14">
        <v>486555</v>
      </c>
      <c r="D192" s="15">
        <f t="shared" si="28"/>
        <v>486.55500000000001</v>
      </c>
      <c r="E192" t="s">
        <v>232</v>
      </c>
      <c r="G192" t="s">
        <v>91</v>
      </c>
      <c r="H192" t="s">
        <v>374</v>
      </c>
      <c r="I192" s="3" t="s">
        <v>439</v>
      </c>
      <c r="J192" s="3" t="s">
        <v>440</v>
      </c>
      <c r="L192" t="s">
        <v>385</v>
      </c>
      <c r="M192">
        <f t="shared" si="29"/>
        <v>0</v>
      </c>
      <c r="O192" s="16"/>
      <c r="P192" s="16" t="str">
        <f>IF(AND(ISNUMBER(O192),O192&lt;&gt;-1,O192&gt;='02_Parameters'!$B$18,O192&lt;='02_Parameters'!$B$19),O192,"")</f>
        <v/>
      </c>
      <c r="Q192" s="16"/>
      <c r="R192" t="str">
        <f>IF(B192&lt;&gt;"Sensor Snapshot","",IF(O192="","Missing",IF(O192=-1,"Sensor failure sentinel (-1)",IF(OR(O192&lt;'02_Parameters'!$B$18,O192&gt;'02_Parameters'!$B$19),"Out of accepted range","Valid"))))</f>
        <v/>
      </c>
      <c r="S192" s="16"/>
      <c r="T192" s="16" t="str">
        <f>IF(AND(ISNUMBER(S192),S192&lt;&gt;-1,S192&gt;='02_Parameters'!$B$20,S192&lt;='02_Parameters'!$B$21),S192,"")</f>
        <v/>
      </c>
      <c r="U192" s="16"/>
      <c r="V192" t="str">
        <f>IF(B192&lt;&gt;"Sensor Snapshot","",IF(S192="","Missing",IF(S192=-1,"Sensor failure sentinel (-1)",IF(OR(S192&lt;'02_Parameters'!$B$20,S192&gt;'02_Parameters'!$B$21),"Out of accepted range","Valid"))))</f>
        <v/>
      </c>
      <c r="W192" s="16"/>
      <c r="X192" s="16" t="str">
        <f t="shared" si="30"/>
        <v/>
      </c>
      <c r="Y192" t="str">
        <f t="shared" si="31"/>
        <v/>
      </c>
      <c r="Z192" s="16"/>
      <c r="AB192" t="str">
        <f>IF(B192&lt;&gt;"Sensor Snapshot","",IF(ISNUMBER(AA192),--(AA192&lt;&gt;0),IF(ISNUMBER(Z192),--(Z192&lt;'02_Parameters'!$B$15),"")))</f>
        <v/>
      </c>
      <c r="AC192" t="str">
        <f>IF(B192&lt;&gt;"Sensor Snapshot","",IF(ISNUMBER(X192),--(X192&gt;='02_Parameters'!$B$16),""))</f>
        <v/>
      </c>
      <c r="AD192">
        <v>0</v>
      </c>
      <c r="AE192" t="str">
        <f t="shared" si="32"/>
        <v/>
      </c>
      <c r="AF192" s="3" t="str">
        <f t="shared" si="33"/>
        <v/>
      </c>
      <c r="AG192" s="16"/>
      <c r="AH192" s="16" t="str">
        <f>IF(B192&lt;&gt;"Sensor Snapshot","",IF(ISNUMBER(AG192),IF(AG192&lt;0,"",IF(AG192&gt;10,AG192/'02_Parameters'!$B$17,AG192)),""))</f>
        <v/>
      </c>
      <c r="AI192" t="str">
        <f t="shared" si="34"/>
        <v/>
      </c>
      <c r="AJ192" t="str">
        <f t="shared" si="35"/>
        <v/>
      </c>
      <c r="AK192" t="str">
        <f t="shared" si="36"/>
        <v/>
      </c>
      <c r="AM192" t="str">
        <f t="shared" si="37"/>
        <v/>
      </c>
      <c r="AN192" t="str">
        <f>IF(B192&lt;&gt;"Sensor Snapshot","",--(N192&gt;='02_Parameters'!$B$13))</f>
        <v/>
      </c>
      <c r="AO192" t="str">
        <f>IF(B192&lt;&gt;"Sensor Snapshot","",--(AND(L192="PUMPING",ISNUMBER(AH192),AH192&lt;='02_Parameters'!$B$10)))</f>
        <v/>
      </c>
      <c r="AP192" s="16"/>
      <c r="AQ192" s="16" t="str">
        <f t="shared" si="38"/>
        <v/>
      </c>
      <c r="AR192" s="16" t="str">
        <f t="shared" si="39"/>
        <v/>
      </c>
      <c r="AW192" s="3" t="s">
        <v>377</v>
      </c>
      <c r="AX192" s="3" t="str">
        <f t="shared" si="40"/>
        <v/>
      </c>
      <c r="AY192" s="3" t="str">
        <f t="shared" si="41"/>
        <v/>
      </c>
      <c r="AZ192" s="3" t="s">
        <v>247</v>
      </c>
      <c r="BA192" s="3"/>
    </row>
    <row r="193" spans="1:53" ht="27.6">
      <c r="A193" t="s">
        <v>492</v>
      </c>
      <c r="B193" t="s">
        <v>231</v>
      </c>
      <c r="C193" s="14">
        <v>492331</v>
      </c>
      <c r="D193" s="15">
        <f t="shared" si="28"/>
        <v>492.33100000000002</v>
      </c>
      <c r="E193" t="s">
        <v>232</v>
      </c>
      <c r="G193" t="s">
        <v>234</v>
      </c>
      <c r="H193" t="s">
        <v>235</v>
      </c>
      <c r="I193" s="3"/>
      <c r="J193" s="3"/>
      <c r="L193" t="s">
        <v>385</v>
      </c>
      <c r="M193">
        <f t="shared" si="29"/>
        <v>0</v>
      </c>
      <c r="N193">
        <v>2</v>
      </c>
      <c r="O193" s="16">
        <v>27.3</v>
      </c>
      <c r="P193" s="16">
        <f>IF(AND(ISNUMBER(O193),O193&lt;&gt;-1,O193&gt;='02_Parameters'!$B$18,O193&lt;='02_Parameters'!$B$19),O193,"")</f>
        <v>27.3</v>
      </c>
      <c r="Q193" s="16">
        <v>27.3</v>
      </c>
      <c r="R193" t="str">
        <f>IF(B193&lt;&gt;"Sensor Snapshot","",IF(O193="","Missing",IF(O193=-1,"Sensor failure sentinel (-1)",IF(OR(O193&lt;'02_Parameters'!$B$18,O193&gt;'02_Parameters'!$B$19),"Out of accepted range","Valid"))))</f>
        <v>Valid</v>
      </c>
      <c r="S193" s="16">
        <v>80.7</v>
      </c>
      <c r="T193" s="16">
        <f>IF(AND(ISNUMBER(S193),S193&lt;&gt;-1,S193&gt;='02_Parameters'!$B$20,S193&lt;='02_Parameters'!$B$21),S193,"")</f>
        <v>80.7</v>
      </c>
      <c r="U193" s="16">
        <v>80.7</v>
      </c>
      <c r="V193" t="str">
        <f>IF(B193&lt;&gt;"Sensor Snapshot","",IF(S193="","Missing",IF(S193=-1,"Sensor failure sentinel (-1)",IF(OR(S193&lt;'02_Parameters'!$B$20,S193&gt;'02_Parameters'!$B$21),"Out of accepted range","Valid"))))</f>
        <v>Valid</v>
      </c>
      <c r="W193" s="16">
        <v>41.2</v>
      </c>
      <c r="X193" s="16">
        <f t="shared" si="30"/>
        <v>41.2</v>
      </c>
      <c r="Y193" t="str">
        <f t="shared" si="31"/>
        <v>Valid</v>
      </c>
      <c r="Z193" s="16"/>
      <c r="AA193">
        <v>1</v>
      </c>
      <c r="AB193">
        <f>IF(B193&lt;&gt;"Sensor Snapshot","",IF(ISNUMBER(AA193),--(AA193&lt;&gt;0),IF(ISNUMBER(Z193),--(Z193&lt;'02_Parameters'!$B$15),"")))</f>
        <v>1</v>
      </c>
      <c r="AC193">
        <f>IF(B193&lt;&gt;"Sensor Snapshot","",IF(ISNUMBER(X193),--(X193&gt;='02_Parameters'!$B$16),""))</f>
        <v>1</v>
      </c>
      <c r="AD193">
        <v>0</v>
      </c>
      <c r="AE193">
        <f t="shared" si="32"/>
        <v>1</v>
      </c>
      <c r="AF193" s="3" t="str">
        <f t="shared" si="33"/>
        <v>Derived: optical AND weight</v>
      </c>
      <c r="AG193" s="16">
        <v>0</v>
      </c>
      <c r="AH193" s="16">
        <f>IF(B193&lt;&gt;"Sensor Snapshot","",IF(ISNUMBER(AG193),IF(AG193&lt;0,"",IF(AG193&gt;10,AG193/'02_Parameters'!$B$17,AG193)),""))</f>
        <v>0</v>
      </c>
      <c r="AI193" t="str">
        <f t="shared" si="34"/>
        <v>Valid</v>
      </c>
      <c r="AJ193">
        <f t="shared" si="35"/>
        <v>0</v>
      </c>
      <c r="AK193">
        <f t="shared" si="36"/>
        <v>0</v>
      </c>
      <c r="AM193">
        <f t="shared" si="37"/>
        <v>0</v>
      </c>
      <c r="AN193">
        <f>IF(B193&lt;&gt;"Sensor Snapshot","",--(N193&gt;='02_Parameters'!$B$13))</f>
        <v>0</v>
      </c>
      <c r="AO193">
        <f>IF(B193&lt;&gt;"Sensor Snapshot","",--(AND(L193="PUMPING",ISNUMBER(AH193),AH193&lt;='02_Parameters'!$B$10)))</f>
        <v>0</v>
      </c>
      <c r="AP193" s="16"/>
      <c r="AQ193" s="16" t="str">
        <f t="shared" si="38"/>
        <v/>
      </c>
      <c r="AR193" s="16" t="str">
        <f t="shared" si="39"/>
        <v/>
      </c>
      <c r="AU193" t="s">
        <v>236</v>
      </c>
      <c r="AV193" t="s">
        <v>237</v>
      </c>
      <c r="AW193" s="3" t="s">
        <v>257</v>
      </c>
      <c r="AX193" s="3">
        <f t="shared" si="40"/>
        <v>100</v>
      </c>
      <c r="AY193" s="3" t="str">
        <f t="shared" si="41"/>
        <v>A</v>
      </c>
      <c r="AZ193" s="3" t="s">
        <v>386</v>
      </c>
      <c r="BA193" s="3"/>
    </row>
    <row r="194" spans="1:53" ht="27.6">
      <c r="A194" t="s">
        <v>493</v>
      </c>
      <c r="B194" t="s">
        <v>231</v>
      </c>
      <c r="C194" s="14">
        <v>497330</v>
      </c>
      <c r="D194" s="15">
        <f t="shared" si="28"/>
        <v>497.33</v>
      </c>
      <c r="E194" t="s">
        <v>232</v>
      </c>
      <c r="G194" t="s">
        <v>234</v>
      </c>
      <c r="H194" t="s">
        <v>235</v>
      </c>
      <c r="I194" s="3"/>
      <c r="J194" s="3"/>
      <c r="L194" t="s">
        <v>385</v>
      </c>
      <c r="M194">
        <f t="shared" si="29"/>
        <v>0</v>
      </c>
      <c r="N194">
        <v>2</v>
      </c>
      <c r="O194" s="16">
        <v>27.3</v>
      </c>
      <c r="P194" s="16">
        <f>IF(AND(ISNUMBER(O194),O194&lt;&gt;-1,O194&gt;='02_Parameters'!$B$18,O194&lt;='02_Parameters'!$B$19),O194,"")</f>
        <v>27.3</v>
      </c>
      <c r="Q194" s="16">
        <v>27.3</v>
      </c>
      <c r="R194" t="str">
        <f>IF(B194&lt;&gt;"Sensor Snapshot","",IF(O194="","Missing",IF(O194=-1,"Sensor failure sentinel (-1)",IF(OR(O194&lt;'02_Parameters'!$B$18,O194&gt;'02_Parameters'!$B$19),"Out of accepted range","Valid"))))</f>
        <v>Valid</v>
      </c>
      <c r="S194" s="16">
        <v>80.8</v>
      </c>
      <c r="T194" s="16">
        <f>IF(AND(ISNUMBER(S194),S194&lt;&gt;-1,S194&gt;='02_Parameters'!$B$20,S194&lt;='02_Parameters'!$B$21),S194,"")</f>
        <v>80.8</v>
      </c>
      <c r="U194" s="16">
        <v>80.8</v>
      </c>
      <c r="V194" t="str">
        <f>IF(B194&lt;&gt;"Sensor Snapshot","",IF(S194="","Missing",IF(S194=-1,"Sensor failure sentinel (-1)",IF(OR(S194&lt;'02_Parameters'!$B$20,S194&gt;'02_Parameters'!$B$21),"Out of accepted range","Valid"))))</f>
        <v>Valid</v>
      </c>
      <c r="W194" s="16">
        <v>-2.1</v>
      </c>
      <c r="X194" s="16">
        <f t="shared" si="30"/>
        <v>2.1</v>
      </c>
      <c r="Y194" t="str">
        <f t="shared" si="31"/>
        <v>Sign corrected to positive</v>
      </c>
      <c r="Z194" s="16"/>
      <c r="AA194">
        <v>1</v>
      </c>
      <c r="AB194">
        <f>IF(B194&lt;&gt;"Sensor Snapshot","",IF(ISNUMBER(AA194),--(AA194&lt;&gt;0),IF(ISNUMBER(Z194),--(Z194&lt;'02_Parameters'!$B$15),"")))</f>
        <v>1</v>
      </c>
      <c r="AC194">
        <f>IF(B194&lt;&gt;"Sensor Snapshot","",IF(ISNUMBER(X194),--(X194&gt;='02_Parameters'!$B$16),""))</f>
        <v>0</v>
      </c>
      <c r="AD194">
        <v>1</v>
      </c>
      <c r="AE194">
        <f t="shared" si="32"/>
        <v>1</v>
      </c>
      <c r="AF194" s="3" t="str">
        <f t="shared" si="33"/>
        <v>Logged dual-sensor event</v>
      </c>
      <c r="AG194" s="16">
        <v>0</v>
      </c>
      <c r="AH194" s="16">
        <f>IF(B194&lt;&gt;"Sensor Snapshot","",IF(ISNUMBER(AG194),IF(AG194&lt;0,"",IF(AG194&gt;10,AG194/'02_Parameters'!$B$17,AG194)),""))</f>
        <v>0</v>
      </c>
      <c r="AI194" t="str">
        <f t="shared" si="34"/>
        <v>Valid</v>
      </c>
      <c r="AJ194">
        <f t="shared" si="35"/>
        <v>0</v>
      </c>
      <c r="AK194">
        <f t="shared" si="36"/>
        <v>0</v>
      </c>
      <c r="AM194">
        <f t="shared" si="37"/>
        <v>0</v>
      </c>
      <c r="AN194">
        <f>IF(B194&lt;&gt;"Sensor Snapshot","",--(N194&gt;='02_Parameters'!$B$13))</f>
        <v>0</v>
      </c>
      <c r="AO194">
        <f>IF(B194&lt;&gt;"Sensor Snapshot","",--(AND(L194="PUMPING",ISNUMBER(AH194),AH194&lt;='02_Parameters'!$B$10)))</f>
        <v>0</v>
      </c>
      <c r="AP194" s="16"/>
      <c r="AQ194" s="16" t="str">
        <f t="shared" si="38"/>
        <v/>
      </c>
      <c r="AR194" s="16" t="str">
        <f t="shared" si="39"/>
        <v/>
      </c>
      <c r="AU194" t="s">
        <v>236</v>
      </c>
      <c r="AV194" t="s">
        <v>237</v>
      </c>
      <c r="AW194" s="3" t="s">
        <v>238</v>
      </c>
      <c r="AX194" s="3">
        <f t="shared" si="40"/>
        <v>100</v>
      </c>
      <c r="AY194" s="3" t="str">
        <f t="shared" si="41"/>
        <v>A</v>
      </c>
      <c r="AZ194" s="3" t="s">
        <v>386</v>
      </c>
      <c r="BA194" s="3" t="s">
        <v>433</v>
      </c>
    </row>
    <row r="195" spans="1:53" ht="27.6">
      <c r="A195" t="s">
        <v>494</v>
      </c>
      <c r="B195" t="s">
        <v>242</v>
      </c>
      <c r="C195" s="14">
        <v>497330</v>
      </c>
      <c r="D195" s="15">
        <f t="shared" ref="D195:D258" si="42">IF(ISNUMBER(C195),C195/1000,"")</f>
        <v>497.33</v>
      </c>
      <c r="E195" t="s">
        <v>232</v>
      </c>
      <c r="G195" t="s">
        <v>91</v>
      </c>
      <c r="H195" t="s">
        <v>374</v>
      </c>
      <c r="I195" s="3" t="s">
        <v>435</v>
      </c>
      <c r="J195" s="3" t="s">
        <v>436</v>
      </c>
      <c r="L195" t="s">
        <v>385</v>
      </c>
      <c r="M195">
        <f t="shared" ref="M195:M258" si="43">IF(L195="IDLE",0,IF(L195="FIRE_DETECTED",1,IF(L195="PUMPING",2,IF(L195="BLOCKED",3,IF(L195="HUMIDIFYING",4,IF(L195="STABLE",5,""))))))</f>
        <v>0</v>
      </c>
      <c r="O195" s="16"/>
      <c r="P195" s="16" t="str">
        <f>IF(AND(ISNUMBER(O195),O195&lt;&gt;-1,O195&gt;='02_Parameters'!$B$18,O195&lt;='02_Parameters'!$B$19),O195,"")</f>
        <v/>
      </c>
      <c r="Q195" s="16"/>
      <c r="R195" t="str">
        <f>IF(B195&lt;&gt;"Sensor Snapshot","",IF(O195="","Missing",IF(O195=-1,"Sensor failure sentinel (-1)",IF(OR(O195&lt;'02_Parameters'!$B$18,O195&gt;'02_Parameters'!$B$19),"Out of accepted range","Valid"))))</f>
        <v/>
      </c>
      <c r="S195" s="16"/>
      <c r="T195" s="16" t="str">
        <f>IF(AND(ISNUMBER(S195),S195&lt;&gt;-1,S195&gt;='02_Parameters'!$B$20,S195&lt;='02_Parameters'!$B$21),S195,"")</f>
        <v/>
      </c>
      <c r="U195" s="16"/>
      <c r="V195" t="str">
        <f>IF(B195&lt;&gt;"Sensor Snapshot","",IF(S195="","Missing",IF(S195=-1,"Sensor failure sentinel (-1)",IF(OR(S195&lt;'02_Parameters'!$B$20,S195&gt;'02_Parameters'!$B$21),"Out of accepted range","Valid"))))</f>
        <v/>
      </c>
      <c r="W195" s="16"/>
      <c r="X195" s="16" t="str">
        <f t="shared" ref="X195:X258" si="44">IF(ISNUMBER(W195),ABS(W195),"")</f>
        <v/>
      </c>
      <c r="Y195" t="str">
        <f t="shared" ref="Y195:Y258" si="45">IF(B195="Calibration Trial","Calibration magnitude",IF(B195&lt;&gt;"Sensor Snapshot","",IF(W195="","Missing",IF(W195&lt;0,"Sign corrected to positive","Valid"))))</f>
        <v/>
      </c>
      <c r="Z195" s="16"/>
      <c r="AB195" t="str">
        <f>IF(B195&lt;&gt;"Sensor Snapshot","",IF(ISNUMBER(AA195),--(AA195&lt;&gt;0),IF(ISNUMBER(Z195),--(Z195&lt;'02_Parameters'!$B$15),"")))</f>
        <v/>
      </c>
      <c r="AC195" t="str">
        <f>IF(B195&lt;&gt;"Sensor Snapshot","",IF(ISNUMBER(X195),--(X195&gt;='02_Parameters'!$B$16),""))</f>
        <v/>
      </c>
      <c r="AD195">
        <v>1</v>
      </c>
      <c r="AE195" t="str">
        <f t="shared" ref="AE195:AE258" si="46">IF(B195&lt;&gt;"Sensor Snapshot","",IF(AD195=1,1,IF(AND(AB195=1,AC195=1),1,0)))</f>
        <v/>
      </c>
      <c r="AF195" s="3" t="str">
        <f t="shared" ref="AF195:AF258" si="47">IF(B195&lt;&gt;"Sensor Snapshot","",IF(AD195=1,"Logged dual-sensor event",IF(AE195=1,"Derived: optical AND weight",IF(OR(AB195=1,AC195=1),"Partial detection only","No detection"))))</f>
        <v/>
      </c>
      <c r="AG195" s="16"/>
      <c r="AH195" s="16" t="str">
        <f>IF(B195&lt;&gt;"Sensor Snapshot","",IF(ISNUMBER(AG195),IF(AG195&lt;0,"",IF(AG195&gt;10,AG195/'02_Parameters'!$B$17,AG195)),""))</f>
        <v/>
      </c>
      <c r="AI195" t="str">
        <f t="shared" ref="AI195:AI258" si="48">IF(B195&lt;&gt;"Sensor Snapshot","",IF(AG195="","Missing",IF(AG195&lt;0,"Invalid negative flow",IF(AG195&gt;10,"Normalized from high-scale log","Valid"))))</f>
        <v/>
      </c>
      <c r="AJ195" t="str">
        <f t="shared" ref="AJ195:AJ258" si="49">IF(B195&lt;&gt;"Sensor Snapshot","",--(L195="PUMPING"))</f>
        <v/>
      </c>
      <c r="AK195" t="str">
        <f t="shared" ref="AK195:AK258" si="50">IF(B195&lt;&gt;"Sensor Snapshot","",--(L195="HUMIDIFYING"))</f>
        <v/>
      </c>
      <c r="AM195" t="str">
        <f t="shared" ref="AM195:AM258" si="51">IF(B195&lt;&gt;"Sensor Snapshot","",--(OR(L195="FIRE_DETECTED",L195="BLOCKED")))</f>
        <v/>
      </c>
      <c r="AN195" t="str">
        <f>IF(B195&lt;&gt;"Sensor Snapshot","",--(N195&gt;='02_Parameters'!$B$13))</f>
        <v/>
      </c>
      <c r="AO195" t="str">
        <f>IF(B195&lt;&gt;"Sensor Snapshot","",--(AND(L195="PUMPING",ISNUMBER(AH195),AH195&lt;='02_Parameters'!$B$10)))</f>
        <v/>
      </c>
      <c r="AP195" s="16"/>
      <c r="AQ195" s="16" t="str">
        <f t="shared" ref="AQ195:AQ258" si="52">IF(B195="Calibration Trial",X195-AP195,"")</f>
        <v/>
      </c>
      <c r="AR195" s="16" t="str">
        <f t="shared" ref="AR195:AR258" si="53">IF(AND(B195="Calibration Trial",AP195&lt;&gt;0),AQ195/AP195*100,"")</f>
        <v/>
      </c>
      <c r="AW195" s="3" t="s">
        <v>377</v>
      </c>
      <c r="AX195" s="3" t="str">
        <f t="shared" ref="AX195:AX258" si="54">IF(B195&lt;&gt;"Sensor Snapshot","",IF(P195&lt;&gt;"",20,0)+IF(T195&lt;&gt;"",20,0)+IF(X195&lt;&gt;"",20,0)+IF(AB195&lt;&gt;"",20,0)+IF(AH195&lt;&gt;"",20,0))</f>
        <v/>
      </c>
      <c r="AY195" s="3" t="str">
        <f t="shared" ref="AY195:AY258" si="55">IF(AX195="","",IF(AX195&gt;=90,"A",IF(AX195&gt;=75,"B",IF(AX195&gt;=60,"C","D"))))</f>
        <v/>
      </c>
      <c r="AZ195" s="3" t="s">
        <v>437</v>
      </c>
      <c r="BA195" s="3"/>
    </row>
    <row r="196" spans="1:53" ht="27.6">
      <c r="A196" t="s">
        <v>495</v>
      </c>
      <c r="B196" t="s">
        <v>242</v>
      </c>
      <c r="C196" s="14">
        <v>497330</v>
      </c>
      <c r="D196" s="15">
        <f t="shared" si="42"/>
        <v>497.33</v>
      </c>
      <c r="E196" t="s">
        <v>232</v>
      </c>
      <c r="G196" t="s">
        <v>91</v>
      </c>
      <c r="H196" t="s">
        <v>374</v>
      </c>
      <c r="I196" s="3" t="s">
        <v>439</v>
      </c>
      <c r="J196" s="3" t="s">
        <v>496</v>
      </c>
      <c r="L196" t="s">
        <v>385</v>
      </c>
      <c r="M196">
        <f t="shared" si="43"/>
        <v>0</v>
      </c>
      <c r="O196" s="16"/>
      <c r="P196" s="16" t="str">
        <f>IF(AND(ISNUMBER(O196),O196&lt;&gt;-1,O196&gt;='02_Parameters'!$B$18,O196&lt;='02_Parameters'!$B$19),O196,"")</f>
        <v/>
      </c>
      <c r="Q196" s="16"/>
      <c r="R196" t="str">
        <f>IF(B196&lt;&gt;"Sensor Snapshot","",IF(O196="","Missing",IF(O196=-1,"Sensor failure sentinel (-1)",IF(OR(O196&lt;'02_Parameters'!$B$18,O196&gt;'02_Parameters'!$B$19),"Out of accepted range","Valid"))))</f>
        <v/>
      </c>
      <c r="S196" s="16"/>
      <c r="T196" s="16" t="str">
        <f>IF(AND(ISNUMBER(S196),S196&lt;&gt;-1,S196&gt;='02_Parameters'!$B$20,S196&lt;='02_Parameters'!$B$21),S196,"")</f>
        <v/>
      </c>
      <c r="U196" s="16"/>
      <c r="V196" t="str">
        <f>IF(B196&lt;&gt;"Sensor Snapshot","",IF(S196="","Missing",IF(S196=-1,"Sensor failure sentinel (-1)",IF(OR(S196&lt;'02_Parameters'!$B$20,S196&gt;'02_Parameters'!$B$21),"Out of accepted range","Valid"))))</f>
        <v/>
      </c>
      <c r="W196" s="16"/>
      <c r="X196" s="16" t="str">
        <f t="shared" si="44"/>
        <v/>
      </c>
      <c r="Y196" t="str">
        <f t="shared" si="45"/>
        <v/>
      </c>
      <c r="Z196" s="16"/>
      <c r="AB196" t="str">
        <f>IF(B196&lt;&gt;"Sensor Snapshot","",IF(ISNUMBER(AA196),--(AA196&lt;&gt;0),IF(ISNUMBER(Z196),--(Z196&lt;'02_Parameters'!$B$15),"")))</f>
        <v/>
      </c>
      <c r="AC196" t="str">
        <f>IF(B196&lt;&gt;"Sensor Snapshot","",IF(ISNUMBER(X196),--(X196&gt;='02_Parameters'!$B$16),""))</f>
        <v/>
      </c>
      <c r="AD196">
        <v>0</v>
      </c>
      <c r="AE196" t="str">
        <f t="shared" si="46"/>
        <v/>
      </c>
      <c r="AF196" s="3" t="str">
        <f t="shared" si="47"/>
        <v/>
      </c>
      <c r="AG196" s="16"/>
      <c r="AH196" s="16" t="str">
        <f>IF(B196&lt;&gt;"Sensor Snapshot","",IF(ISNUMBER(AG196),IF(AG196&lt;0,"",IF(AG196&gt;10,AG196/'02_Parameters'!$B$17,AG196)),""))</f>
        <v/>
      </c>
      <c r="AI196" t="str">
        <f t="shared" si="48"/>
        <v/>
      </c>
      <c r="AJ196" t="str">
        <f t="shared" si="49"/>
        <v/>
      </c>
      <c r="AK196" t="str">
        <f t="shared" si="50"/>
        <v/>
      </c>
      <c r="AM196" t="str">
        <f t="shared" si="51"/>
        <v/>
      </c>
      <c r="AN196" t="str">
        <f>IF(B196&lt;&gt;"Sensor Snapshot","",--(N196&gt;='02_Parameters'!$B$13))</f>
        <v/>
      </c>
      <c r="AO196" t="str">
        <f>IF(B196&lt;&gt;"Sensor Snapshot","",--(AND(L196="PUMPING",ISNUMBER(AH196),AH196&lt;='02_Parameters'!$B$10)))</f>
        <v/>
      </c>
      <c r="AP196" s="16"/>
      <c r="AQ196" s="16" t="str">
        <f t="shared" si="52"/>
        <v/>
      </c>
      <c r="AR196" s="16" t="str">
        <f t="shared" si="53"/>
        <v/>
      </c>
      <c r="AW196" s="3" t="s">
        <v>377</v>
      </c>
      <c r="AX196" s="3" t="str">
        <f t="shared" si="54"/>
        <v/>
      </c>
      <c r="AY196" s="3" t="str">
        <f t="shared" si="55"/>
        <v/>
      </c>
      <c r="AZ196" s="3" t="s">
        <v>247</v>
      </c>
      <c r="BA196" s="3"/>
    </row>
    <row r="197" spans="1:53" ht="27.6">
      <c r="A197" t="s">
        <v>497</v>
      </c>
      <c r="B197" t="s">
        <v>231</v>
      </c>
      <c r="C197" s="14">
        <v>502942</v>
      </c>
      <c r="D197" s="15">
        <f t="shared" si="42"/>
        <v>502.94200000000001</v>
      </c>
      <c r="E197" t="s">
        <v>232</v>
      </c>
      <c r="G197" t="s">
        <v>234</v>
      </c>
      <c r="H197" t="s">
        <v>235</v>
      </c>
      <c r="I197" s="3"/>
      <c r="J197" s="3"/>
      <c r="L197" t="s">
        <v>385</v>
      </c>
      <c r="M197">
        <f t="shared" si="43"/>
        <v>0</v>
      </c>
      <c r="N197">
        <v>0</v>
      </c>
      <c r="O197" s="16">
        <v>27.3</v>
      </c>
      <c r="P197" s="16">
        <f>IF(AND(ISNUMBER(O197),O197&lt;&gt;-1,O197&gt;='02_Parameters'!$B$18,O197&lt;='02_Parameters'!$B$19),O197,"")</f>
        <v>27.3</v>
      </c>
      <c r="Q197" s="16">
        <v>27.3</v>
      </c>
      <c r="R197" t="str">
        <f>IF(B197&lt;&gt;"Sensor Snapshot","",IF(O197="","Missing",IF(O197=-1,"Sensor failure sentinel (-1)",IF(OR(O197&lt;'02_Parameters'!$B$18,O197&gt;'02_Parameters'!$B$19),"Out of accepted range","Valid"))))</f>
        <v>Valid</v>
      </c>
      <c r="S197" s="16">
        <v>80.8</v>
      </c>
      <c r="T197" s="16">
        <f>IF(AND(ISNUMBER(S197),S197&lt;&gt;-1,S197&gt;='02_Parameters'!$B$20,S197&lt;='02_Parameters'!$B$21),S197,"")</f>
        <v>80.8</v>
      </c>
      <c r="U197" s="16">
        <v>80.8</v>
      </c>
      <c r="V197" t="str">
        <f>IF(B197&lt;&gt;"Sensor Snapshot","",IF(S197="","Missing",IF(S197=-1,"Sensor failure sentinel (-1)",IF(OR(S197&lt;'02_Parameters'!$B$20,S197&gt;'02_Parameters'!$B$21),"Out of accepted range","Valid"))))</f>
        <v>Valid</v>
      </c>
      <c r="W197" s="16">
        <v>35.299999999999997</v>
      </c>
      <c r="X197" s="16">
        <f t="shared" si="44"/>
        <v>35.299999999999997</v>
      </c>
      <c r="Y197" t="str">
        <f t="shared" si="45"/>
        <v>Valid</v>
      </c>
      <c r="Z197" s="16"/>
      <c r="AA197">
        <v>1</v>
      </c>
      <c r="AB197">
        <f>IF(B197&lt;&gt;"Sensor Snapshot","",IF(ISNUMBER(AA197),--(AA197&lt;&gt;0),IF(ISNUMBER(Z197),--(Z197&lt;'02_Parameters'!$B$15),"")))</f>
        <v>1</v>
      </c>
      <c r="AC197">
        <f>IF(B197&lt;&gt;"Sensor Snapshot","",IF(ISNUMBER(X197),--(X197&gt;='02_Parameters'!$B$16),""))</f>
        <v>1</v>
      </c>
      <c r="AD197">
        <v>0</v>
      </c>
      <c r="AE197">
        <f t="shared" si="46"/>
        <v>1</v>
      </c>
      <c r="AF197" s="3" t="str">
        <f t="shared" si="47"/>
        <v>Derived: optical AND weight</v>
      </c>
      <c r="AG197" s="16">
        <v>0</v>
      </c>
      <c r="AH197" s="16">
        <f>IF(B197&lt;&gt;"Sensor Snapshot","",IF(ISNUMBER(AG197),IF(AG197&lt;0,"",IF(AG197&gt;10,AG197/'02_Parameters'!$B$17,AG197)),""))</f>
        <v>0</v>
      </c>
      <c r="AI197" t="str">
        <f t="shared" si="48"/>
        <v>Valid</v>
      </c>
      <c r="AJ197">
        <f t="shared" si="49"/>
        <v>0</v>
      </c>
      <c r="AK197">
        <f t="shared" si="50"/>
        <v>0</v>
      </c>
      <c r="AM197">
        <f t="shared" si="51"/>
        <v>0</v>
      </c>
      <c r="AN197">
        <f>IF(B197&lt;&gt;"Sensor Snapshot","",--(N197&gt;='02_Parameters'!$B$13))</f>
        <v>0</v>
      </c>
      <c r="AO197">
        <f>IF(B197&lt;&gt;"Sensor Snapshot","",--(AND(L197="PUMPING",ISNUMBER(AH197),AH197&lt;='02_Parameters'!$B$10)))</f>
        <v>0</v>
      </c>
      <c r="AP197" s="16"/>
      <c r="AQ197" s="16" t="str">
        <f t="shared" si="52"/>
        <v/>
      </c>
      <c r="AR197" s="16" t="str">
        <f t="shared" si="53"/>
        <v/>
      </c>
      <c r="AU197" t="s">
        <v>236</v>
      </c>
      <c r="AV197" t="s">
        <v>237</v>
      </c>
      <c r="AW197" s="3" t="s">
        <v>257</v>
      </c>
      <c r="AX197" s="3">
        <f t="shared" si="54"/>
        <v>100</v>
      </c>
      <c r="AY197" s="3" t="str">
        <f t="shared" si="55"/>
        <v>A</v>
      </c>
      <c r="AZ197" s="3" t="s">
        <v>386</v>
      </c>
      <c r="BA197" s="3"/>
    </row>
    <row r="198" spans="1:53" ht="27.6">
      <c r="A198" t="s">
        <v>498</v>
      </c>
      <c r="B198" t="s">
        <v>231</v>
      </c>
      <c r="C198" s="14">
        <v>508116</v>
      </c>
      <c r="D198" s="15">
        <f t="shared" si="42"/>
        <v>508.11599999999999</v>
      </c>
      <c r="E198" t="s">
        <v>232</v>
      </c>
      <c r="G198" t="s">
        <v>234</v>
      </c>
      <c r="H198" t="s">
        <v>235</v>
      </c>
      <c r="I198" s="3"/>
      <c r="J198" s="3"/>
      <c r="L198" t="s">
        <v>385</v>
      </c>
      <c r="M198">
        <f t="shared" si="43"/>
        <v>0</v>
      </c>
      <c r="N198">
        <v>0</v>
      </c>
      <c r="O198" s="16">
        <v>27.3</v>
      </c>
      <c r="P198" s="16">
        <f>IF(AND(ISNUMBER(O198),O198&lt;&gt;-1,O198&gt;='02_Parameters'!$B$18,O198&lt;='02_Parameters'!$B$19),O198,"")</f>
        <v>27.3</v>
      </c>
      <c r="Q198" s="16">
        <v>27.3</v>
      </c>
      <c r="R198" t="str">
        <f>IF(B198&lt;&gt;"Sensor Snapshot","",IF(O198="","Missing",IF(O198=-1,"Sensor failure sentinel (-1)",IF(OR(O198&lt;'02_Parameters'!$B$18,O198&gt;'02_Parameters'!$B$19),"Out of accepted range","Valid"))))</f>
        <v>Valid</v>
      </c>
      <c r="S198" s="16">
        <v>80.8</v>
      </c>
      <c r="T198" s="16">
        <f>IF(AND(ISNUMBER(S198),S198&lt;&gt;-1,S198&gt;='02_Parameters'!$B$20,S198&lt;='02_Parameters'!$B$21),S198,"")</f>
        <v>80.8</v>
      </c>
      <c r="U198" s="16">
        <v>80.8</v>
      </c>
      <c r="V198" t="str">
        <f>IF(B198&lt;&gt;"Sensor Snapshot","",IF(S198="","Missing",IF(S198=-1,"Sensor failure sentinel (-1)",IF(OR(S198&lt;'02_Parameters'!$B$20,S198&gt;'02_Parameters'!$B$21),"Out of accepted range","Valid"))))</f>
        <v>Valid</v>
      </c>
      <c r="W198" s="16">
        <v>-1.4</v>
      </c>
      <c r="X198" s="16">
        <f t="shared" si="44"/>
        <v>1.4</v>
      </c>
      <c r="Y198" t="str">
        <f t="shared" si="45"/>
        <v>Sign corrected to positive</v>
      </c>
      <c r="Z198" s="16"/>
      <c r="AA198">
        <v>1</v>
      </c>
      <c r="AB198">
        <f>IF(B198&lt;&gt;"Sensor Snapshot","",IF(ISNUMBER(AA198),--(AA198&lt;&gt;0),IF(ISNUMBER(Z198),--(Z198&lt;'02_Parameters'!$B$15),"")))</f>
        <v>1</v>
      </c>
      <c r="AC198">
        <f>IF(B198&lt;&gt;"Sensor Snapshot","",IF(ISNUMBER(X198),--(X198&gt;='02_Parameters'!$B$16),""))</f>
        <v>0</v>
      </c>
      <c r="AD198">
        <v>0</v>
      </c>
      <c r="AE198">
        <f t="shared" si="46"/>
        <v>0</v>
      </c>
      <c r="AF198" s="3" t="str">
        <f t="shared" si="47"/>
        <v>Partial detection only</v>
      </c>
      <c r="AG198" s="16">
        <v>0</v>
      </c>
      <c r="AH198" s="16">
        <f>IF(B198&lt;&gt;"Sensor Snapshot","",IF(ISNUMBER(AG198),IF(AG198&lt;0,"",IF(AG198&gt;10,AG198/'02_Parameters'!$B$17,AG198)),""))</f>
        <v>0</v>
      </c>
      <c r="AI198" t="str">
        <f t="shared" si="48"/>
        <v>Valid</v>
      </c>
      <c r="AJ198">
        <f t="shared" si="49"/>
        <v>0</v>
      </c>
      <c r="AK198">
        <f t="shared" si="50"/>
        <v>0</v>
      </c>
      <c r="AM198">
        <f t="shared" si="51"/>
        <v>0</v>
      </c>
      <c r="AN198">
        <f>IF(B198&lt;&gt;"Sensor Snapshot","",--(N198&gt;='02_Parameters'!$B$13))</f>
        <v>0</v>
      </c>
      <c r="AO198">
        <f>IF(B198&lt;&gt;"Sensor Snapshot","",--(AND(L198="PUMPING",ISNUMBER(AH198),AH198&lt;='02_Parameters'!$B$10)))</f>
        <v>0</v>
      </c>
      <c r="AP198" s="16"/>
      <c r="AQ198" s="16" t="str">
        <f t="shared" si="52"/>
        <v/>
      </c>
      <c r="AR198" s="16" t="str">
        <f t="shared" si="53"/>
        <v/>
      </c>
      <c r="AU198" t="s">
        <v>236</v>
      </c>
      <c r="AV198" t="s">
        <v>237</v>
      </c>
      <c r="AW198" s="3" t="s">
        <v>238</v>
      </c>
      <c r="AX198" s="3">
        <f t="shared" si="54"/>
        <v>100</v>
      </c>
      <c r="AY198" s="3" t="str">
        <f t="shared" si="55"/>
        <v>A</v>
      </c>
      <c r="AZ198" s="3" t="s">
        <v>386</v>
      </c>
      <c r="BA198" s="3"/>
    </row>
    <row r="199" spans="1:53" ht="27.6">
      <c r="A199" t="s">
        <v>499</v>
      </c>
      <c r="B199" t="s">
        <v>231</v>
      </c>
      <c r="C199" s="14">
        <v>513134</v>
      </c>
      <c r="D199" s="15">
        <f t="shared" si="42"/>
        <v>513.13400000000001</v>
      </c>
      <c r="E199" t="s">
        <v>232</v>
      </c>
      <c r="G199" t="s">
        <v>234</v>
      </c>
      <c r="H199" t="s">
        <v>235</v>
      </c>
      <c r="I199" s="3"/>
      <c r="J199" s="3"/>
      <c r="L199" t="s">
        <v>385</v>
      </c>
      <c r="M199">
        <f t="shared" si="43"/>
        <v>0</v>
      </c>
      <c r="N199">
        <v>0</v>
      </c>
      <c r="O199" s="16">
        <v>27.3</v>
      </c>
      <c r="P199" s="16">
        <f>IF(AND(ISNUMBER(O199),O199&lt;&gt;-1,O199&gt;='02_Parameters'!$B$18,O199&lt;='02_Parameters'!$B$19),O199,"")</f>
        <v>27.3</v>
      </c>
      <c r="Q199" s="16">
        <v>27.3</v>
      </c>
      <c r="R199" t="str">
        <f>IF(B199&lt;&gt;"Sensor Snapshot","",IF(O199="","Missing",IF(O199=-1,"Sensor failure sentinel (-1)",IF(OR(O199&lt;'02_Parameters'!$B$18,O199&gt;'02_Parameters'!$B$19),"Out of accepted range","Valid"))))</f>
        <v>Valid</v>
      </c>
      <c r="S199" s="16">
        <v>80.8</v>
      </c>
      <c r="T199" s="16">
        <f>IF(AND(ISNUMBER(S199),S199&lt;&gt;-1,S199&gt;='02_Parameters'!$B$20,S199&lt;='02_Parameters'!$B$21),S199,"")</f>
        <v>80.8</v>
      </c>
      <c r="U199" s="16">
        <v>80.8</v>
      </c>
      <c r="V199" t="str">
        <f>IF(B199&lt;&gt;"Sensor Snapshot","",IF(S199="","Missing",IF(S199=-1,"Sensor failure sentinel (-1)",IF(OR(S199&lt;'02_Parameters'!$B$20,S199&gt;'02_Parameters'!$B$21),"Out of accepted range","Valid"))))</f>
        <v>Valid</v>
      </c>
      <c r="W199" s="16">
        <v>-11.1</v>
      </c>
      <c r="X199" s="16">
        <f t="shared" si="44"/>
        <v>11.1</v>
      </c>
      <c r="Y199" t="str">
        <f t="shared" si="45"/>
        <v>Sign corrected to positive</v>
      </c>
      <c r="Z199" s="16"/>
      <c r="AA199">
        <v>1</v>
      </c>
      <c r="AB199">
        <f>IF(B199&lt;&gt;"Sensor Snapshot","",IF(ISNUMBER(AA199),--(AA199&lt;&gt;0),IF(ISNUMBER(Z199),--(Z199&lt;'02_Parameters'!$B$15),"")))</f>
        <v>1</v>
      </c>
      <c r="AC199">
        <f>IF(B199&lt;&gt;"Sensor Snapshot","",IF(ISNUMBER(X199),--(X199&gt;='02_Parameters'!$B$16),""))</f>
        <v>1</v>
      </c>
      <c r="AD199">
        <v>0</v>
      </c>
      <c r="AE199">
        <f t="shared" si="46"/>
        <v>1</v>
      </c>
      <c r="AF199" s="3" t="str">
        <f t="shared" si="47"/>
        <v>Derived: optical AND weight</v>
      </c>
      <c r="AG199" s="16">
        <v>0</v>
      </c>
      <c r="AH199" s="16">
        <f>IF(B199&lt;&gt;"Sensor Snapshot","",IF(ISNUMBER(AG199),IF(AG199&lt;0,"",IF(AG199&gt;10,AG199/'02_Parameters'!$B$17,AG199)),""))</f>
        <v>0</v>
      </c>
      <c r="AI199" t="str">
        <f t="shared" si="48"/>
        <v>Valid</v>
      </c>
      <c r="AJ199">
        <f t="shared" si="49"/>
        <v>0</v>
      </c>
      <c r="AK199">
        <f t="shared" si="50"/>
        <v>0</v>
      </c>
      <c r="AM199">
        <f t="shared" si="51"/>
        <v>0</v>
      </c>
      <c r="AN199">
        <f>IF(B199&lt;&gt;"Sensor Snapshot","",--(N199&gt;='02_Parameters'!$B$13))</f>
        <v>0</v>
      </c>
      <c r="AO199">
        <f>IF(B199&lt;&gt;"Sensor Snapshot","",--(AND(L199="PUMPING",ISNUMBER(AH199),AH199&lt;='02_Parameters'!$B$10)))</f>
        <v>0</v>
      </c>
      <c r="AP199" s="16"/>
      <c r="AQ199" s="16" t="str">
        <f t="shared" si="52"/>
        <v/>
      </c>
      <c r="AR199" s="16" t="str">
        <f t="shared" si="53"/>
        <v/>
      </c>
      <c r="AU199" t="s">
        <v>236</v>
      </c>
      <c r="AV199" t="s">
        <v>237</v>
      </c>
      <c r="AW199" s="3" t="s">
        <v>238</v>
      </c>
      <c r="AX199" s="3">
        <f t="shared" si="54"/>
        <v>100</v>
      </c>
      <c r="AY199" s="3" t="str">
        <f t="shared" si="55"/>
        <v>A</v>
      </c>
      <c r="AZ199" s="3" t="s">
        <v>386</v>
      </c>
      <c r="BA199" s="3"/>
    </row>
    <row r="200" spans="1:53" ht="27.6">
      <c r="A200" t="s">
        <v>500</v>
      </c>
      <c r="B200" t="s">
        <v>231</v>
      </c>
      <c r="C200" s="14">
        <v>518154</v>
      </c>
      <c r="D200" s="15">
        <f t="shared" si="42"/>
        <v>518.154</v>
      </c>
      <c r="E200" t="s">
        <v>232</v>
      </c>
      <c r="G200" t="s">
        <v>234</v>
      </c>
      <c r="H200" t="s">
        <v>235</v>
      </c>
      <c r="I200" s="3"/>
      <c r="J200" s="3"/>
      <c r="L200" t="s">
        <v>385</v>
      </c>
      <c r="M200">
        <f t="shared" si="43"/>
        <v>0</v>
      </c>
      <c r="N200">
        <v>0</v>
      </c>
      <c r="O200" s="16">
        <v>27.3</v>
      </c>
      <c r="P200" s="16">
        <f>IF(AND(ISNUMBER(O200),O200&lt;&gt;-1,O200&gt;='02_Parameters'!$B$18,O200&lt;='02_Parameters'!$B$19),O200,"")</f>
        <v>27.3</v>
      </c>
      <c r="Q200" s="16">
        <v>27.3</v>
      </c>
      <c r="R200" t="str">
        <f>IF(B200&lt;&gt;"Sensor Snapshot","",IF(O200="","Missing",IF(O200=-1,"Sensor failure sentinel (-1)",IF(OR(O200&lt;'02_Parameters'!$B$18,O200&gt;'02_Parameters'!$B$19),"Out of accepted range","Valid"))))</f>
        <v>Valid</v>
      </c>
      <c r="S200" s="16">
        <v>80.900000000000006</v>
      </c>
      <c r="T200" s="16">
        <f>IF(AND(ISNUMBER(S200),S200&lt;&gt;-1,S200&gt;='02_Parameters'!$B$20,S200&lt;='02_Parameters'!$B$21),S200,"")</f>
        <v>80.900000000000006</v>
      </c>
      <c r="U200" s="16">
        <v>80.900000000000006</v>
      </c>
      <c r="V200" t="str">
        <f>IF(B200&lt;&gt;"Sensor Snapshot","",IF(S200="","Missing",IF(S200=-1,"Sensor failure sentinel (-1)",IF(OR(S200&lt;'02_Parameters'!$B$20,S200&gt;'02_Parameters'!$B$21),"Out of accepted range","Valid"))))</f>
        <v>Valid</v>
      </c>
      <c r="W200" s="16">
        <v>-4.0999999999999996</v>
      </c>
      <c r="X200" s="16">
        <f t="shared" si="44"/>
        <v>4.0999999999999996</v>
      </c>
      <c r="Y200" t="str">
        <f t="shared" si="45"/>
        <v>Sign corrected to positive</v>
      </c>
      <c r="Z200" s="16"/>
      <c r="AA200">
        <v>1</v>
      </c>
      <c r="AB200">
        <f>IF(B200&lt;&gt;"Sensor Snapshot","",IF(ISNUMBER(AA200),--(AA200&lt;&gt;0),IF(ISNUMBER(Z200),--(Z200&lt;'02_Parameters'!$B$15),"")))</f>
        <v>1</v>
      </c>
      <c r="AC200">
        <f>IF(B200&lt;&gt;"Sensor Snapshot","",IF(ISNUMBER(X200),--(X200&gt;='02_Parameters'!$B$16),""))</f>
        <v>0</v>
      </c>
      <c r="AD200">
        <v>0</v>
      </c>
      <c r="AE200">
        <f t="shared" si="46"/>
        <v>0</v>
      </c>
      <c r="AF200" s="3" t="str">
        <f t="shared" si="47"/>
        <v>Partial detection only</v>
      </c>
      <c r="AG200" s="16">
        <v>0</v>
      </c>
      <c r="AH200" s="16">
        <f>IF(B200&lt;&gt;"Sensor Snapshot","",IF(ISNUMBER(AG200),IF(AG200&lt;0,"",IF(AG200&gt;10,AG200/'02_Parameters'!$B$17,AG200)),""))</f>
        <v>0</v>
      </c>
      <c r="AI200" t="str">
        <f t="shared" si="48"/>
        <v>Valid</v>
      </c>
      <c r="AJ200">
        <f t="shared" si="49"/>
        <v>0</v>
      </c>
      <c r="AK200">
        <f t="shared" si="50"/>
        <v>0</v>
      </c>
      <c r="AM200">
        <f t="shared" si="51"/>
        <v>0</v>
      </c>
      <c r="AN200">
        <f>IF(B200&lt;&gt;"Sensor Snapshot","",--(N200&gt;='02_Parameters'!$B$13))</f>
        <v>0</v>
      </c>
      <c r="AO200">
        <f>IF(B200&lt;&gt;"Sensor Snapshot","",--(AND(L200="PUMPING",ISNUMBER(AH200),AH200&lt;='02_Parameters'!$B$10)))</f>
        <v>0</v>
      </c>
      <c r="AP200" s="16"/>
      <c r="AQ200" s="16" t="str">
        <f t="shared" si="52"/>
        <v/>
      </c>
      <c r="AR200" s="16" t="str">
        <f t="shared" si="53"/>
        <v/>
      </c>
      <c r="AU200" t="s">
        <v>236</v>
      </c>
      <c r="AV200" t="s">
        <v>237</v>
      </c>
      <c r="AW200" s="3" t="s">
        <v>238</v>
      </c>
      <c r="AX200" s="3">
        <f t="shared" si="54"/>
        <v>100</v>
      </c>
      <c r="AY200" s="3" t="str">
        <f t="shared" si="55"/>
        <v>A</v>
      </c>
      <c r="AZ200" s="3" t="s">
        <v>386</v>
      </c>
      <c r="BA200" s="3"/>
    </row>
    <row r="201" spans="1:53" ht="27.6">
      <c r="A201" t="s">
        <v>501</v>
      </c>
      <c r="B201" t="s">
        <v>231</v>
      </c>
      <c r="C201" s="14">
        <v>523171</v>
      </c>
      <c r="D201" s="15">
        <f t="shared" si="42"/>
        <v>523.17100000000005</v>
      </c>
      <c r="E201" t="s">
        <v>232</v>
      </c>
      <c r="G201" t="s">
        <v>234</v>
      </c>
      <c r="H201" t="s">
        <v>235</v>
      </c>
      <c r="I201" s="3"/>
      <c r="J201" s="3"/>
      <c r="L201" t="s">
        <v>385</v>
      </c>
      <c r="M201">
        <f t="shared" si="43"/>
        <v>0</v>
      </c>
      <c r="N201">
        <v>0</v>
      </c>
      <c r="O201" s="16">
        <v>27.3</v>
      </c>
      <c r="P201" s="16">
        <f>IF(AND(ISNUMBER(O201),O201&lt;&gt;-1,O201&gt;='02_Parameters'!$B$18,O201&lt;='02_Parameters'!$B$19),O201,"")</f>
        <v>27.3</v>
      </c>
      <c r="Q201" s="16">
        <v>27.3</v>
      </c>
      <c r="R201" t="str">
        <f>IF(B201&lt;&gt;"Sensor Snapshot","",IF(O201="","Missing",IF(O201=-1,"Sensor failure sentinel (-1)",IF(OR(O201&lt;'02_Parameters'!$B$18,O201&gt;'02_Parameters'!$B$19),"Out of accepted range","Valid"))))</f>
        <v>Valid</v>
      </c>
      <c r="S201" s="16">
        <v>81</v>
      </c>
      <c r="T201" s="16">
        <f>IF(AND(ISNUMBER(S201),S201&lt;&gt;-1,S201&gt;='02_Parameters'!$B$20,S201&lt;='02_Parameters'!$B$21),S201,"")</f>
        <v>81</v>
      </c>
      <c r="U201" s="16">
        <v>81</v>
      </c>
      <c r="V201" t="str">
        <f>IF(B201&lt;&gt;"Sensor Snapshot","",IF(S201="","Missing",IF(S201=-1,"Sensor failure sentinel (-1)",IF(OR(S201&lt;'02_Parameters'!$B$20,S201&gt;'02_Parameters'!$B$21),"Out of accepted range","Valid"))))</f>
        <v>Valid</v>
      </c>
      <c r="W201" s="16">
        <v>-3.2</v>
      </c>
      <c r="X201" s="16">
        <f t="shared" si="44"/>
        <v>3.2</v>
      </c>
      <c r="Y201" t="str">
        <f t="shared" si="45"/>
        <v>Sign corrected to positive</v>
      </c>
      <c r="Z201" s="16"/>
      <c r="AA201">
        <v>1</v>
      </c>
      <c r="AB201">
        <f>IF(B201&lt;&gt;"Sensor Snapshot","",IF(ISNUMBER(AA201),--(AA201&lt;&gt;0),IF(ISNUMBER(Z201),--(Z201&lt;'02_Parameters'!$B$15),"")))</f>
        <v>1</v>
      </c>
      <c r="AC201">
        <f>IF(B201&lt;&gt;"Sensor Snapshot","",IF(ISNUMBER(X201),--(X201&gt;='02_Parameters'!$B$16),""))</f>
        <v>0</v>
      </c>
      <c r="AD201">
        <v>0</v>
      </c>
      <c r="AE201">
        <f t="shared" si="46"/>
        <v>0</v>
      </c>
      <c r="AF201" s="3" t="str">
        <f t="shared" si="47"/>
        <v>Partial detection only</v>
      </c>
      <c r="AG201" s="16">
        <v>0</v>
      </c>
      <c r="AH201" s="16">
        <f>IF(B201&lt;&gt;"Sensor Snapshot","",IF(ISNUMBER(AG201),IF(AG201&lt;0,"",IF(AG201&gt;10,AG201/'02_Parameters'!$B$17,AG201)),""))</f>
        <v>0</v>
      </c>
      <c r="AI201" t="str">
        <f t="shared" si="48"/>
        <v>Valid</v>
      </c>
      <c r="AJ201">
        <f t="shared" si="49"/>
        <v>0</v>
      </c>
      <c r="AK201">
        <f t="shared" si="50"/>
        <v>0</v>
      </c>
      <c r="AM201">
        <f t="shared" si="51"/>
        <v>0</v>
      </c>
      <c r="AN201">
        <f>IF(B201&lt;&gt;"Sensor Snapshot","",--(N201&gt;='02_Parameters'!$B$13))</f>
        <v>0</v>
      </c>
      <c r="AO201">
        <f>IF(B201&lt;&gt;"Sensor Snapshot","",--(AND(L201="PUMPING",ISNUMBER(AH201),AH201&lt;='02_Parameters'!$B$10)))</f>
        <v>0</v>
      </c>
      <c r="AP201" s="16"/>
      <c r="AQ201" s="16" t="str">
        <f t="shared" si="52"/>
        <v/>
      </c>
      <c r="AR201" s="16" t="str">
        <f t="shared" si="53"/>
        <v/>
      </c>
      <c r="AU201" t="s">
        <v>236</v>
      </c>
      <c r="AV201" t="s">
        <v>237</v>
      </c>
      <c r="AW201" s="3" t="s">
        <v>238</v>
      </c>
      <c r="AX201" s="3">
        <f t="shared" si="54"/>
        <v>100</v>
      </c>
      <c r="AY201" s="3" t="str">
        <f t="shared" si="55"/>
        <v>A</v>
      </c>
      <c r="AZ201" s="3" t="s">
        <v>386</v>
      </c>
      <c r="BA201" s="3"/>
    </row>
    <row r="202" spans="1:53" ht="27.6">
      <c r="A202" t="s">
        <v>502</v>
      </c>
      <c r="B202" t="s">
        <v>231</v>
      </c>
      <c r="C202" s="14">
        <v>528190</v>
      </c>
      <c r="D202" s="15">
        <f t="shared" si="42"/>
        <v>528.19000000000005</v>
      </c>
      <c r="E202" t="s">
        <v>232</v>
      </c>
      <c r="G202" t="s">
        <v>234</v>
      </c>
      <c r="H202" t="s">
        <v>235</v>
      </c>
      <c r="I202" s="3"/>
      <c r="J202" s="3"/>
      <c r="L202" t="s">
        <v>385</v>
      </c>
      <c r="M202">
        <f t="shared" si="43"/>
        <v>0</v>
      </c>
      <c r="N202">
        <v>0</v>
      </c>
      <c r="O202" s="16">
        <v>27.3</v>
      </c>
      <c r="P202" s="16">
        <f>IF(AND(ISNUMBER(O202),O202&lt;&gt;-1,O202&gt;='02_Parameters'!$B$18,O202&lt;='02_Parameters'!$B$19),O202,"")</f>
        <v>27.3</v>
      </c>
      <c r="Q202" s="16">
        <v>27.3</v>
      </c>
      <c r="R202" t="str">
        <f>IF(B202&lt;&gt;"Sensor Snapshot","",IF(O202="","Missing",IF(O202=-1,"Sensor failure sentinel (-1)",IF(OR(O202&lt;'02_Parameters'!$B$18,O202&gt;'02_Parameters'!$B$19),"Out of accepted range","Valid"))))</f>
        <v>Valid</v>
      </c>
      <c r="S202" s="16">
        <v>81</v>
      </c>
      <c r="T202" s="16">
        <f>IF(AND(ISNUMBER(S202),S202&lt;&gt;-1,S202&gt;='02_Parameters'!$B$20,S202&lt;='02_Parameters'!$B$21),S202,"")</f>
        <v>81</v>
      </c>
      <c r="U202" s="16">
        <v>81</v>
      </c>
      <c r="V202" t="str">
        <f>IF(B202&lt;&gt;"Sensor Snapshot","",IF(S202="","Missing",IF(S202=-1,"Sensor failure sentinel (-1)",IF(OR(S202&lt;'02_Parameters'!$B$20,S202&gt;'02_Parameters'!$B$21),"Out of accepted range","Valid"))))</f>
        <v>Valid</v>
      </c>
      <c r="W202" s="16">
        <v>-2.5</v>
      </c>
      <c r="X202" s="16">
        <f t="shared" si="44"/>
        <v>2.5</v>
      </c>
      <c r="Y202" t="str">
        <f t="shared" si="45"/>
        <v>Sign corrected to positive</v>
      </c>
      <c r="Z202" s="16"/>
      <c r="AA202">
        <v>1</v>
      </c>
      <c r="AB202">
        <f>IF(B202&lt;&gt;"Sensor Snapshot","",IF(ISNUMBER(AA202),--(AA202&lt;&gt;0),IF(ISNUMBER(Z202),--(Z202&lt;'02_Parameters'!$B$15),"")))</f>
        <v>1</v>
      </c>
      <c r="AC202">
        <f>IF(B202&lt;&gt;"Sensor Snapshot","",IF(ISNUMBER(X202),--(X202&gt;='02_Parameters'!$B$16),""))</f>
        <v>0</v>
      </c>
      <c r="AD202">
        <v>0</v>
      </c>
      <c r="AE202">
        <f t="shared" si="46"/>
        <v>0</v>
      </c>
      <c r="AF202" s="3" t="str">
        <f t="shared" si="47"/>
        <v>Partial detection only</v>
      </c>
      <c r="AG202" s="16">
        <v>0</v>
      </c>
      <c r="AH202" s="16">
        <f>IF(B202&lt;&gt;"Sensor Snapshot","",IF(ISNUMBER(AG202),IF(AG202&lt;0,"",IF(AG202&gt;10,AG202/'02_Parameters'!$B$17,AG202)),""))</f>
        <v>0</v>
      </c>
      <c r="AI202" t="str">
        <f t="shared" si="48"/>
        <v>Valid</v>
      </c>
      <c r="AJ202">
        <f t="shared" si="49"/>
        <v>0</v>
      </c>
      <c r="AK202">
        <f t="shared" si="50"/>
        <v>0</v>
      </c>
      <c r="AM202">
        <f t="shared" si="51"/>
        <v>0</v>
      </c>
      <c r="AN202">
        <f>IF(B202&lt;&gt;"Sensor Snapshot","",--(N202&gt;='02_Parameters'!$B$13))</f>
        <v>0</v>
      </c>
      <c r="AO202">
        <f>IF(B202&lt;&gt;"Sensor Snapshot","",--(AND(L202="PUMPING",ISNUMBER(AH202),AH202&lt;='02_Parameters'!$B$10)))</f>
        <v>0</v>
      </c>
      <c r="AP202" s="16"/>
      <c r="AQ202" s="16" t="str">
        <f t="shared" si="52"/>
        <v/>
      </c>
      <c r="AR202" s="16" t="str">
        <f t="shared" si="53"/>
        <v/>
      </c>
      <c r="AU202" t="s">
        <v>236</v>
      </c>
      <c r="AV202" t="s">
        <v>237</v>
      </c>
      <c r="AW202" s="3" t="s">
        <v>238</v>
      </c>
      <c r="AX202" s="3">
        <f t="shared" si="54"/>
        <v>100</v>
      </c>
      <c r="AY202" s="3" t="str">
        <f t="shared" si="55"/>
        <v>A</v>
      </c>
      <c r="AZ202" s="3" t="s">
        <v>386</v>
      </c>
      <c r="BA202" s="3"/>
    </row>
    <row r="203" spans="1:53" ht="27.6">
      <c r="A203" t="s">
        <v>503</v>
      </c>
      <c r="B203" t="s">
        <v>231</v>
      </c>
      <c r="C203" s="14">
        <v>533209</v>
      </c>
      <c r="D203" s="15">
        <f t="shared" si="42"/>
        <v>533.20899999999995</v>
      </c>
      <c r="E203" t="s">
        <v>232</v>
      </c>
      <c r="G203" t="s">
        <v>234</v>
      </c>
      <c r="H203" t="s">
        <v>235</v>
      </c>
      <c r="I203" s="3"/>
      <c r="J203" s="3"/>
      <c r="L203" t="s">
        <v>385</v>
      </c>
      <c r="M203">
        <f t="shared" si="43"/>
        <v>0</v>
      </c>
      <c r="N203">
        <v>0</v>
      </c>
      <c r="O203" s="16">
        <v>27.3</v>
      </c>
      <c r="P203" s="16">
        <f>IF(AND(ISNUMBER(O203),O203&lt;&gt;-1,O203&gt;='02_Parameters'!$B$18,O203&lt;='02_Parameters'!$B$19),O203,"")</f>
        <v>27.3</v>
      </c>
      <c r="Q203" s="16">
        <v>27.3</v>
      </c>
      <c r="R203" t="str">
        <f>IF(B203&lt;&gt;"Sensor Snapshot","",IF(O203="","Missing",IF(O203=-1,"Sensor failure sentinel (-1)",IF(OR(O203&lt;'02_Parameters'!$B$18,O203&gt;'02_Parameters'!$B$19),"Out of accepted range","Valid"))))</f>
        <v>Valid</v>
      </c>
      <c r="S203" s="16">
        <v>81.099999999999994</v>
      </c>
      <c r="T203" s="16">
        <f>IF(AND(ISNUMBER(S203),S203&lt;&gt;-1,S203&gt;='02_Parameters'!$B$20,S203&lt;='02_Parameters'!$B$21),S203,"")</f>
        <v>81.099999999999994</v>
      </c>
      <c r="U203" s="16">
        <v>81.099999999999994</v>
      </c>
      <c r="V203" t="str">
        <f>IF(B203&lt;&gt;"Sensor Snapshot","",IF(S203="","Missing",IF(S203=-1,"Sensor failure sentinel (-1)",IF(OR(S203&lt;'02_Parameters'!$B$20,S203&gt;'02_Parameters'!$B$21),"Out of accepted range","Valid"))))</f>
        <v>Valid</v>
      </c>
      <c r="W203" s="16">
        <v>-11.8</v>
      </c>
      <c r="X203" s="16">
        <f t="shared" si="44"/>
        <v>11.8</v>
      </c>
      <c r="Y203" t="str">
        <f t="shared" si="45"/>
        <v>Sign corrected to positive</v>
      </c>
      <c r="Z203" s="16"/>
      <c r="AA203">
        <v>1</v>
      </c>
      <c r="AB203">
        <f>IF(B203&lt;&gt;"Sensor Snapshot","",IF(ISNUMBER(AA203),--(AA203&lt;&gt;0),IF(ISNUMBER(Z203),--(Z203&lt;'02_Parameters'!$B$15),"")))</f>
        <v>1</v>
      </c>
      <c r="AC203">
        <f>IF(B203&lt;&gt;"Sensor Snapshot","",IF(ISNUMBER(X203),--(X203&gt;='02_Parameters'!$B$16),""))</f>
        <v>1</v>
      </c>
      <c r="AD203">
        <v>0</v>
      </c>
      <c r="AE203">
        <f t="shared" si="46"/>
        <v>1</v>
      </c>
      <c r="AF203" s="3" t="str">
        <f t="shared" si="47"/>
        <v>Derived: optical AND weight</v>
      </c>
      <c r="AG203" s="16">
        <v>0</v>
      </c>
      <c r="AH203" s="16">
        <f>IF(B203&lt;&gt;"Sensor Snapshot","",IF(ISNUMBER(AG203),IF(AG203&lt;0,"",IF(AG203&gt;10,AG203/'02_Parameters'!$B$17,AG203)),""))</f>
        <v>0</v>
      </c>
      <c r="AI203" t="str">
        <f t="shared" si="48"/>
        <v>Valid</v>
      </c>
      <c r="AJ203">
        <f t="shared" si="49"/>
        <v>0</v>
      </c>
      <c r="AK203">
        <f t="shared" si="50"/>
        <v>0</v>
      </c>
      <c r="AM203">
        <f t="shared" si="51"/>
        <v>0</v>
      </c>
      <c r="AN203">
        <f>IF(B203&lt;&gt;"Sensor Snapshot","",--(N203&gt;='02_Parameters'!$B$13))</f>
        <v>0</v>
      </c>
      <c r="AO203">
        <f>IF(B203&lt;&gt;"Sensor Snapshot","",--(AND(L203="PUMPING",ISNUMBER(AH203),AH203&lt;='02_Parameters'!$B$10)))</f>
        <v>0</v>
      </c>
      <c r="AP203" s="16"/>
      <c r="AQ203" s="16" t="str">
        <f t="shared" si="52"/>
        <v/>
      </c>
      <c r="AR203" s="16" t="str">
        <f t="shared" si="53"/>
        <v/>
      </c>
      <c r="AU203" t="s">
        <v>236</v>
      </c>
      <c r="AV203" t="s">
        <v>237</v>
      </c>
      <c r="AW203" s="3" t="s">
        <v>238</v>
      </c>
      <c r="AX203" s="3">
        <f t="shared" si="54"/>
        <v>100</v>
      </c>
      <c r="AY203" s="3" t="str">
        <f t="shared" si="55"/>
        <v>A</v>
      </c>
      <c r="AZ203" s="3" t="s">
        <v>386</v>
      </c>
      <c r="BA203" s="3"/>
    </row>
    <row r="204" spans="1:53" ht="27.6">
      <c r="A204" t="s">
        <v>504</v>
      </c>
      <c r="B204" t="s">
        <v>231</v>
      </c>
      <c r="C204" s="14">
        <v>538226</v>
      </c>
      <c r="D204" s="15">
        <f t="shared" si="42"/>
        <v>538.226</v>
      </c>
      <c r="E204" t="s">
        <v>232</v>
      </c>
      <c r="G204" t="s">
        <v>234</v>
      </c>
      <c r="H204" t="s">
        <v>235</v>
      </c>
      <c r="I204" s="3"/>
      <c r="J204" s="3"/>
      <c r="L204" t="s">
        <v>385</v>
      </c>
      <c r="M204">
        <f t="shared" si="43"/>
        <v>0</v>
      </c>
      <c r="N204">
        <v>0</v>
      </c>
      <c r="O204" s="16">
        <v>27.3</v>
      </c>
      <c r="P204" s="16">
        <f>IF(AND(ISNUMBER(O204),O204&lt;&gt;-1,O204&gt;='02_Parameters'!$B$18,O204&lt;='02_Parameters'!$B$19),O204,"")</f>
        <v>27.3</v>
      </c>
      <c r="Q204" s="16">
        <v>27.3</v>
      </c>
      <c r="R204" t="str">
        <f>IF(B204&lt;&gt;"Sensor Snapshot","",IF(O204="","Missing",IF(O204=-1,"Sensor failure sentinel (-1)",IF(OR(O204&lt;'02_Parameters'!$B$18,O204&gt;'02_Parameters'!$B$19),"Out of accepted range","Valid"))))</f>
        <v>Valid</v>
      </c>
      <c r="S204" s="16">
        <v>81</v>
      </c>
      <c r="T204" s="16">
        <f>IF(AND(ISNUMBER(S204),S204&lt;&gt;-1,S204&gt;='02_Parameters'!$B$20,S204&lt;='02_Parameters'!$B$21),S204,"")</f>
        <v>81</v>
      </c>
      <c r="U204" s="16">
        <v>81</v>
      </c>
      <c r="V204" t="str">
        <f>IF(B204&lt;&gt;"Sensor Snapshot","",IF(S204="","Missing",IF(S204=-1,"Sensor failure sentinel (-1)",IF(OR(S204&lt;'02_Parameters'!$B$20,S204&gt;'02_Parameters'!$B$21),"Out of accepted range","Valid"))))</f>
        <v>Valid</v>
      </c>
      <c r="W204" s="16">
        <v>-5.9</v>
      </c>
      <c r="X204" s="16">
        <f t="shared" si="44"/>
        <v>5.9</v>
      </c>
      <c r="Y204" t="str">
        <f t="shared" si="45"/>
        <v>Sign corrected to positive</v>
      </c>
      <c r="Z204" s="16"/>
      <c r="AA204">
        <v>1</v>
      </c>
      <c r="AB204">
        <f>IF(B204&lt;&gt;"Sensor Snapshot","",IF(ISNUMBER(AA204),--(AA204&lt;&gt;0),IF(ISNUMBER(Z204),--(Z204&lt;'02_Parameters'!$B$15),"")))</f>
        <v>1</v>
      </c>
      <c r="AC204">
        <f>IF(B204&lt;&gt;"Sensor Snapshot","",IF(ISNUMBER(X204),--(X204&gt;='02_Parameters'!$B$16),""))</f>
        <v>0</v>
      </c>
      <c r="AD204">
        <v>0</v>
      </c>
      <c r="AE204">
        <f t="shared" si="46"/>
        <v>0</v>
      </c>
      <c r="AF204" s="3" t="str">
        <f t="shared" si="47"/>
        <v>Partial detection only</v>
      </c>
      <c r="AG204" s="16">
        <v>0</v>
      </c>
      <c r="AH204" s="16">
        <f>IF(B204&lt;&gt;"Sensor Snapshot","",IF(ISNUMBER(AG204),IF(AG204&lt;0,"",IF(AG204&gt;10,AG204/'02_Parameters'!$B$17,AG204)),""))</f>
        <v>0</v>
      </c>
      <c r="AI204" t="str">
        <f t="shared" si="48"/>
        <v>Valid</v>
      </c>
      <c r="AJ204">
        <f t="shared" si="49"/>
        <v>0</v>
      </c>
      <c r="AK204">
        <f t="shared" si="50"/>
        <v>0</v>
      </c>
      <c r="AM204">
        <f t="shared" si="51"/>
        <v>0</v>
      </c>
      <c r="AN204">
        <f>IF(B204&lt;&gt;"Sensor Snapshot","",--(N204&gt;='02_Parameters'!$B$13))</f>
        <v>0</v>
      </c>
      <c r="AO204">
        <f>IF(B204&lt;&gt;"Sensor Snapshot","",--(AND(L204="PUMPING",ISNUMBER(AH204),AH204&lt;='02_Parameters'!$B$10)))</f>
        <v>0</v>
      </c>
      <c r="AP204" s="16"/>
      <c r="AQ204" s="16" t="str">
        <f t="shared" si="52"/>
        <v/>
      </c>
      <c r="AR204" s="16" t="str">
        <f t="shared" si="53"/>
        <v/>
      </c>
      <c r="AU204" t="s">
        <v>236</v>
      </c>
      <c r="AV204" t="s">
        <v>237</v>
      </c>
      <c r="AW204" s="3" t="s">
        <v>238</v>
      </c>
      <c r="AX204" s="3">
        <f t="shared" si="54"/>
        <v>100</v>
      </c>
      <c r="AY204" s="3" t="str">
        <f t="shared" si="55"/>
        <v>A</v>
      </c>
      <c r="AZ204" s="3" t="s">
        <v>386</v>
      </c>
      <c r="BA204" s="3"/>
    </row>
    <row r="205" spans="1:53" ht="27.6">
      <c r="A205" t="s">
        <v>505</v>
      </c>
      <c r="B205" t="s">
        <v>231</v>
      </c>
      <c r="C205" s="14">
        <v>543245</v>
      </c>
      <c r="D205" s="15">
        <f t="shared" si="42"/>
        <v>543.245</v>
      </c>
      <c r="E205" t="s">
        <v>232</v>
      </c>
      <c r="G205" t="s">
        <v>234</v>
      </c>
      <c r="H205" t="s">
        <v>235</v>
      </c>
      <c r="I205" s="3"/>
      <c r="J205" s="3"/>
      <c r="L205" t="s">
        <v>385</v>
      </c>
      <c r="M205">
        <f t="shared" si="43"/>
        <v>0</v>
      </c>
      <c r="N205">
        <v>0</v>
      </c>
      <c r="O205" s="16">
        <v>27.3</v>
      </c>
      <c r="P205" s="16">
        <f>IF(AND(ISNUMBER(O205),O205&lt;&gt;-1,O205&gt;='02_Parameters'!$B$18,O205&lt;='02_Parameters'!$B$19),O205,"")</f>
        <v>27.3</v>
      </c>
      <c r="Q205" s="16">
        <v>27.3</v>
      </c>
      <c r="R205" t="str">
        <f>IF(B205&lt;&gt;"Sensor Snapshot","",IF(O205="","Missing",IF(O205=-1,"Sensor failure sentinel (-1)",IF(OR(O205&lt;'02_Parameters'!$B$18,O205&gt;'02_Parameters'!$B$19),"Out of accepted range","Valid"))))</f>
        <v>Valid</v>
      </c>
      <c r="S205" s="16">
        <v>81</v>
      </c>
      <c r="T205" s="16">
        <f>IF(AND(ISNUMBER(S205),S205&lt;&gt;-1,S205&gt;='02_Parameters'!$B$20,S205&lt;='02_Parameters'!$B$21),S205,"")</f>
        <v>81</v>
      </c>
      <c r="U205" s="16">
        <v>81</v>
      </c>
      <c r="V205" t="str">
        <f>IF(B205&lt;&gt;"Sensor Snapshot","",IF(S205="","Missing",IF(S205=-1,"Sensor failure sentinel (-1)",IF(OR(S205&lt;'02_Parameters'!$B$20,S205&gt;'02_Parameters'!$B$21),"Out of accepted range","Valid"))))</f>
        <v>Valid</v>
      </c>
      <c r="W205" s="16">
        <v>-4.7</v>
      </c>
      <c r="X205" s="16">
        <f t="shared" si="44"/>
        <v>4.7</v>
      </c>
      <c r="Y205" t="str">
        <f t="shared" si="45"/>
        <v>Sign corrected to positive</v>
      </c>
      <c r="Z205" s="16"/>
      <c r="AA205">
        <v>1</v>
      </c>
      <c r="AB205">
        <f>IF(B205&lt;&gt;"Sensor Snapshot","",IF(ISNUMBER(AA205),--(AA205&lt;&gt;0),IF(ISNUMBER(Z205),--(Z205&lt;'02_Parameters'!$B$15),"")))</f>
        <v>1</v>
      </c>
      <c r="AC205">
        <f>IF(B205&lt;&gt;"Sensor Snapshot","",IF(ISNUMBER(X205),--(X205&gt;='02_Parameters'!$B$16),""))</f>
        <v>0</v>
      </c>
      <c r="AD205">
        <v>0</v>
      </c>
      <c r="AE205">
        <f t="shared" si="46"/>
        <v>0</v>
      </c>
      <c r="AF205" s="3" t="str">
        <f t="shared" si="47"/>
        <v>Partial detection only</v>
      </c>
      <c r="AG205" s="16">
        <v>0</v>
      </c>
      <c r="AH205" s="16">
        <f>IF(B205&lt;&gt;"Sensor Snapshot","",IF(ISNUMBER(AG205),IF(AG205&lt;0,"",IF(AG205&gt;10,AG205/'02_Parameters'!$B$17,AG205)),""))</f>
        <v>0</v>
      </c>
      <c r="AI205" t="str">
        <f t="shared" si="48"/>
        <v>Valid</v>
      </c>
      <c r="AJ205">
        <f t="shared" si="49"/>
        <v>0</v>
      </c>
      <c r="AK205">
        <f t="shared" si="50"/>
        <v>0</v>
      </c>
      <c r="AM205">
        <f t="shared" si="51"/>
        <v>0</v>
      </c>
      <c r="AN205">
        <f>IF(B205&lt;&gt;"Sensor Snapshot","",--(N205&gt;='02_Parameters'!$B$13))</f>
        <v>0</v>
      </c>
      <c r="AO205">
        <f>IF(B205&lt;&gt;"Sensor Snapshot","",--(AND(L205="PUMPING",ISNUMBER(AH205),AH205&lt;='02_Parameters'!$B$10)))</f>
        <v>0</v>
      </c>
      <c r="AP205" s="16"/>
      <c r="AQ205" s="16" t="str">
        <f t="shared" si="52"/>
        <v/>
      </c>
      <c r="AR205" s="16" t="str">
        <f t="shared" si="53"/>
        <v/>
      </c>
      <c r="AU205" t="s">
        <v>236</v>
      </c>
      <c r="AV205" t="s">
        <v>237</v>
      </c>
      <c r="AW205" s="3" t="s">
        <v>238</v>
      </c>
      <c r="AX205" s="3">
        <f t="shared" si="54"/>
        <v>100</v>
      </c>
      <c r="AY205" s="3" t="str">
        <f t="shared" si="55"/>
        <v>A</v>
      </c>
      <c r="AZ205" s="3" t="s">
        <v>386</v>
      </c>
      <c r="BA205" s="3"/>
    </row>
    <row r="206" spans="1:53" ht="27.6">
      <c r="A206" t="s">
        <v>506</v>
      </c>
      <c r="B206" t="s">
        <v>231</v>
      </c>
      <c r="C206" s="14">
        <v>548264</v>
      </c>
      <c r="D206" s="15">
        <f t="shared" si="42"/>
        <v>548.26400000000001</v>
      </c>
      <c r="E206" t="s">
        <v>232</v>
      </c>
      <c r="G206" t="s">
        <v>234</v>
      </c>
      <c r="H206" t="s">
        <v>235</v>
      </c>
      <c r="I206" s="3"/>
      <c r="J206" s="3"/>
      <c r="L206" t="s">
        <v>385</v>
      </c>
      <c r="M206">
        <f t="shared" si="43"/>
        <v>0</v>
      </c>
      <c r="N206">
        <v>0</v>
      </c>
      <c r="O206" s="16">
        <v>27.3</v>
      </c>
      <c r="P206" s="16">
        <f>IF(AND(ISNUMBER(O206),O206&lt;&gt;-1,O206&gt;='02_Parameters'!$B$18,O206&lt;='02_Parameters'!$B$19),O206,"")</f>
        <v>27.3</v>
      </c>
      <c r="Q206" s="16">
        <v>27.3</v>
      </c>
      <c r="R206" t="str">
        <f>IF(B206&lt;&gt;"Sensor Snapshot","",IF(O206="","Missing",IF(O206=-1,"Sensor failure sentinel (-1)",IF(OR(O206&lt;'02_Parameters'!$B$18,O206&gt;'02_Parameters'!$B$19),"Out of accepted range","Valid"))))</f>
        <v>Valid</v>
      </c>
      <c r="S206" s="16">
        <v>81</v>
      </c>
      <c r="T206" s="16">
        <f>IF(AND(ISNUMBER(S206),S206&lt;&gt;-1,S206&gt;='02_Parameters'!$B$20,S206&lt;='02_Parameters'!$B$21),S206,"")</f>
        <v>81</v>
      </c>
      <c r="U206" s="16">
        <v>81</v>
      </c>
      <c r="V206" t="str">
        <f>IF(B206&lt;&gt;"Sensor Snapshot","",IF(S206="","Missing",IF(S206=-1,"Sensor failure sentinel (-1)",IF(OR(S206&lt;'02_Parameters'!$B$20,S206&gt;'02_Parameters'!$B$21),"Out of accepted range","Valid"))))</f>
        <v>Valid</v>
      </c>
      <c r="W206" s="16">
        <v>-4.0999999999999996</v>
      </c>
      <c r="X206" s="16">
        <f t="shared" si="44"/>
        <v>4.0999999999999996</v>
      </c>
      <c r="Y206" t="str">
        <f t="shared" si="45"/>
        <v>Sign corrected to positive</v>
      </c>
      <c r="Z206" s="16"/>
      <c r="AA206">
        <v>1</v>
      </c>
      <c r="AB206">
        <f>IF(B206&lt;&gt;"Sensor Snapshot","",IF(ISNUMBER(AA206),--(AA206&lt;&gt;0),IF(ISNUMBER(Z206),--(Z206&lt;'02_Parameters'!$B$15),"")))</f>
        <v>1</v>
      </c>
      <c r="AC206">
        <f>IF(B206&lt;&gt;"Sensor Snapshot","",IF(ISNUMBER(X206),--(X206&gt;='02_Parameters'!$B$16),""))</f>
        <v>0</v>
      </c>
      <c r="AD206">
        <v>1</v>
      </c>
      <c r="AE206">
        <f t="shared" si="46"/>
        <v>1</v>
      </c>
      <c r="AF206" s="3" t="str">
        <f t="shared" si="47"/>
        <v>Logged dual-sensor event</v>
      </c>
      <c r="AG206" s="16">
        <v>0</v>
      </c>
      <c r="AH206" s="16">
        <f>IF(B206&lt;&gt;"Sensor Snapshot","",IF(ISNUMBER(AG206),IF(AG206&lt;0,"",IF(AG206&gt;10,AG206/'02_Parameters'!$B$17,AG206)),""))</f>
        <v>0</v>
      </c>
      <c r="AI206" t="str">
        <f t="shared" si="48"/>
        <v>Valid</v>
      </c>
      <c r="AJ206">
        <f t="shared" si="49"/>
        <v>0</v>
      </c>
      <c r="AK206">
        <f t="shared" si="50"/>
        <v>0</v>
      </c>
      <c r="AM206">
        <f t="shared" si="51"/>
        <v>0</v>
      </c>
      <c r="AN206">
        <f>IF(B206&lt;&gt;"Sensor Snapshot","",--(N206&gt;='02_Parameters'!$B$13))</f>
        <v>0</v>
      </c>
      <c r="AO206">
        <f>IF(B206&lt;&gt;"Sensor Snapshot","",--(AND(L206="PUMPING",ISNUMBER(AH206),AH206&lt;='02_Parameters'!$B$10)))</f>
        <v>0</v>
      </c>
      <c r="AP206" s="16"/>
      <c r="AQ206" s="16" t="str">
        <f t="shared" si="52"/>
        <v/>
      </c>
      <c r="AR206" s="16" t="str">
        <f t="shared" si="53"/>
        <v/>
      </c>
      <c r="AU206" t="s">
        <v>236</v>
      </c>
      <c r="AV206" t="s">
        <v>237</v>
      </c>
      <c r="AW206" s="3" t="s">
        <v>238</v>
      </c>
      <c r="AX206" s="3">
        <f t="shared" si="54"/>
        <v>100</v>
      </c>
      <c r="AY206" s="3" t="str">
        <f t="shared" si="55"/>
        <v>A</v>
      </c>
      <c r="AZ206" s="3" t="s">
        <v>386</v>
      </c>
      <c r="BA206" s="3" t="s">
        <v>433</v>
      </c>
    </row>
    <row r="207" spans="1:53" ht="27.6">
      <c r="A207" t="s">
        <v>507</v>
      </c>
      <c r="B207" t="s">
        <v>242</v>
      </c>
      <c r="C207" s="14">
        <v>548264</v>
      </c>
      <c r="D207" s="15">
        <f t="shared" si="42"/>
        <v>548.26400000000001</v>
      </c>
      <c r="E207" t="s">
        <v>232</v>
      </c>
      <c r="G207" t="s">
        <v>91</v>
      </c>
      <c r="H207" t="s">
        <v>374</v>
      </c>
      <c r="I207" s="3" t="s">
        <v>435</v>
      </c>
      <c r="J207" s="3" t="s">
        <v>436</v>
      </c>
      <c r="L207" t="s">
        <v>385</v>
      </c>
      <c r="M207">
        <f t="shared" si="43"/>
        <v>0</v>
      </c>
      <c r="O207" s="16"/>
      <c r="P207" s="16" t="str">
        <f>IF(AND(ISNUMBER(O207),O207&lt;&gt;-1,O207&gt;='02_Parameters'!$B$18,O207&lt;='02_Parameters'!$B$19),O207,"")</f>
        <v/>
      </c>
      <c r="Q207" s="16"/>
      <c r="R207" t="str">
        <f>IF(B207&lt;&gt;"Sensor Snapshot","",IF(O207="","Missing",IF(O207=-1,"Sensor failure sentinel (-1)",IF(OR(O207&lt;'02_Parameters'!$B$18,O207&gt;'02_Parameters'!$B$19),"Out of accepted range","Valid"))))</f>
        <v/>
      </c>
      <c r="S207" s="16"/>
      <c r="T207" s="16" t="str">
        <f>IF(AND(ISNUMBER(S207),S207&lt;&gt;-1,S207&gt;='02_Parameters'!$B$20,S207&lt;='02_Parameters'!$B$21),S207,"")</f>
        <v/>
      </c>
      <c r="U207" s="16"/>
      <c r="V207" t="str">
        <f>IF(B207&lt;&gt;"Sensor Snapshot","",IF(S207="","Missing",IF(S207=-1,"Sensor failure sentinel (-1)",IF(OR(S207&lt;'02_Parameters'!$B$20,S207&gt;'02_Parameters'!$B$21),"Out of accepted range","Valid"))))</f>
        <v/>
      </c>
      <c r="W207" s="16"/>
      <c r="X207" s="16" t="str">
        <f t="shared" si="44"/>
        <v/>
      </c>
      <c r="Y207" t="str">
        <f t="shared" si="45"/>
        <v/>
      </c>
      <c r="Z207" s="16"/>
      <c r="AB207" t="str">
        <f>IF(B207&lt;&gt;"Sensor Snapshot","",IF(ISNUMBER(AA207),--(AA207&lt;&gt;0),IF(ISNUMBER(Z207),--(Z207&lt;'02_Parameters'!$B$15),"")))</f>
        <v/>
      </c>
      <c r="AC207" t="str">
        <f>IF(B207&lt;&gt;"Sensor Snapshot","",IF(ISNUMBER(X207),--(X207&gt;='02_Parameters'!$B$16),""))</f>
        <v/>
      </c>
      <c r="AD207">
        <v>1</v>
      </c>
      <c r="AE207" t="str">
        <f t="shared" si="46"/>
        <v/>
      </c>
      <c r="AF207" s="3" t="str">
        <f t="shared" si="47"/>
        <v/>
      </c>
      <c r="AG207" s="16"/>
      <c r="AH207" s="16" t="str">
        <f>IF(B207&lt;&gt;"Sensor Snapshot","",IF(ISNUMBER(AG207),IF(AG207&lt;0,"",IF(AG207&gt;10,AG207/'02_Parameters'!$B$17,AG207)),""))</f>
        <v/>
      </c>
      <c r="AI207" t="str">
        <f t="shared" si="48"/>
        <v/>
      </c>
      <c r="AJ207" t="str">
        <f t="shared" si="49"/>
        <v/>
      </c>
      <c r="AK207" t="str">
        <f t="shared" si="50"/>
        <v/>
      </c>
      <c r="AM207" t="str">
        <f t="shared" si="51"/>
        <v/>
      </c>
      <c r="AN207" t="str">
        <f>IF(B207&lt;&gt;"Sensor Snapshot","",--(N207&gt;='02_Parameters'!$B$13))</f>
        <v/>
      </c>
      <c r="AO207" t="str">
        <f>IF(B207&lt;&gt;"Sensor Snapshot","",--(AND(L207="PUMPING",ISNUMBER(AH207),AH207&lt;='02_Parameters'!$B$10)))</f>
        <v/>
      </c>
      <c r="AP207" s="16"/>
      <c r="AQ207" s="16" t="str">
        <f t="shared" si="52"/>
        <v/>
      </c>
      <c r="AR207" s="16" t="str">
        <f t="shared" si="53"/>
        <v/>
      </c>
      <c r="AW207" s="3" t="s">
        <v>377</v>
      </c>
      <c r="AX207" s="3" t="str">
        <f t="shared" si="54"/>
        <v/>
      </c>
      <c r="AY207" s="3" t="str">
        <f t="shared" si="55"/>
        <v/>
      </c>
      <c r="AZ207" s="3" t="s">
        <v>437</v>
      </c>
      <c r="BA207" s="3"/>
    </row>
    <row r="208" spans="1:53" ht="27.6">
      <c r="A208" t="s">
        <v>508</v>
      </c>
      <c r="B208" t="s">
        <v>242</v>
      </c>
      <c r="C208" s="14">
        <v>548264</v>
      </c>
      <c r="D208" s="15">
        <f t="shared" si="42"/>
        <v>548.26400000000001</v>
      </c>
      <c r="E208" t="s">
        <v>232</v>
      </c>
      <c r="G208" t="s">
        <v>91</v>
      </c>
      <c r="H208" t="s">
        <v>374</v>
      </c>
      <c r="I208" s="3" t="s">
        <v>439</v>
      </c>
      <c r="J208" s="3" t="s">
        <v>440</v>
      </c>
      <c r="L208" t="s">
        <v>385</v>
      </c>
      <c r="M208">
        <f t="shared" si="43"/>
        <v>0</v>
      </c>
      <c r="O208" s="16"/>
      <c r="P208" s="16" t="str">
        <f>IF(AND(ISNUMBER(O208),O208&lt;&gt;-1,O208&gt;='02_Parameters'!$B$18,O208&lt;='02_Parameters'!$B$19),O208,"")</f>
        <v/>
      </c>
      <c r="Q208" s="16"/>
      <c r="R208" t="str">
        <f>IF(B208&lt;&gt;"Sensor Snapshot","",IF(O208="","Missing",IF(O208=-1,"Sensor failure sentinel (-1)",IF(OR(O208&lt;'02_Parameters'!$B$18,O208&gt;'02_Parameters'!$B$19),"Out of accepted range","Valid"))))</f>
        <v/>
      </c>
      <c r="S208" s="16"/>
      <c r="T208" s="16" t="str">
        <f>IF(AND(ISNUMBER(S208),S208&lt;&gt;-1,S208&gt;='02_Parameters'!$B$20,S208&lt;='02_Parameters'!$B$21),S208,"")</f>
        <v/>
      </c>
      <c r="U208" s="16"/>
      <c r="V208" t="str">
        <f>IF(B208&lt;&gt;"Sensor Snapshot","",IF(S208="","Missing",IF(S208=-1,"Sensor failure sentinel (-1)",IF(OR(S208&lt;'02_Parameters'!$B$20,S208&gt;'02_Parameters'!$B$21),"Out of accepted range","Valid"))))</f>
        <v/>
      </c>
      <c r="W208" s="16"/>
      <c r="X208" s="16" t="str">
        <f t="shared" si="44"/>
        <v/>
      </c>
      <c r="Y208" t="str">
        <f t="shared" si="45"/>
        <v/>
      </c>
      <c r="Z208" s="16"/>
      <c r="AB208" t="str">
        <f>IF(B208&lt;&gt;"Sensor Snapshot","",IF(ISNUMBER(AA208),--(AA208&lt;&gt;0),IF(ISNUMBER(Z208),--(Z208&lt;'02_Parameters'!$B$15),"")))</f>
        <v/>
      </c>
      <c r="AC208" t="str">
        <f>IF(B208&lt;&gt;"Sensor Snapshot","",IF(ISNUMBER(X208),--(X208&gt;='02_Parameters'!$B$16),""))</f>
        <v/>
      </c>
      <c r="AD208">
        <v>0</v>
      </c>
      <c r="AE208" t="str">
        <f t="shared" si="46"/>
        <v/>
      </c>
      <c r="AF208" s="3" t="str">
        <f t="shared" si="47"/>
        <v/>
      </c>
      <c r="AG208" s="16"/>
      <c r="AH208" s="16" t="str">
        <f>IF(B208&lt;&gt;"Sensor Snapshot","",IF(ISNUMBER(AG208),IF(AG208&lt;0,"",IF(AG208&gt;10,AG208/'02_Parameters'!$B$17,AG208)),""))</f>
        <v/>
      </c>
      <c r="AI208" t="str">
        <f t="shared" si="48"/>
        <v/>
      </c>
      <c r="AJ208" t="str">
        <f t="shared" si="49"/>
        <v/>
      </c>
      <c r="AK208" t="str">
        <f t="shared" si="50"/>
        <v/>
      </c>
      <c r="AM208" t="str">
        <f t="shared" si="51"/>
        <v/>
      </c>
      <c r="AN208" t="str">
        <f>IF(B208&lt;&gt;"Sensor Snapshot","",--(N208&gt;='02_Parameters'!$B$13))</f>
        <v/>
      </c>
      <c r="AO208" t="str">
        <f>IF(B208&lt;&gt;"Sensor Snapshot","",--(AND(L208="PUMPING",ISNUMBER(AH208),AH208&lt;='02_Parameters'!$B$10)))</f>
        <v/>
      </c>
      <c r="AP208" s="16"/>
      <c r="AQ208" s="16" t="str">
        <f t="shared" si="52"/>
        <v/>
      </c>
      <c r="AR208" s="16" t="str">
        <f t="shared" si="53"/>
        <v/>
      </c>
      <c r="AW208" s="3" t="s">
        <v>377</v>
      </c>
      <c r="AX208" s="3" t="str">
        <f t="shared" si="54"/>
        <v/>
      </c>
      <c r="AY208" s="3" t="str">
        <f t="shared" si="55"/>
        <v/>
      </c>
      <c r="AZ208" s="3" t="s">
        <v>247</v>
      </c>
      <c r="BA208" s="3"/>
    </row>
    <row r="209" spans="1:53" ht="27.6">
      <c r="A209" t="s">
        <v>509</v>
      </c>
      <c r="B209" t="s">
        <v>231</v>
      </c>
      <c r="C209" s="14">
        <v>564671</v>
      </c>
      <c r="D209" s="15">
        <f t="shared" si="42"/>
        <v>564.67100000000005</v>
      </c>
      <c r="E209" t="s">
        <v>232</v>
      </c>
      <c r="G209" t="s">
        <v>234</v>
      </c>
      <c r="H209" t="s">
        <v>235</v>
      </c>
      <c r="I209" s="3"/>
      <c r="J209" s="3"/>
      <c r="L209" t="s">
        <v>385</v>
      </c>
      <c r="M209">
        <f t="shared" si="43"/>
        <v>0</v>
      </c>
      <c r="N209">
        <v>0</v>
      </c>
      <c r="O209" s="16">
        <v>27.3</v>
      </c>
      <c r="P209" s="16">
        <f>IF(AND(ISNUMBER(O209),O209&lt;&gt;-1,O209&gt;='02_Parameters'!$B$18,O209&lt;='02_Parameters'!$B$19),O209,"")</f>
        <v>27.3</v>
      </c>
      <c r="Q209" s="16">
        <v>27.3</v>
      </c>
      <c r="R209" t="str">
        <f>IF(B209&lt;&gt;"Sensor Snapshot","",IF(O209="","Missing",IF(O209=-1,"Sensor failure sentinel (-1)",IF(OR(O209&lt;'02_Parameters'!$B$18,O209&gt;'02_Parameters'!$B$19),"Out of accepted range","Valid"))))</f>
        <v>Valid</v>
      </c>
      <c r="S209" s="16">
        <v>81.099999999999994</v>
      </c>
      <c r="T209" s="16">
        <f>IF(AND(ISNUMBER(S209),S209&lt;&gt;-1,S209&gt;='02_Parameters'!$B$20,S209&lt;='02_Parameters'!$B$21),S209,"")</f>
        <v>81.099999999999994</v>
      </c>
      <c r="U209" s="16">
        <v>81.099999999999994</v>
      </c>
      <c r="V209" t="str">
        <f>IF(B209&lt;&gt;"Sensor Snapshot","",IF(S209="","Missing",IF(S209=-1,"Sensor failure sentinel (-1)",IF(OR(S209&lt;'02_Parameters'!$B$20,S209&gt;'02_Parameters'!$B$21),"Out of accepted range","Valid"))))</f>
        <v>Valid</v>
      </c>
      <c r="W209" s="16">
        <v>11</v>
      </c>
      <c r="X209" s="16">
        <f t="shared" si="44"/>
        <v>11</v>
      </c>
      <c r="Y209" t="str">
        <f t="shared" si="45"/>
        <v>Valid</v>
      </c>
      <c r="Z209" s="16"/>
      <c r="AA209">
        <v>1</v>
      </c>
      <c r="AB209">
        <f>IF(B209&lt;&gt;"Sensor Snapshot","",IF(ISNUMBER(AA209),--(AA209&lt;&gt;0),IF(ISNUMBER(Z209),--(Z209&lt;'02_Parameters'!$B$15),"")))</f>
        <v>1</v>
      </c>
      <c r="AC209">
        <f>IF(B209&lt;&gt;"Sensor Snapshot","",IF(ISNUMBER(X209),--(X209&gt;='02_Parameters'!$B$16),""))</f>
        <v>1</v>
      </c>
      <c r="AD209">
        <v>0</v>
      </c>
      <c r="AE209">
        <f t="shared" si="46"/>
        <v>1</v>
      </c>
      <c r="AF209" s="3" t="str">
        <f t="shared" si="47"/>
        <v>Derived: optical AND weight</v>
      </c>
      <c r="AG209" s="16">
        <v>0</v>
      </c>
      <c r="AH209" s="16">
        <f>IF(B209&lt;&gt;"Sensor Snapshot","",IF(ISNUMBER(AG209),IF(AG209&lt;0,"",IF(AG209&gt;10,AG209/'02_Parameters'!$B$17,AG209)),""))</f>
        <v>0</v>
      </c>
      <c r="AI209" t="str">
        <f t="shared" si="48"/>
        <v>Valid</v>
      </c>
      <c r="AJ209">
        <f t="shared" si="49"/>
        <v>0</v>
      </c>
      <c r="AK209">
        <f t="shared" si="50"/>
        <v>0</v>
      </c>
      <c r="AM209">
        <f t="shared" si="51"/>
        <v>0</v>
      </c>
      <c r="AN209">
        <f>IF(B209&lt;&gt;"Sensor Snapshot","",--(N209&gt;='02_Parameters'!$B$13))</f>
        <v>0</v>
      </c>
      <c r="AO209">
        <f>IF(B209&lt;&gt;"Sensor Snapshot","",--(AND(L209="PUMPING",ISNUMBER(AH209),AH209&lt;='02_Parameters'!$B$10)))</f>
        <v>0</v>
      </c>
      <c r="AP209" s="16"/>
      <c r="AQ209" s="16" t="str">
        <f t="shared" si="52"/>
        <v/>
      </c>
      <c r="AR209" s="16" t="str">
        <f t="shared" si="53"/>
        <v/>
      </c>
      <c r="AU209" t="s">
        <v>236</v>
      </c>
      <c r="AV209" t="s">
        <v>237</v>
      </c>
      <c r="AW209" s="3" t="s">
        <v>257</v>
      </c>
      <c r="AX209" s="3">
        <f t="shared" si="54"/>
        <v>100</v>
      </c>
      <c r="AY209" s="3" t="str">
        <f t="shared" si="55"/>
        <v>A</v>
      </c>
      <c r="AZ209" s="3" t="s">
        <v>386</v>
      </c>
      <c r="BA209" s="3"/>
    </row>
    <row r="210" spans="1:53" ht="27.6">
      <c r="A210" t="s">
        <v>510</v>
      </c>
      <c r="B210" t="s">
        <v>231</v>
      </c>
      <c r="C210" s="14">
        <v>569830</v>
      </c>
      <c r="D210" s="15">
        <f t="shared" si="42"/>
        <v>569.83000000000004</v>
      </c>
      <c r="E210" t="s">
        <v>232</v>
      </c>
      <c r="G210" t="s">
        <v>234</v>
      </c>
      <c r="H210" t="s">
        <v>235</v>
      </c>
      <c r="I210" s="3"/>
      <c r="J210" s="3"/>
      <c r="L210" t="s">
        <v>385</v>
      </c>
      <c r="M210">
        <f t="shared" si="43"/>
        <v>0</v>
      </c>
      <c r="N210">
        <v>0</v>
      </c>
      <c r="O210" s="16">
        <v>27.3</v>
      </c>
      <c r="P210" s="16">
        <f>IF(AND(ISNUMBER(O210),O210&lt;&gt;-1,O210&gt;='02_Parameters'!$B$18,O210&lt;='02_Parameters'!$B$19),O210,"")</f>
        <v>27.3</v>
      </c>
      <c r="Q210" s="16">
        <v>27.3</v>
      </c>
      <c r="R210" t="str">
        <f>IF(B210&lt;&gt;"Sensor Snapshot","",IF(O210="","Missing",IF(O210=-1,"Sensor failure sentinel (-1)",IF(OR(O210&lt;'02_Parameters'!$B$18,O210&gt;'02_Parameters'!$B$19),"Out of accepted range","Valid"))))</f>
        <v>Valid</v>
      </c>
      <c r="S210" s="16">
        <v>81.3</v>
      </c>
      <c r="T210" s="16">
        <f>IF(AND(ISNUMBER(S210),S210&lt;&gt;-1,S210&gt;='02_Parameters'!$B$20,S210&lt;='02_Parameters'!$B$21),S210,"")</f>
        <v>81.3</v>
      </c>
      <c r="U210" s="16">
        <v>81.3</v>
      </c>
      <c r="V210" t="str">
        <f>IF(B210&lt;&gt;"Sensor Snapshot","",IF(S210="","Missing",IF(S210=-1,"Sensor failure sentinel (-1)",IF(OR(S210&lt;'02_Parameters'!$B$20,S210&gt;'02_Parameters'!$B$21),"Out of accepted range","Valid"))))</f>
        <v>Valid</v>
      </c>
      <c r="W210" s="16">
        <v>-3.9</v>
      </c>
      <c r="X210" s="16">
        <f t="shared" si="44"/>
        <v>3.9</v>
      </c>
      <c r="Y210" t="str">
        <f t="shared" si="45"/>
        <v>Sign corrected to positive</v>
      </c>
      <c r="Z210" s="16"/>
      <c r="AA210">
        <v>1</v>
      </c>
      <c r="AB210">
        <f>IF(B210&lt;&gt;"Sensor Snapshot","",IF(ISNUMBER(AA210),--(AA210&lt;&gt;0),IF(ISNUMBER(Z210),--(Z210&lt;'02_Parameters'!$B$15),"")))</f>
        <v>1</v>
      </c>
      <c r="AC210">
        <f>IF(B210&lt;&gt;"Sensor Snapshot","",IF(ISNUMBER(X210),--(X210&gt;='02_Parameters'!$B$16),""))</f>
        <v>0</v>
      </c>
      <c r="AD210">
        <v>0</v>
      </c>
      <c r="AE210">
        <f t="shared" si="46"/>
        <v>0</v>
      </c>
      <c r="AF210" s="3" t="str">
        <f t="shared" si="47"/>
        <v>Partial detection only</v>
      </c>
      <c r="AG210" s="16">
        <v>0</v>
      </c>
      <c r="AH210" s="16">
        <f>IF(B210&lt;&gt;"Sensor Snapshot","",IF(ISNUMBER(AG210),IF(AG210&lt;0,"",IF(AG210&gt;10,AG210/'02_Parameters'!$B$17,AG210)),""))</f>
        <v>0</v>
      </c>
      <c r="AI210" t="str">
        <f t="shared" si="48"/>
        <v>Valid</v>
      </c>
      <c r="AJ210">
        <f t="shared" si="49"/>
        <v>0</v>
      </c>
      <c r="AK210">
        <f t="shared" si="50"/>
        <v>0</v>
      </c>
      <c r="AM210">
        <f t="shared" si="51"/>
        <v>0</v>
      </c>
      <c r="AN210">
        <f>IF(B210&lt;&gt;"Sensor Snapshot","",--(N210&gt;='02_Parameters'!$B$13))</f>
        <v>0</v>
      </c>
      <c r="AO210">
        <f>IF(B210&lt;&gt;"Sensor Snapshot","",--(AND(L210="PUMPING",ISNUMBER(AH210),AH210&lt;='02_Parameters'!$B$10)))</f>
        <v>0</v>
      </c>
      <c r="AP210" s="16"/>
      <c r="AQ210" s="16" t="str">
        <f t="shared" si="52"/>
        <v/>
      </c>
      <c r="AR210" s="16" t="str">
        <f t="shared" si="53"/>
        <v/>
      </c>
      <c r="AU210" t="s">
        <v>236</v>
      </c>
      <c r="AV210" t="s">
        <v>237</v>
      </c>
      <c r="AW210" s="3" t="s">
        <v>238</v>
      </c>
      <c r="AX210" s="3">
        <f t="shared" si="54"/>
        <v>100</v>
      </c>
      <c r="AY210" s="3" t="str">
        <f t="shared" si="55"/>
        <v>A</v>
      </c>
      <c r="AZ210" s="3" t="s">
        <v>386</v>
      </c>
      <c r="BA210" s="3"/>
    </row>
    <row r="211" spans="1:53" ht="27.6">
      <c r="A211" t="s">
        <v>511</v>
      </c>
      <c r="B211" t="s">
        <v>231</v>
      </c>
      <c r="C211" s="14">
        <v>574849</v>
      </c>
      <c r="D211" s="15">
        <f t="shared" si="42"/>
        <v>574.84900000000005</v>
      </c>
      <c r="E211" t="s">
        <v>232</v>
      </c>
      <c r="G211" t="s">
        <v>234</v>
      </c>
      <c r="H211" t="s">
        <v>235</v>
      </c>
      <c r="I211" s="3"/>
      <c r="J211" s="3"/>
      <c r="L211" t="s">
        <v>385</v>
      </c>
      <c r="M211">
        <f t="shared" si="43"/>
        <v>0</v>
      </c>
      <c r="N211">
        <v>0</v>
      </c>
      <c r="O211" s="16">
        <v>27.3</v>
      </c>
      <c r="P211" s="16">
        <f>IF(AND(ISNUMBER(O211),O211&lt;&gt;-1,O211&gt;='02_Parameters'!$B$18,O211&lt;='02_Parameters'!$B$19),O211,"")</f>
        <v>27.3</v>
      </c>
      <c r="Q211" s="16">
        <v>27.3</v>
      </c>
      <c r="R211" t="str">
        <f>IF(B211&lt;&gt;"Sensor Snapshot","",IF(O211="","Missing",IF(O211=-1,"Sensor failure sentinel (-1)",IF(OR(O211&lt;'02_Parameters'!$B$18,O211&gt;'02_Parameters'!$B$19),"Out of accepted range","Valid"))))</f>
        <v>Valid</v>
      </c>
      <c r="S211" s="16">
        <v>81.3</v>
      </c>
      <c r="T211" s="16">
        <f>IF(AND(ISNUMBER(S211),S211&lt;&gt;-1,S211&gt;='02_Parameters'!$B$20,S211&lt;='02_Parameters'!$B$21),S211,"")</f>
        <v>81.3</v>
      </c>
      <c r="U211" s="16">
        <v>81.3</v>
      </c>
      <c r="V211" t="str">
        <f>IF(B211&lt;&gt;"Sensor Snapshot","",IF(S211="","Missing",IF(S211=-1,"Sensor failure sentinel (-1)",IF(OR(S211&lt;'02_Parameters'!$B$20,S211&gt;'02_Parameters'!$B$21),"Out of accepted range","Valid"))))</f>
        <v>Valid</v>
      </c>
      <c r="W211" s="16">
        <v>-3.7</v>
      </c>
      <c r="X211" s="16">
        <f t="shared" si="44"/>
        <v>3.7</v>
      </c>
      <c r="Y211" t="str">
        <f t="shared" si="45"/>
        <v>Sign corrected to positive</v>
      </c>
      <c r="Z211" s="16"/>
      <c r="AA211">
        <v>1</v>
      </c>
      <c r="AB211">
        <f>IF(B211&lt;&gt;"Sensor Snapshot","",IF(ISNUMBER(AA211),--(AA211&lt;&gt;0),IF(ISNUMBER(Z211),--(Z211&lt;'02_Parameters'!$B$15),"")))</f>
        <v>1</v>
      </c>
      <c r="AC211">
        <f>IF(B211&lt;&gt;"Sensor Snapshot","",IF(ISNUMBER(X211),--(X211&gt;='02_Parameters'!$B$16),""))</f>
        <v>0</v>
      </c>
      <c r="AD211">
        <v>0</v>
      </c>
      <c r="AE211">
        <f t="shared" si="46"/>
        <v>0</v>
      </c>
      <c r="AF211" s="3" t="str">
        <f t="shared" si="47"/>
        <v>Partial detection only</v>
      </c>
      <c r="AG211" s="16">
        <v>0</v>
      </c>
      <c r="AH211" s="16">
        <f>IF(B211&lt;&gt;"Sensor Snapshot","",IF(ISNUMBER(AG211),IF(AG211&lt;0,"",IF(AG211&gt;10,AG211/'02_Parameters'!$B$17,AG211)),""))</f>
        <v>0</v>
      </c>
      <c r="AI211" t="str">
        <f t="shared" si="48"/>
        <v>Valid</v>
      </c>
      <c r="AJ211">
        <f t="shared" si="49"/>
        <v>0</v>
      </c>
      <c r="AK211">
        <f t="shared" si="50"/>
        <v>0</v>
      </c>
      <c r="AM211">
        <f t="shared" si="51"/>
        <v>0</v>
      </c>
      <c r="AN211">
        <f>IF(B211&lt;&gt;"Sensor Snapshot","",--(N211&gt;='02_Parameters'!$B$13))</f>
        <v>0</v>
      </c>
      <c r="AO211">
        <f>IF(B211&lt;&gt;"Sensor Snapshot","",--(AND(L211="PUMPING",ISNUMBER(AH211),AH211&lt;='02_Parameters'!$B$10)))</f>
        <v>0</v>
      </c>
      <c r="AP211" s="16"/>
      <c r="AQ211" s="16" t="str">
        <f t="shared" si="52"/>
        <v/>
      </c>
      <c r="AR211" s="16" t="str">
        <f t="shared" si="53"/>
        <v/>
      </c>
      <c r="AU211" t="s">
        <v>236</v>
      </c>
      <c r="AV211" t="s">
        <v>237</v>
      </c>
      <c r="AW211" s="3" t="s">
        <v>238</v>
      </c>
      <c r="AX211" s="3">
        <f t="shared" si="54"/>
        <v>100</v>
      </c>
      <c r="AY211" s="3" t="str">
        <f t="shared" si="55"/>
        <v>A</v>
      </c>
      <c r="AZ211" s="3" t="s">
        <v>386</v>
      </c>
      <c r="BA211" s="3"/>
    </row>
    <row r="212" spans="1:53" ht="27.6">
      <c r="A212" t="s">
        <v>512</v>
      </c>
      <c r="B212" t="s">
        <v>231</v>
      </c>
      <c r="C212" s="14">
        <v>579867</v>
      </c>
      <c r="D212" s="15">
        <f t="shared" si="42"/>
        <v>579.86699999999996</v>
      </c>
      <c r="E212" t="s">
        <v>232</v>
      </c>
      <c r="G212" t="s">
        <v>234</v>
      </c>
      <c r="H212" t="s">
        <v>235</v>
      </c>
      <c r="I212" s="3"/>
      <c r="J212" s="3"/>
      <c r="L212" t="s">
        <v>385</v>
      </c>
      <c r="M212">
        <f t="shared" si="43"/>
        <v>0</v>
      </c>
      <c r="N212">
        <v>0</v>
      </c>
      <c r="O212" s="16">
        <v>27.3</v>
      </c>
      <c r="P212" s="16">
        <f>IF(AND(ISNUMBER(O212),O212&lt;&gt;-1,O212&gt;='02_Parameters'!$B$18,O212&lt;='02_Parameters'!$B$19),O212,"")</f>
        <v>27.3</v>
      </c>
      <c r="Q212" s="16">
        <v>27.3</v>
      </c>
      <c r="R212" t="str">
        <f>IF(B212&lt;&gt;"Sensor Snapshot","",IF(O212="","Missing",IF(O212=-1,"Sensor failure sentinel (-1)",IF(OR(O212&lt;'02_Parameters'!$B$18,O212&gt;'02_Parameters'!$B$19),"Out of accepted range","Valid"))))</f>
        <v>Valid</v>
      </c>
      <c r="S212" s="16">
        <v>81</v>
      </c>
      <c r="T212" s="16">
        <f>IF(AND(ISNUMBER(S212),S212&lt;&gt;-1,S212&gt;='02_Parameters'!$B$20,S212&lt;='02_Parameters'!$B$21),S212,"")</f>
        <v>81</v>
      </c>
      <c r="U212" s="16">
        <v>81</v>
      </c>
      <c r="V212" t="str">
        <f>IF(B212&lt;&gt;"Sensor Snapshot","",IF(S212="","Missing",IF(S212=-1,"Sensor failure sentinel (-1)",IF(OR(S212&lt;'02_Parameters'!$B$20,S212&gt;'02_Parameters'!$B$21),"Out of accepted range","Valid"))))</f>
        <v>Valid</v>
      </c>
      <c r="W212" s="16">
        <v>-3.5</v>
      </c>
      <c r="X212" s="16">
        <f t="shared" si="44"/>
        <v>3.5</v>
      </c>
      <c r="Y212" t="str">
        <f t="shared" si="45"/>
        <v>Sign corrected to positive</v>
      </c>
      <c r="Z212" s="16"/>
      <c r="AA212">
        <v>1</v>
      </c>
      <c r="AB212">
        <f>IF(B212&lt;&gt;"Sensor Snapshot","",IF(ISNUMBER(AA212),--(AA212&lt;&gt;0),IF(ISNUMBER(Z212),--(Z212&lt;'02_Parameters'!$B$15),"")))</f>
        <v>1</v>
      </c>
      <c r="AC212">
        <f>IF(B212&lt;&gt;"Sensor Snapshot","",IF(ISNUMBER(X212),--(X212&gt;='02_Parameters'!$B$16),""))</f>
        <v>0</v>
      </c>
      <c r="AD212">
        <v>0</v>
      </c>
      <c r="AE212">
        <f t="shared" si="46"/>
        <v>0</v>
      </c>
      <c r="AF212" s="3" t="str">
        <f t="shared" si="47"/>
        <v>Partial detection only</v>
      </c>
      <c r="AG212" s="16">
        <v>0</v>
      </c>
      <c r="AH212" s="16">
        <f>IF(B212&lt;&gt;"Sensor Snapshot","",IF(ISNUMBER(AG212),IF(AG212&lt;0,"",IF(AG212&gt;10,AG212/'02_Parameters'!$B$17,AG212)),""))</f>
        <v>0</v>
      </c>
      <c r="AI212" t="str">
        <f t="shared" si="48"/>
        <v>Valid</v>
      </c>
      <c r="AJ212">
        <f t="shared" si="49"/>
        <v>0</v>
      </c>
      <c r="AK212">
        <f t="shared" si="50"/>
        <v>0</v>
      </c>
      <c r="AM212">
        <f t="shared" si="51"/>
        <v>0</v>
      </c>
      <c r="AN212">
        <f>IF(B212&lt;&gt;"Sensor Snapshot","",--(N212&gt;='02_Parameters'!$B$13))</f>
        <v>0</v>
      </c>
      <c r="AO212">
        <f>IF(B212&lt;&gt;"Sensor Snapshot","",--(AND(L212="PUMPING",ISNUMBER(AH212),AH212&lt;='02_Parameters'!$B$10)))</f>
        <v>0</v>
      </c>
      <c r="AP212" s="16"/>
      <c r="AQ212" s="16" t="str">
        <f t="shared" si="52"/>
        <v/>
      </c>
      <c r="AR212" s="16" t="str">
        <f t="shared" si="53"/>
        <v/>
      </c>
      <c r="AU212" t="s">
        <v>236</v>
      </c>
      <c r="AV212" t="s">
        <v>237</v>
      </c>
      <c r="AW212" s="3" t="s">
        <v>238</v>
      </c>
      <c r="AX212" s="3">
        <f t="shared" si="54"/>
        <v>100</v>
      </c>
      <c r="AY212" s="3" t="str">
        <f t="shared" si="55"/>
        <v>A</v>
      </c>
      <c r="AZ212" s="3" t="s">
        <v>386</v>
      </c>
      <c r="BA212" s="3"/>
    </row>
    <row r="213" spans="1:53" ht="27.6">
      <c r="A213" t="s">
        <v>513</v>
      </c>
      <c r="B213" t="s">
        <v>231</v>
      </c>
      <c r="C213" s="14">
        <v>584886</v>
      </c>
      <c r="D213" s="15">
        <f t="shared" si="42"/>
        <v>584.88599999999997</v>
      </c>
      <c r="E213" t="s">
        <v>232</v>
      </c>
      <c r="G213" t="s">
        <v>234</v>
      </c>
      <c r="H213" t="s">
        <v>235</v>
      </c>
      <c r="I213" s="3"/>
      <c r="J213" s="3"/>
      <c r="L213" t="s">
        <v>385</v>
      </c>
      <c r="M213">
        <f t="shared" si="43"/>
        <v>0</v>
      </c>
      <c r="N213">
        <v>0</v>
      </c>
      <c r="O213" s="16">
        <v>27.3</v>
      </c>
      <c r="P213" s="16">
        <f>IF(AND(ISNUMBER(O213),O213&lt;&gt;-1,O213&gt;='02_Parameters'!$B$18,O213&lt;='02_Parameters'!$B$19),O213,"")</f>
        <v>27.3</v>
      </c>
      <c r="Q213" s="16">
        <v>27.3</v>
      </c>
      <c r="R213" t="str">
        <f>IF(B213&lt;&gt;"Sensor Snapshot","",IF(O213="","Missing",IF(O213=-1,"Sensor failure sentinel (-1)",IF(OR(O213&lt;'02_Parameters'!$B$18,O213&gt;'02_Parameters'!$B$19),"Out of accepted range","Valid"))))</f>
        <v>Valid</v>
      </c>
      <c r="S213" s="16">
        <v>81</v>
      </c>
      <c r="T213" s="16">
        <f>IF(AND(ISNUMBER(S213),S213&lt;&gt;-1,S213&gt;='02_Parameters'!$B$20,S213&lt;='02_Parameters'!$B$21),S213,"")</f>
        <v>81</v>
      </c>
      <c r="U213" s="16">
        <v>81</v>
      </c>
      <c r="V213" t="str">
        <f>IF(B213&lt;&gt;"Sensor Snapshot","",IF(S213="","Missing",IF(S213=-1,"Sensor failure sentinel (-1)",IF(OR(S213&lt;'02_Parameters'!$B$20,S213&gt;'02_Parameters'!$B$21),"Out of accepted range","Valid"))))</f>
        <v>Valid</v>
      </c>
      <c r="W213" s="16">
        <v>-3.4</v>
      </c>
      <c r="X213" s="16">
        <f t="shared" si="44"/>
        <v>3.4</v>
      </c>
      <c r="Y213" t="str">
        <f t="shared" si="45"/>
        <v>Sign corrected to positive</v>
      </c>
      <c r="Z213" s="16"/>
      <c r="AA213">
        <v>1</v>
      </c>
      <c r="AB213">
        <f>IF(B213&lt;&gt;"Sensor Snapshot","",IF(ISNUMBER(AA213),--(AA213&lt;&gt;0),IF(ISNUMBER(Z213),--(Z213&lt;'02_Parameters'!$B$15),"")))</f>
        <v>1</v>
      </c>
      <c r="AC213">
        <f>IF(B213&lt;&gt;"Sensor Snapshot","",IF(ISNUMBER(X213),--(X213&gt;='02_Parameters'!$B$16),""))</f>
        <v>0</v>
      </c>
      <c r="AD213">
        <v>0</v>
      </c>
      <c r="AE213">
        <f t="shared" si="46"/>
        <v>0</v>
      </c>
      <c r="AF213" s="3" t="str">
        <f t="shared" si="47"/>
        <v>Partial detection only</v>
      </c>
      <c r="AG213" s="16">
        <v>0</v>
      </c>
      <c r="AH213" s="16">
        <f>IF(B213&lt;&gt;"Sensor Snapshot","",IF(ISNUMBER(AG213),IF(AG213&lt;0,"",IF(AG213&gt;10,AG213/'02_Parameters'!$B$17,AG213)),""))</f>
        <v>0</v>
      </c>
      <c r="AI213" t="str">
        <f t="shared" si="48"/>
        <v>Valid</v>
      </c>
      <c r="AJ213">
        <f t="shared" si="49"/>
        <v>0</v>
      </c>
      <c r="AK213">
        <f t="shared" si="50"/>
        <v>0</v>
      </c>
      <c r="AM213">
        <f t="shared" si="51"/>
        <v>0</v>
      </c>
      <c r="AN213">
        <f>IF(B213&lt;&gt;"Sensor Snapshot","",--(N213&gt;='02_Parameters'!$B$13))</f>
        <v>0</v>
      </c>
      <c r="AO213">
        <f>IF(B213&lt;&gt;"Sensor Snapshot","",--(AND(L213="PUMPING",ISNUMBER(AH213),AH213&lt;='02_Parameters'!$B$10)))</f>
        <v>0</v>
      </c>
      <c r="AP213" s="16"/>
      <c r="AQ213" s="16" t="str">
        <f t="shared" si="52"/>
        <v/>
      </c>
      <c r="AR213" s="16" t="str">
        <f t="shared" si="53"/>
        <v/>
      </c>
      <c r="AU213" t="s">
        <v>236</v>
      </c>
      <c r="AV213" t="s">
        <v>237</v>
      </c>
      <c r="AW213" s="3" t="s">
        <v>238</v>
      </c>
      <c r="AX213" s="3">
        <f t="shared" si="54"/>
        <v>100</v>
      </c>
      <c r="AY213" s="3" t="str">
        <f t="shared" si="55"/>
        <v>A</v>
      </c>
      <c r="AZ213" s="3" t="s">
        <v>386</v>
      </c>
      <c r="BA213" s="3"/>
    </row>
    <row r="214" spans="1:53" ht="27.6">
      <c r="A214" t="s">
        <v>514</v>
      </c>
      <c r="B214" t="s">
        <v>231</v>
      </c>
      <c r="C214" s="14">
        <v>589903</v>
      </c>
      <c r="D214" s="15">
        <f t="shared" si="42"/>
        <v>589.90300000000002</v>
      </c>
      <c r="E214" t="s">
        <v>232</v>
      </c>
      <c r="G214" t="s">
        <v>234</v>
      </c>
      <c r="H214" t="s">
        <v>235</v>
      </c>
      <c r="I214" s="3"/>
      <c r="J214" s="3"/>
      <c r="L214" t="s">
        <v>385</v>
      </c>
      <c r="M214">
        <f t="shared" si="43"/>
        <v>0</v>
      </c>
      <c r="N214">
        <v>0</v>
      </c>
      <c r="O214" s="16">
        <v>27.3</v>
      </c>
      <c r="P214" s="16">
        <f>IF(AND(ISNUMBER(O214),O214&lt;&gt;-1,O214&gt;='02_Parameters'!$B$18,O214&lt;='02_Parameters'!$B$19),O214,"")</f>
        <v>27.3</v>
      </c>
      <c r="Q214" s="16">
        <v>27.3</v>
      </c>
      <c r="R214" t="str">
        <f>IF(B214&lt;&gt;"Sensor Snapshot","",IF(O214="","Missing",IF(O214=-1,"Sensor failure sentinel (-1)",IF(OR(O214&lt;'02_Parameters'!$B$18,O214&gt;'02_Parameters'!$B$19),"Out of accepted range","Valid"))))</f>
        <v>Valid</v>
      </c>
      <c r="S214" s="16">
        <v>81</v>
      </c>
      <c r="T214" s="16">
        <f>IF(AND(ISNUMBER(S214),S214&lt;&gt;-1,S214&gt;='02_Parameters'!$B$20,S214&lt;='02_Parameters'!$B$21),S214,"")</f>
        <v>81</v>
      </c>
      <c r="U214" s="16">
        <v>81</v>
      </c>
      <c r="V214" t="str">
        <f>IF(B214&lt;&gt;"Sensor Snapshot","",IF(S214="","Missing",IF(S214=-1,"Sensor failure sentinel (-1)",IF(OR(S214&lt;'02_Parameters'!$B$20,S214&gt;'02_Parameters'!$B$21),"Out of accepted range","Valid"))))</f>
        <v>Valid</v>
      </c>
      <c r="W214" s="16">
        <v>-3.3</v>
      </c>
      <c r="X214" s="16">
        <f t="shared" si="44"/>
        <v>3.3</v>
      </c>
      <c r="Y214" t="str">
        <f t="shared" si="45"/>
        <v>Sign corrected to positive</v>
      </c>
      <c r="Z214" s="16"/>
      <c r="AA214">
        <v>1</v>
      </c>
      <c r="AB214">
        <f>IF(B214&lt;&gt;"Sensor Snapshot","",IF(ISNUMBER(AA214),--(AA214&lt;&gt;0),IF(ISNUMBER(Z214),--(Z214&lt;'02_Parameters'!$B$15),"")))</f>
        <v>1</v>
      </c>
      <c r="AC214">
        <f>IF(B214&lt;&gt;"Sensor Snapshot","",IF(ISNUMBER(X214),--(X214&gt;='02_Parameters'!$B$16),""))</f>
        <v>0</v>
      </c>
      <c r="AD214">
        <v>0</v>
      </c>
      <c r="AE214">
        <f t="shared" si="46"/>
        <v>0</v>
      </c>
      <c r="AF214" s="3" t="str">
        <f t="shared" si="47"/>
        <v>Partial detection only</v>
      </c>
      <c r="AG214" s="16">
        <v>0</v>
      </c>
      <c r="AH214" s="16">
        <f>IF(B214&lt;&gt;"Sensor Snapshot","",IF(ISNUMBER(AG214),IF(AG214&lt;0,"",IF(AG214&gt;10,AG214/'02_Parameters'!$B$17,AG214)),""))</f>
        <v>0</v>
      </c>
      <c r="AI214" t="str">
        <f t="shared" si="48"/>
        <v>Valid</v>
      </c>
      <c r="AJ214">
        <f t="shared" si="49"/>
        <v>0</v>
      </c>
      <c r="AK214">
        <f t="shared" si="50"/>
        <v>0</v>
      </c>
      <c r="AM214">
        <f t="shared" si="51"/>
        <v>0</v>
      </c>
      <c r="AN214">
        <f>IF(B214&lt;&gt;"Sensor Snapshot","",--(N214&gt;='02_Parameters'!$B$13))</f>
        <v>0</v>
      </c>
      <c r="AO214">
        <f>IF(B214&lt;&gt;"Sensor Snapshot","",--(AND(L214="PUMPING",ISNUMBER(AH214),AH214&lt;='02_Parameters'!$B$10)))</f>
        <v>0</v>
      </c>
      <c r="AP214" s="16"/>
      <c r="AQ214" s="16" t="str">
        <f t="shared" si="52"/>
        <v/>
      </c>
      <c r="AR214" s="16" t="str">
        <f t="shared" si="53"/>
        <v/>
      </c>
      <c r="AU214" t="s">
        <v>236</v>
      </c>
      <c r="AV214" t="s">
        <v>237</v>
      </c>
      <c r="AW214" s="3" t="s">
        <v>238</v>
      </c>
      <c r="AX214" s="3">
        <f t="shared" si="54"/>
        <v>100</v>
      </c>
      <c r="AY214" s="3" t="str">
        <f t="shared" si="55"/>
        <v>A</v>
      </c>
      <c r="AZ214" s="3" t="s">
        <v>386</v>
      </c>
      <c r="BA214" s="3"/>
    </row>
    <row r="215" spans="1:53" ht="27.6">
      <c r="A215" t="s">
        <v>515</v>
      </c>
      <c r="B215" t="s">
        <v>231</v>
      </c>
      <c r="C215" s="14">
        <v>594921</v>
      </c>
      <c r="D215" s="15">
        <f t="shared" si="42"/>
        <v>594.92100000000005</v>
      </c>
      <c r="E215" t="s">
        <v>232</v>
      </c>
      <c r="G215" t="s">
        <v>234</v>
      </c>
      <c r="H215" t="s">
        <v>235</v>
      </c>
      <c r="I215" s="3"/>
      <c r="J215" s="3"/>
      <c r="L215" t="s">
        <v>385</v>
      </c>
      <c r="M215">
        <f t="shared" si="43"/>
        <v>0</v>
      </c>
      <c r="N215">
        <v>0</v>
      </c>
      <c r="O215" s="16">
        <v>27.3</v>
      </c>
      <c r="P215" s="16">
        <f>IF(AND(ISNUMBER(O215),O215&lt;&gt;-1,O215&gt;='02_Parameters'!$B$18,O215&lt;='02_Parameters'!$B$19),O215,"")</f>
        <v>27.3</v>
      </c>
      <c r="Q215" s="16">
        <v>27.3</v>
      </c>
      <c r="R215" t="str">
        <f>IF(B215&lt;&gt;"Sensor Snapshot","",IF(O215="","Missing",IF(O215=-1,"Sensor failure sentinel (-1)",IF(OR(O215&lt;'02_Parameters'!$B$18,O215&gt;'02_Parameters'!$B$19),"Out of accepted range","Valid"))))</f>
        <v>Valid</v>
      </c>
      <c r="S215" s="16">
        <v>81.099999999999994</v>
      </c>
      <c r="T215" s="16">
        <f>IF(AND(ISNUMBER(S215),S215&lt;&gt;-1,S215&gt;='02_Parameters'!$B$20,S215&lt;='02_Parameters'!$B$21),S215,"")</f>
        <v>81.099999999999994</v>
      </c>
      <c r="U215" s="16">
        <v>81.099999999999994</v>
      </c>
      <c r="V215" t="str">
        <f>IF(B215&lt;&gt;"Sensor Snapshot","",IF(S215="","Missing",IF(S215=-1,"Sensor failure sentinel (-1)",IF(OR(S215&lt;'02_Parameters'!$B$20,S215&gt;'02_Parameters'!$B$21),"Out of accepted range","Valid"))))</f>
        <v>Valid</v>
      </c>
      <c r="W215" s="16">
        <v>-3.3</v>
      </c>
      <c r="X215" s="16">
        <f t="shared" si="44"/>
        <v>3.3</v>
      </c>
      <c r="Y215" t="str">
        <f t="shared" si="45"/>
        <v>Sign corrected to positive</v>
      </c>
      <c r="Z215" s="16"/>
      <c r="AA215">
        <v>1</v>
      </c>
      <c r="AB215">
        <f>IF(B215&lt;&gt;"Sensor Snapshot","",IF(ISNUMBER(AA215),--(AA215&lt;&gt;0),IF(ISNUMBER(Z215),--(Z215&lt;'02_Parameters'!$B$15),"")))</f>
        <v>1</v>
      </c>
      <c r="AC215">
        <f>IF(B215&lt;&gt;"Sensor Snapshot","",IF(ISNUMBER(X215),--(X215&gt;='02_Parameters'!$B$16),""))</f>
        <v>0</v>
      </c>
      <c r="AD215">
        <v>0</v>
      </c>
      <c r="AE215">
        <f t="shared" si="46"/>
        <v>0</v>
      </c>
      <c r="AF215" s="3" t="str">
        <f t="shared" si="47"/>
        <v>Partial detection only</v>
      </c>
      <c r="AG215" s="16">
        <v>0</v>
      </c>
      <c r="AH215" s="16">
        <f>IF(B215&lt;&gt;"Sensor Snapshot","",IF(ISNUMBER(AG215),IF(AG215&lt;0,"",IF(AG215&gt;10,AG215/'02_Parameters'!$B$17,AG215)),""))</f>
        <v>0</v>
      </c>
      <c r="AI215" t="str">
        <f t="shared" si="48"/>
        <v>Valid</v>
      </c>
      <c r="AJ215">
        <f t="shared" si="49"/>
        <v>0</v>
      </c>
      <c r="AK215">
        <f t="shared" si="50"/>
        <v>0</v>
      </c>
      <c r="AM215">
        <f t="shared" si="51"/>
        <v>0</v>
      </c>
      <c r="AN215">
        <f>IF(B215&lt;&gt;"Sensor Snapshot","",--(N215&gt;='02_Parameters'!$B$13))</f>
        <v>0</v>
      </c>
      <c r="AO215">
        <f>IF(B215&lt;&gt;"Sensor Snapshot","",--(AND(L215="PUMPING",ISNUMBER(AH215),AH215&lt;='02_Parameters'!$B$10)))</f>
        <v>0</v>
      </c>
      <c r="AP215" s="16"/>
      <c r="AQ215" s="16" t="str">
        <f t="shared" si="52"/>
        <v/>
      </c>
      <c r="AR215" s="16" t="str">
        <f t="shared" si="53"/>
        <v/>
      </c>
      <c r="AU215" t="s">
        <v>236</v>
      </c>
      <c r="AV215" t="s">
        <v>237</v>
      </c>
      <c r="AW215" s="3" t="s">
        <v>238</v>
      </c>
      <c r="AX215" s="3">
        <f t="shared" si="54"/>
        <v>100</v>
      </c>
      <c r="AY215" s="3" t="str">
        <f t="shared" si="55"/>
        <v>A</v>
      </c>
      <c r="AZ215" s="3" t="s">
        <v>386</v>
      </c>
      <c r="BA215" s="3"/>
    </row>
    <row r="216" spans="1:53" ht="27.6">
      <c r="A216" t="s">
        <v>516</v>
      </c>
      <c r="B216" t="s">
        <v>231</v>
      </c>
      <c r="C216" s="14">
        <v>599941</v>
      </c>
      <c r="D216" s="15">
        <f t="shared" si="42"/>
        <v>599.94100000000003</v>
      </c>
      <c r="E216" t="s">
        <v>232</v>
      </c>
      <c r="G216" t="s">
        <v>234</v>
      </c>
      <c r="H216" t="s">
        <v>235</v>
      </c>
      <c r="I216" s="3"/>
      <c r="J216" s="3"/>
      <c r="L216" t="s">
        <v>385</v>
      </c>
      <c r="M216">
        <f t="shared" si="43"/>
        <v>0</v>
      </c>
      <c r="N216">
        <v>0</v>
      </c>
      <c r="O216" s="16">
        <v>27.3</v>
      </c>
      <c r="P216" s="16">
        <f>IF(AND(ISNUMBER(O216),O216&lt;&gt;-1,O216&gt;='02_Parameters'!$B$18,O216&lt;='02_Parameters'!$B$19),O216,"")</f>
        <v>27.3</v>
      </c>
      <c r="Q216" s="16">
        <v>27.3</v>
      </c>
      <c r="R216" t="str">
        <f>IF(B216&lt;&gt;"Sensor Snapshot","",IF(O216="","Missing",IF(O216=-1,"Sensor failure sentinel (-1)",IF(OR(O216&lt;'02_Parameters'!$B$18,O216&gt;'02_Parameters'!$B$19),"Out of accepted range","Valid"))))</f>
        <v>Valid</v>
      </c>
      <c r="S216" s="16">
        <v>81.099999999999994</v>
      </c>
      <c r="T216" s="16">
        <f>IF(AND(ISNUMBER(S216),S216&lt;&gt;-1,S216&gt;='02_Parameters'!$B$20,S216&lt;='02_Parameters'!$B$21),S216,"")</f>
        <v>81.099999999999994</v>
      </c>
      <c r="U216" s="16">
        <v>81.099999999999994</v>
      </c>
      <c r="V216" t="str">
        <f>IF(B216&lt;&gt;"Sensor Snapshot","",IF(S216="","Missing",IF(S216=-1,"Sensor failure sentinel (-1)",IF(OR(S216&lt;'02_Parameters'!$B$20,S216&gt;'02_Parameters'!$B$21),"Out of accepted range","Valid"))))</f>
        <v>Valid</v>
      </c>
      <c r="W216" s="16">
        <v>-3.3</v>
      </c>
      <c r="X216" s="16">
        <f t="shared" si="44"/>
        <v>3.3</v>
      </c>
      <c r="Y216" t="str">
        <f t="shared" si="45"/>
        <v>Sign corrected to positive</v>
      </c>
      <c r="Z216" s="16"/>
      <c r="AA216">
        <v>1</v>
      </c>
      <c r="AB216">
        <f>IF(B216&lt;&gt;"Sensor Snapshot","",IF(ISNUMBER(AA216),--(AA216&lt;&gt;0),IF(ISNUMBER(Z216),--(Z216&lt;'02_Parameters'!$B$15),"")))</f>
        <v>1</v>
      </c>
      <c r="AC216">
        <f>IF(B216&lt;&gt;"Sensor Snapshot","",IF(ISNUMBER(X216),--(X216&gt;='02_Parameters'!$B$16),""))</f>
        <v>0</v>
      </c>
      <c r="AD216">
        <v>0</v>
      </c>
      <c r="AE216">
        <f t="shared" si="46"/>
        <v>0</v>
      </c>
      <c r="AF216" s="3" t="str">
        <f t="shared" si="47"/>
        <v>Partial detection only</v>
      </c>
      <c r="AG216" s="16">
        <v>0</v>
      </c>
      <c r="AH216" s="16">
        <f>IF(B216&lt;&gt;"Sensor Snapshot","",IF(ISNUMBER(AG216),IF(AG216&lt;0,"",IF(AG216&gt;10,AG216/'02_Parameters'!$B$17,AG216)),""))</f>
        <v>0</v>
      </c>
      <c r="AI216" t="str">
        <f t="shared" si="48"/>
        <v>Valid</v>
      </c>
      <c r="AJ216">
        <f t="shared" si="49"/>
        <v>0</v>
      </c>
      <c r="AK216">
        <f t="shared" si="50"/>
        <v>0</v>
      </c>
      <c r="AM216">
        <f t="shared" si="51"/>
        <v>0</v>
      </c>
      <c r="AN216">
        <f>IF(B216&lt;&gt;"Sensor Snapshot","",--(N216&gt;='02_Parameters'!$B$13))</f>
        <v>0</v>
      </c>
      <c r="AO216">
        <f>IF(B216&lt;&gt;"Sensor Snapshot","",--(AND(L216="PUMPING",ISNUMBER(AH216),AH216&lt;='02_Parameters'!$B$10)))</f>
        <v>0</v>
      </c>
      <c r="AP216" s="16"/>
      <c r="AQ216" s="16" t="str">
        <f t="shared" si="52"/>
        <v/>
      </c>
      <c r="AR216" s="16" t="str">
        <f t="shared" si="53"/>
        <v/>
      </c>
      <c r="AU216" t="s">
        <v>236</v>
      </c>
      <c r="AV216" t="s">
        <v>237</v>
      </c>
      <c r="AW216" s="3" t="s">
        <v>238</v>
      </c>
      <c r="AX216" s="3">
        <f t="shared" si="54"/>
        <v>100</v>
      </c>
      <c r="AY216" s="3" t="str">
        <f t="shared" si="55"/>
        <v>A</v>
      </c>
      <c r="AZ216" s="3" t="s">
        <v>386</v>
      </c>
      <c r="BA216" s="3"/>
    </row>
    <row r="217" spans="1:53" ht="27.6">
      <c r="A217" t="s">
        <v>517</v>
      </c>
      <c r="B217" t="s">
        <v>231</v>
      </c>
      <c r="C217" s="14">
        <v>604958</v>
      </c>
      <c r="D217" s="15">
        <f t="shared" si="42"/>
        <v>604.95799999999997</v>
      </c>
      <c r="E217" t="s">
        <v>232</v>
      </c>
      <c r="G217" t="s">
        <v>234</v>
      </c>
      <c r="H217" t="s">
        <v>235</v>
      </c>
      <c r="I217" s="3"/>
      <c r="J217" s="3"/>
      <c r="L217" t="s">
        <v>385</v>
      </c>
      <c r="M217">
        <f t="shared" si="43"/>
        <v>0</v>
      </c>
      <c r="N217">
        <v>0</v>
      </c>
      <c r="O217" s="16">
        <v>27.3</v>
      </c>
      <c r="P217" s="16">
        <f>IF(AND(ISNUMBER(O217),O217&lt;&gt;-1,O217&gt;='02_Parameters'!$B$18,O217&lt;='02_Parameters'!$B$19),O217,"")</f>
        <v>27.3</v>
      </c>
      <c r="Q217" s="16">
        <v>27.3</v>
      </c>
      <c r="R217" t="str">
        <f>IF(B217&lt;&gt;"Sensor Snapshot","",IF(O217="","Missing",IF(O217=-1,"Sensor failure sentinel (-1)",IF(OR(O217&lt;'02_Parameters'!$B$18,O217&gt;'02_Parameters'!$B$19),"Out of accepted range","Valid"))))</f>
        <v>Valid</v>
      </c>
      <c r="S217" s="16">
        <v>81.099999999999994</v>
      </c>
      <c r="T217" s="16">
        <f>IF(AND(ISNUMBER(S217),S217&lt;&gt;-1,S217&gt;='02_Parameters'!$B$20,S217&lt;='02_Parameters'!$B$21),S217,"")</f>
        <v>81.099999999999994</v>
      </c>
      <c r="U217" s="16">
        <v>81.099999999999994</v>
      </c>
      <c r="V217" t="str">
        <f>IF(B217&lt;&gt;"Sensor Snapshot","",IF(S217="","Missing",IF(S217=-1,"Sensor failure sentinel (-1)",IF(OR(S217&lt;'02_Parameters'!$B$20,S217&gt;'02_Parameters'!$B$21),"Out of accepted range","Valid"))))</f>
        <v>Valid</v>
      </c>
      <c r="W217" s="16">
        <v>-3.3</v>
      </c>
      <c r="X217" s="16">
        <f t="shared" si="44"/>
        <v>3.3</v>
      </c>
      <c r="Y217" t="str">
        <f t="shared" si="45"/>
        <v>Sign corrected to positive</v>
      </c>
      <c r="Z217" s="16"/>
      <c r="AA217">
        <v>1</v>
      </c>
      <c r="AB217">
        <f>IF(B217&lt;&gt;"Sensor Snapshot","",IF(ISNUMBER(AA217),--(AA217&lt;&gt;0),IF(ISNUMBER(Z217),--(Z217&lt;'02_Parameters'!$B$15),"")))</f>
        <v>1</v>
      </c>
      <c r="AC217">
        <f>IF(B217&lt;&gt;"Sensor Snapshot","",IF(ISNUMBER(X217),--(X217&gt;='02_Parameters'!$B$16),""))</f>
        <v>0</v>
      </c>
      <c r="AD217">
        <v>0</v>
      </c>
      <c r="AE217">
        <f t="shared" si="46"/>
        <v>0</v>
      </c>
      <c r="AF217" s="3" t="str">
        <f t="shared" si="47"/>
        <v>Partial detection only</v>
      </c>
      <c r="AG217" s="16">
        <v>0</v>
      </c>
      <c r="AH217" s="16">
        <f>IF(B217&lt;&gt;"Sensor Snapshot","",IF(ISNUMBER(AG217),IF(AG217&lt;0,"",IF(AG217&gt;10,AG217/'02_Parameters'!$B$17,AG217)),""))</f>
        <v>0</v>
      </c>
      <c r="AI217" t="str">
        <f t="shared" si="48"/>
        <v>Valid</v>
      </c>
      <c r="AJ217">
        <f t="shared" si="49"/>
        <v>0</v>
      </c>
      <c r="AK217">
        <f t="shared" si="50"/>
        <v>0</v>
      </c>
      <c r="AM217">
        <f t="shared" si="51"/>
        <v>0</v>
      </c>
      <c r="AN217">
        <f>IF(B217&lt;&gt;"Sensor Snapshot","",--(N217&gt;='02_Parameters'!$B$13))</f>
        <v>0</v>
      </c>
      <c r="AO217">
        <f>IF(B217&lt;&gt;"Sensor Snapshot","",--(AND(L217="PUMPING",ISNUMBER(AH217),AH217&lt;='02_Parameters'!$B$10)))</f>
        <v>0</v>
      </c>
      <c r="AP217" s="16"/>
      <c r="AQ217" s="16" t="str">
        <f t="shared" si="52"/>
        <v/>
      </c>
      <c r="AR217" s="16" t="str">
        <f t="shared" si="53"/>
        <v/>
      </c>
      <c r="AU217" t="s">
        <v>236</v>
      </c>
      <c r="AV217" t="s">
        <v>237</v>
      </c>
      <c r="AW217" s="3" t="s">
        <v>238</v>
      </c>
      <c r="AX217" s="3">
        <f t="shared" si="54"/>
        <v>100</v>
      </c>
      <c r="AY217" s="3" t="str">
        <f t="shared" si="55"/>
        <v>A</v>
      </c>
      <c r="AZ217" s="3" t="s">
        <v>386</v>
      </c>
      <c r="BA217" s="3"/>
    </row>
    <row r="218" spans="1:53" ht="27.6">
      <c r="A218" t="s">
        <v>518</v>
      </c>
      <c r="B218" t="s">
        <v>231</v>
      </c>
      <c r="C218" s="14">
        <v>609978</v>
      </c>
      <c r="D218" s="15">
        <f t="shared" si="42"/>
        <v>609.97799999999995</v>
      </c>
      <c r="E218" t="s">
        <v>232</v>
      </c>
      <c r="G218" t="s">
        <v>234</v>
      </c>
      <c r="H218" t="s">
        <v>235</v>
      </c>
      <c r="I218" s="3"/>
      <c r="J218" s="3"/>
      <c r="L218" t="s">
        <v>385</v>
      </c>
      <c r="M218">
        <f t="shared" si="43"/>
        <v>0</v>
      </c>
      <c r="N218">
        <v>0</v>
      </c>
      <c r="O218" s="16">
        <v>27.3</v>
      </c>
      <c r="P218" s="16">
        <f>IF(AND(ISNUMBER(O218),O218&lt;&gt;-1,O218&gt;='02_Parameters'!$B$18,O218&lt;='02_Parameters'!$B$19),O218,"")</f>
        <v>27.3</v>
      </c>
      <c r="Q218" s="16">
        <v>27.3</v>
      </c>
      <c r="R218" t="str">
        <f>IF(B218&lt;&gt;"Sensor Snapshot","",IF(O218="","Missing",IF(O218=-1,"Sensor failure sentinel (-1)",IF(OR(O218&lt;'02_Parameters'!$B$18,O218&gt;'02_Parameters'!$B$19),"Out of accepted range","Valid"))))</f>
        <v>Valid</v>
      </c>
      <c r="S218" s="16">
        <v>81.3</v>
      </c>
      <c r="T218" s="16">
        <f>IF(AND(ISNUMBER(S218),S218&lt;&gt;-1,S218&gt;='02_Parameters'!$B$20,S218&lt;='02_Parameters'!$B$21),S218,"")</f>
        <v>81.3</v>
      </c>
      <c r="U218" s="16">
        <v>81.3</v>
      </c>
      <c r="V218" t="str">
        <f>IF(B218&lt;&gt;"Sensor Snapshot","",IF(S218="","Missing",IF(S218=-1,"Sensor failure sentinel (-1)",IF(OR(S218&lt;'02_Parameters'!$B$20,S218&gt;'02_Parameters'!$B$21),"Out of accepted range","Valid"))))</f>
        <v>Valid</v>
      </c>
      <c r="W218" s="16">
        <v>-3.2</v>
      </c>
      <c r="X218" s="16">
        <f t="shared" si="44"/>
        <v>3.2</v>
      </c>
      <c r="Y218" t="str">
        <f t="shared" si="45"/>
        <v>Sign corrected to positive</v>
      </c>
      <c r="Z218" s="16"/>
      <c r="AA218">
        <v>1</v>
      </c>
      <c r="AB218">
        <f>IF(B218&lt;&gt;"Sensor Snapshot","",IF(ISNUMBER(AA218),--(AA218&lt;&gt;0),IF(ISNUMBER(Z218),--(Z218&lt;'02_Parameters'!$B$15),"")))</f>
        <v>1</v>
      </c>
      <c r="AC218">
        <f>IF(B218&lt;&gt;"Sensor Snapshot","",IF(ISNUMBER(X218),--(X218&gt;='02_Parameters'!$B$16),""))</f>
        <v>0</v>
      </c>
      <c r="AD218">
        <v>0</v>
      </c>
      <c r="AE218">
        <f t="shared" si="46"/>
        <v>0</v>
      </c>
      <c r="AF218" s="3" t="str">
        <f t="shared" si="47"/>
        <v>Partial detection only</v>
      </c>
      <c r="AG218" s="16">
        <v>0</v>
      </c>
      <c r="AH218" s="16">
        <f>IF(B218&lt;&gt;"Sensor Snapshot","",IF(ISNUMBER(AG218),IF(AG218&lt;0,"",IF(AG218&gt;10,AG218/'02_Parameters'!$B$17,AG218)),""))</f>
        <v>0</v>
      </c>
      <c r="AI218" t="str">
        <f t="shared" si="48"/>
        <v>Valid</v>
      </c>
      <c r="AJ218">
        <f t="shared" si="49"/>
        <v>0</v>
      </c>
      <c r="AK218">
        <f t="shared" si="50"/>
        <v>0</v>
      </c>
      <c r="AM218">
        <f t="shared" si="51"/>
        <v>0</v>
      </c>
      <c r="AN218">
        <f>IF(B218&lt;&gt;"Sensor Snapshot","",--(N218&gt;='02_Parameters'!$B$13))</f>
        <v>0</v>
      </c>
      <c r="AO218">
        <f>IF(B218&lt;&gt;"Sensor Snapshot","",--(AND(L218="PUMPING",ISNUMBER(AH218),AH218&lt;='02_Parameters'!$B$10)))</f>
        <v>0</v>
      </c>
      <c r="AP218" s="16"/>
      <c r="AQ218" s="16" t="str">
        <f t="shared" si="52"/>
        <v/>
      </c>
      <c r="AR218" s="16" t="str">
        <f t="shared" si="53"/>
        <v/>
      </c>
      <c r="AU218" t="s">
        <v>236</v>
      </c>
      <c r="AV218" t="s">
        <v>237</v>
      </c>
      <c r="AW218" s="3" t="s">
        <v>238</v>
      </c>
      <c r="AX218" s="3">
        <f t="shared" si="54"/>
        <v>100</v>
      </c>
      <c r="AY218" s="3" t="str">
        <f t="shared" si="55"/>
        <v>A</v>
      </c>
      <c r="AZ218" s="3" t="s">
        <v>386</v>
      </c>
      <c r="BA218" s="3"/>
    </row>
    <row r="219" spans="1:53" ht="27.6">
      <c r="A219" t="s">
        <v>519</v>
      </c>
      <c r="B219" t="s">
        <v>231</v>
      </c>
      <c r="C219" s="14">
        <v>614995</v>
      </c>
      <c r="D219" s="15">
        <f t="shared" si="42"/>
        <v>614.995</v>
      </c>
      <c r="E219" t="s">
        <v>232</v>
      </c>
      <c r="G219" t="s">
        <v>234</v>
      </c>
      <c r="H219" t="s">
        <v>235</v>
      </c>
      <c r="I219" s="3"/>
      <c r="J219" s="3"/>
      <c r="L219" t="s">
        <v>385</v>
      </c>
      <c r="M219">
        <f t="shared" si="43"/>
        <v>0</v>
      </c>
      <c r="N219">
        <v>0</v>
      </c>
      <c r="O219" s="16">
        <v>27.3</v>
      </c>
      <c r="P219" s="16">
        <f>IF(AND(ISNUMBER(O219),O219&lt;&gt;-1,O219&gt;='02_Parameters'!$B$18,O219&lt;='02_Parameters'!$B$19),O219,"")</f>
        <v>27.3</v>
      </c>
      <c r="Q219" s="16">
        <v>27.3</v>
      </c>
      <c r="R219" t="str">
        <f>IF(B219&lt;&gt;"Sensor Snapshot","",IF(O219="","Missing",IF(O219=-1,"Sensor failure sentinel (-1)",IF(OR(O219&lt;'02_Parameters'!$B$18,O219&gt;'02_Parameters'!$B$19),"Out of accepted range","Valid"))))</f>
        <v>Valid</v>
      </c>
      <c r="S219" s="16">
        <v>81.099999999999994</v>
      </c>
      <c r="T219" s="16">
        <f>IF(AND(ISNUMBER(S219),S219&lt;&gt;-1,S219&gt;='02_Parameters'!$B$20,S219&lt;='02_Parameters'!$B$21),S219,"")</f>
        <v>81.099999999999994</v>
      </c>
      <c r="U219" s="16">
        <v>81.099999999999994</v>
      </c>
      <c r="V219" t="str">
        <f>IF(B219&lt;&gt;"Sensor Snapshot","",IF(S219="","Missing",IF(S219=-1,"Sensor failure sentinel (-1)",IF(OR(S219&lt;'02_Parameters'!$B$20,S219&gt;'02_Parameters'!$B$21),"Out of accepted range","Valid"))))</f>
        <v>Valid</v>
      </c>
      <c r="W219" s="16">
        <v>-3.2</v>
      </c>
      <c r="X219" s="16">
        <f t="shared" si="44"/>
        <v>3.2</v>
      </c>
      <c r="Y219" t="str">
        <f t="shared" si="45"/>
        <v>Sign corrected to positive</v>
      </c>
      <c r="Z219" s="16"/>
      <c r="AA219">
        <v>1</v>
      </c>
      <c r="AB219">
        <f>IF(B219&lt;&gt;"Sensor Snapshot","",IF(ISNUMBER(AA219),--(AA219&lt;&gt;0),IF(ISNUMBER(Z219),--(Z219&lt;'02_Parameters'!$B$15),"")))</f>
        <v>1</v>
      </c>
      <c r="AC219">
        <f>IF(B219&lt;&gt;"Sensor Snapshot","",IF(ISNUMBER(X219),--(X219&gt;='02_Parameters'!$B$16),""))</f>
        <v>0</v>
      </c>
      <c r="AD219">
        <v>0</v>
      </c>
      <c r="AE219">
        <f t="shared" si="46"/>
        <v>0</v>
      </c>
      <c r="AF219" s="3" t="str">
        <f t="shared" si="47"/>
        <v>Partial detection only</v>
      </c>
      <c r="AG219" s="16">
        <v>0</v>
      </c>
      <c r="AH219" s="16">
        <f>IF(B219&lt;&gt;"Sensor Snapshot","",IF(ISNUMBER(AG219),IF(AG219&lt;0,"",IF(AG219&gt;10,AG219/'02_Parameters'!$B$17,AG219)),""))</f>
        <v>0</v>
      </c>
      <c r="AI219" t="str">
        <f t="shared" si="48"/>
        <v>Valid</v>
      </c>
      <c r="AJ219">
        <f t="shared" si="49"/>
        <v>0</v>
      </c>
      <c r="AK219">
        <f t="shared" si="50"/>
        <v>0</v>
      </c>
      <c r="AM219">
        <f t="shared" si="51"/>
        <v>0</v>
      </c>
      <c r="AN219">
        <f>IF(B219&lt;&gt;"Sensor Snapshot","",--(N219&gt;='02_Parameters'!$B$13))</f>
        <v>0</v>
      </c>
      <c r="AO219">
        <f>IF(B219&lt;&gt;"Sensor Snapshot","",--(AND(L219="PUMPING",ISNUMBER(AH219),AH219&lt;='02_Parameters'!$B$10)))</f>
        <v>0</v>
      </c>
      <c r="AP219" s="16"/>
      <c r="AQ219" s="16" t="str">
        <f t="shared" si="52"/>
        <v/>
      </c>
      <c r="AR219" s="16" t="str">
        <f t="shared" si="53"/>
        <v/>
      </c>
      <c r="AU219" t="s">
        <v>236</v>
      </c>
      <c r="AV219" t="s">
        <v>237</v>
      </c>
      <c r="AW219" s="3" t="s">
        <v>238</v>
      </c>
      <c r="AX219" s="3">
        <f t="shared" si="54"/>
        <v>100</v>
      </c>
      <c r="AY219" s="3" t="str">
        <f t="shared" si="55"/>
        <v>A</v>
      </c>
      <c r="AZ219" s="3" t="s">
        <v>386</v>
      </c>
      <c r="BA219" s="3"/>
    </row>
    <row r="220" spans="1:53" ht="27.6">
      <c r="A220" t="s">
        <v>520</v>
      </c>
      <c r="B220" t="s">
        <v>231</v>
      </c>
      <c r="C220" s="14">
        <v>620015</v>
      </c>
      <c r="D220" s="15">
        <f t="shared" si="42"/>
        <v>620.01499999999999</v>
      </c>
      <c r="E220" t="s">
        <v>232</v>
      </c>
      <c r="G220" t="s">
        <v>234</v>
      </c>
      <c r="H220" t="s">
        <v>235</v>
      </c>
      <c r="I220" s="3"/>
      <c r="J220" s="3"/>
      <c r="L220" t="s">
        <v>385</v>
      </c>
      <c r="M220">
        <f t="shared" si="43"/>
        <v>0</v>
      </c>
      <c r="N220">
        <v>0</v>
      </c>
      <c r="O220" s="16">
        <v>27.3</v>
      </c>
      <c r="P220" s="16">
        <f>IF(AND(ISNUMBER(O220),O220&lt;&gt;-1,O220&gt;='02_Parameters'!$B$18,O220&lt;='02_Parameters'!$B$19),O220,"")</f>
        <v>27.3</v>
      </c>
      <c r="Q220" s="16">
        <v>27.3</v>
      </c>
      <c r="R220" t="str">
        <f>IF(B220&lt;&gt;"Sensor Snapshot","",IF(O220="","Missing",IF(O220=-1,"Sensor failure sentinel (-1)",IF(OR(O220&lt;'02_Parameters'!$B$18,O220&gt;'02_Parameters'!$B$19),"Out of accepted range","Valid"))))</f>
        <v>Valid</v>
      </c>
      <c r="S220" s="16">
        <v>81</v>
      </c>
      <c r="T220" s="16">
        <f>IF(AND(ISNUMBER(S220),S220&lt;&gt;-1,S220&gt;='02_Parameters'!$B$20,S220&lt;='02_Parameters'!$B$21),S220,"")</f>
        <v>81</v>
      </c>
      <c r="U220" s="16">
        <v>81</v>
      </c>
      <c r="V220" t="str">
        <f>IF(B220&lt;&gt;"Sensor Snapshot","",IF(S220="","Missing",IF(S220=-1,"Sensor failure sentinel (-1)",IF(OR(S220&lt;'02_Parameters'!$B$20,S220&gt;'02_Parameters'!$B$21),"Out of accepted range","Valid"))))</f>
        <v>Valid</v>
      </c>
      <c r="W220" s="16">
        <v>-3.2</v>
      </c>
      <c r="X220" s="16">
        <f t="shared" si="44"/>
        <v>3.2</v>
      </c>
      <c r="Y220" t="str">
        <f t="shared" si="45"/>
        <v>Sign corrected to positive</v>
      </c>
      <c r="Z220" s="16"/>
      <c r="AA220">
        <v>1</v>
      </c>
      <c r="AB220">
        <f>IF(B220&lt;&gt;"Sensor Snapshot","",IF(ISNUMBER(AA220),--(AA220&lt;&gt;0),IF(ISNUMBER(Z220),--(Z220&lt;'02_Parameters'!$B$15),"")))</f>
        <v>1</v>
      </c>
      <c r="AC220">
        <f>IF(B220&lt;&gt;"Sensor Snapshot","",IF(ISNUMBER(X220),--(X220&gt;='02_Parameters'!$B$16),""))</f>
        <v>0</v>
      </c>
      <c r="AD220">
        <v>0</v>
      </c>
      <c r="AE220">
        <f t="shared" si="46"/>
        <v>0</v>
      </c>
      <c r="AF220" s="3" t="str">
        <f t="shared" si="47"/>
        <v>Partial detection only</v>
      </c>
      <c r="AG220" s="16">
        <v>0</v>
      </c>
      <c r="AH220" s="16">
        <f>IF(B220&lt;&gt;"Sensor Snapshot","",IF(ISNUMBER(AG220),IF(AG220&lt;0,"",IF(AG220&gt;10,AG220/'02_Parameters'!$B$17,AG220)),""))</f>
        <v>0</v>
      </c>
      <c r="AI220" t="str">
        <f t="shared" si="48"/>
        <v>Valid</v>
      </c>
      <c r="AJ220">
        <f t="shared" si="49"/>
        <v>0</v>
      </c>
      <c r="AK220">
        <f t="shared" si="50"/>
        <v>0</v>
      </c>
      <c r="AM220">
        <f t="shared" si="51"/>
        <v>0</v>
      </c>
      <c r="AN220">
        <f>IF(B220&lt;&gt;"Sensor Snapshot","",--(N220&gt;='02_Parameters'!$B$13))</f>
        <v>0</v>
      </c>
      <c r="AO220">
        <f>IF(B220&lt;&gt;"Sensor Snapshot","",--(AND(L220="PUMPING",ISNUMBER(AH220),AH220&lt;='02_Parameters'!$B$10)))</f>
        <v>0</v>
      </c>
      <c r="AP220" s="16"/>
      <c r="AQ220" s="16" t="str">
        <f t="shared" si="52"/>
        <v/>
      </c>
      <c r="AR220" s="16" t="str">
        <f t="shared" si="53"/>
        <v/>
      </c>
      <c r="AU220" t="s">
        <v>236</v>
      </c>
      <c r="AV220" t="s">
        <v>237</v>
      </c>
      <c r="AW220" s="3" t="s">
        <v>238</v>
      </c>
      <c r="AX220" s="3">
        <f t="shared" si="54"/>
        <v>100</v>
      </c>
      <c r="AY220" s="3" t="str">
        <f t="shared" si="55"/>
        <v>A</v>
      </c>
      <c r="AZ220" s="3" t="s">
        <v>386</v>
      </c>
      <c r="BA220" s="3"/>
    </row>
    <row r="221" spans="1:53" ht="27.6">
      <c r="A221" t="s">
        <v>521</v>
      </c>
      <c r="B221" t="s">
        <v>231</v>
      </c>
      <c r="C221" s="14">
        <v>625033</v>
      </c>
      <c r="D221" s="15">
        <f t="shared" si="42"/>
        <v>625.03300000000002</v>
      </c>
      <c r="E221" t="s">
        <v>232</v>
      </c>
      <c r="G221" t="s">
        <v>234</v>
      </c>
      <c r="H221" t="s">
        <v>235</v>
      </c>
      <c r="I221" s="3"/>
      <c r="J221" s="3"/>
      <c r="L221" t="s">
        <v>385</v>
      </c>
      <c r="M221">
        <f t="shared" si="43"/>
        <v>0</v>
      </c>
      <c r="N221">
        <v>0</v>
      </c>
      <c r="O221" s="16">
        <v>27.3</v>
      </c>
      <c r="P221" s="16">
        <f>IF(AND(ISNUMBER(O221),O221&lt;&gt;-1,O221&gt;='02_Parameters'!$B$18,O221&lt;='02_Parameters'!$B$19),O221,"")</f>
        <v>27.3</v>
      </c>
      <c r="Q221" s="16">
        <v>27.3</v>
      </c>
      <c r="R221" t="str">
        <f>IF(B221&lt;&gt;"Sensor Snapshot","",IF(O221="","Missing",IF(O221=-1,"Sensor failure sentinel (-1)",IF(OR(O221&lt;'02_Parameters'!$B$18,O221&gt;'02_Parameters'!$B$19),"Out of accepted range","Valid"))))</f>
        <v>Valid</v>
      </c>
      <c r="S221" s="16">
        <v>81</v>
      </c>
      <c r="T221" s="16">
        <f>IF(AND(ISNUMBER(S221),S221&lt;&gt;-1,S221&gt;='02_Parameters'!$B$20,S221&lt;='02_Parameters'!$B$21),S221,"")</f>
        <v>81</v>
      </c>
      <c r="U221" s="16">
        <v>81</v>
      </c>
      <c r="V221" t="str">
        <f>IF(B221&lt;&gt;"Sensor Snapshot","",IF(S221="","Missing",IF(S221=-1,"Sensor failure sentinel (-1)",IF(OR(S221&lt;'02_Parameters'!$B$20,S221&gt;'02_Parameters'!$B$21),"Out of accepted range","Valid"))))</f>
        <v>Valid</v>
      </c>
      <c r="W221" s="16">
        <v>-3.2</v>
      </c>
      <c r="X221" s="16">
        <f t="shared" si="44"/>
        <v>3.2</v>
      </c>
      <c r="Y221" t="str">
        <f t="shared" si="45"/>
        <v>Sign corrected to positive</v>
      </c>
      <c r="Z221" s="16"/>
      <c r="AA221">
        <v>1</v>
      </c>
      <c r="AB221">
        <f>IF(B221&lt;&gt;"Sensor Snapshot","",IF(ISNUMBER(AA221),--(AA221&lt;&gt;0),IF(ISNUMBER(Z221),--(Z221&lt;'02_Parameters'!$B$15),"")))</f>
        <v>1</v>
      </c>
      <c r="AC221">
        <f>IF(B221&lt;&gt;"Sensor Snapshot","",IF(ISNUMBER(X221),--(X221&gt;='02_Parameters'!$B$16),""))</f>
        <v>0</v>
      </c>
      <c r="AD221">
        <v>0</v>
      </c>
      <c r="AE221">
        <f t="shared" si="46"/>
        <v>0</v>
      </c>
      <c r="AF221" s="3" t="str">
        <f t="shared" si="47"/>
        <v>Partial detection only</v>
      </c>
      <c r="AG221" s="16">
        <v>0</v>
      </c>
      <c r="AH221" s="16">
        <f>IF(B221&lt;&gt;"Sensor Snapshot","",IF(ISNUMBER(AG221),IF(AG221&lt;0,"",IF(AG221&gt;10,AG221/'02_Parameters'!$B$17,AG221)),""))</f>
        <v>0</v>
      </c>
      <c r="AI221" t="str">
        <f t="shared" si="48"/>
        <v>Valid</v>
      </c>
      <c r="AJ221">
        <f t="shared" si="49"/>
        <v>0</v>
      </c>
      <c r="AK221">
        <f t="shared" si="50"/>
        <v>0</v>
      </c>
      <c r="AM221">
        <f t="shared" si="51"/>
        <v>0</v>
      </c>
      <c r="AN221">
        <f>IF(B221&lt;&gt;"Sensor Snapshot","",--(N221&gt;='02_Parameters'!$B$13))</f>
        <v>0</v>
      </c>
      <c r="AO221">
        <f>IF(B221&lt;&gt;"Sensor Snapshot","",--(AND(L221="PUMPING",ISNUMBER(AH221),AH221&lt;='02_Parameters'!$B$10)))</f>
        <v>0</v>
      </c>
      <c r="AP221" s="16"/>
      <c r="AQ221" s="16" t="str">
        <f t="shared" si="52"/>
        <v/>
      </c>
      <c r="AR221" s="16" t="str">
        <f t="shared" si="53"/>
        <v/>
      </c>
      <c r="AU221" t="s">
        <v>236</v>
      </c>
      <c r="AV221" t="s">
        <v>237</v>
      </c>
      <c r="AW221" s="3" t="s">
        <v>238</v>
      </c>
      <c r="AX221" s="3">
        <f t="shared" si="54"/>
        <v>100</v>
      </c>
      <c r="AY221" s="3" t="str">
        <f t="shared" si="55"/>
        <v>A</v>
      </c>
      <c r="AZ221" s="3" t="s">
        <v>386</v>
      </c>
      <c r="BA221" s="3"/>
    </row>
    <row r="222" spans="1:53" ht="27.6">
      <c r="A222" t="s">
        <v>522</v>
      </c>
      <c r="B222" t="s">
        <v>231</v>
      </c>
      <c r="C222" s="14">
        <v>630050</v>
      </c>
      <c r="D222" s="15">
        <f t="shared" si="42"/>
        <v>630.04999999999995</v>
      </c>
      <c r="E222" t="s">
        <v>232</v>
      </c>
      <c r="G222" t="s">
        <v>234</v>
      </c>
      <c r="H222" t="s">
        <v>235</v>
      </c>
      <c r="I222" s="3"/>
      <c r="J222" s="3"/>
      <c r="L222" t="s">
        <v>385</v>
      </c>
      <c r="M222">
        <f t="shared" si="43"/>
        <v>0</v>
      </c>
      <c r="N222">
        <v>0</v>
      </c>
      <c r="O222" s="16">
        <v>27.3</v>
      </c>
      <c r="P222" s="16">
        <f>IF(AND(ISNUMBER(O222),O222&lt;&gt;-1,O222&gt;='02_Parameters'!$B$18,O222&lt;='02_Parameters'!$B$19),O222,"")</f>
        <v>27.3</v>
      </c>
      <c r="Q222" s="16">
        <v>27.3</v>
      </c>
      <c r="R222" t="str">
        <f>IF(B222&lt;&gt;"Sensor Snapshot","",IF(O222="","Missing",IF(O222=-1,"Sensor failure sentinel (-1)",IF(OR(O222&lt;'02_Parameters'!$B$18,O222&gt;'02_Parameters'!$B$19),"Out of accepted range","Valid"))))</f>
        <v>Valid</v>
      </c>
      <c r="S222" s="16">
        <v>81.099999999999994</v>
      </c>
      <c r="T222" s="16">
        <f>IF(AND(ISNUMBER(S222),S222&lt;&gt;-1,S222&gt;='02_Parameters'!$B$20,S222&lt;='02_Parameters'!$B$21),S222,"")</f>
        <v>81.099999999999994</v>
      </c>
      <c r="U222" s="16">
        <v>81.099999999999994</v>
      </c>
      <c r="V222" t="str">
        <f>IF(B222&lt;&gt;"Sensor Snapshot","",IF(S222="","Missing",IF(S222=-1,"Sensor failure sentinel (-1)",IF(OR(S222&lt;'02_Parameters'!$B$20,S222&gt;'02_Parameters'!$B$21),"Out of accepted range","Valid"))))</f>
        <v>Valid</v>
      </c>
      <c r="W222" s="16">
        <v>-3</v>
      </c>
      <c r="X222" s="16">
        <f t="shared" si="44"/>
        <v>3</v>
      </c>
      <c r="Y222" t="str">
        <f t="shared" si="45"/>
        <v>Sign corrected to positive</v>
      </c>
      <c r="Z222" s="16"/>
      <c r="AA222">
        <v>1</v>
      </c>
      <c r="AB222">
        <f>IF(B222&lt;&gt;"Sensor Snapshot","",IF(ISNUMBER(AA222),--(AA222&lt;&gt;0),IF(ISNUMBER(Z222),--(Z222&lt;'02_Parameters'!$B$15),"")))</f>
        <v>1</v>
      </c>
      <c r="AC222">
        <f>IF(B222&lt;&gt;"Sensor Snapshot","",IF(ISNUMBER(X222),--(X222&gt;='02_Parameters'!$B$16),""))</f>
        <v>0</v>
      </c>
      <c r="AD222">
        <v>0</v>
      </c>
      <c r="AE222">
        <f t="shared" si="46"/>
        <v>0</v>
      </c>
      <c r="AF222" s="3" t="str">
        <f t="shared" si="47"/>
        <v>Partial detection only</v>
      </c>
      <c r="AG222" s="16">
        <v>0</v>
      </c>
      <c r="AH222" s="16">
        <f>IF(B222&lt;&gt;"Sensor Snapshot","",IF(ISNUMBER(AG222),IF(AG222&lt;0,"",IF(AG222&gt;10,AG222/'02_Parameters'!$B$17,AG222)),""))</f>
        <v>0</v>
      </c>
      <c r="AI222" t="str">
        <f t="shared" si="48"/>
        <v>Valid</v>
      </c>
      <c r="AJ222">
        <f t="shared" si="49"/>
        <v>0</v>
      </c>
      <c r="AK222">
        <f t="shared" si="50"/>
        <v>0</v>
      </c>
      <c r="AM222">
        <f t="shared" si="51"/>
        <v>0</v>
      </c>
      <c r="AN222">
        <f>IF(B222&lt;&gt;"Sensor Snapshot","",--(N222&gt;='02_Parameters'!$B$13))</f>
        <v>0</v>
      </c>
      <c r="AO222">
        <f>IF(B222&lt;&gt;"Sensor Snapshot","",--(AND(L222="PUMPING",ISNUMBER(AH222),AH222&lt;='02_Parameters'!$B$10)))</f>
        <v>0</v>
      </c>
      <c r="AP222" s="16"/>
      <c r="AQ222" s="16" t="str">
        <f t="shared" si="52"/>
        <v/>
      </c>
      <c r="AR222" s="16" t="str">
        <f t="shared" si="53"/>
        <v/>
      </c>
      <c r="AU222" t="s">
        <v>236</v>
      </c>
      <c r="AV222" t="s">
        <v>237</v>
      </c>
      <c r="AW222" s="3" t="s">
        <v>238</v>
      </c>
      <c r="AX222" s="3">
        <f t="shared" si="54"/>
        <v>100</v>
      </c>
      <c r="AY222" s="3" t="str">
        <f t="shared" si="55"/>
        <v>A</v>
      </c>
      <c r="AZ222" s="3" t="s">
        <v>386</v>
      </c>
      <c r="BA222" s="3"/>
    </row>
    <row r="223" spans="1:53" ht="27.6">
      <c r="A223" t="s">
        <v>523</v>
      </c>
      <c r="B223" t="s">
        <v>231</v>
      </c>
      <c r="C223" s="14">
        <v>635070</v>
      </c>
      <c r="D223" s="15">
        <f t="shared" si="42"/>
        <v>635.07000000000005</v>
      </c>
      <c r="E223" t="s">
        <v>232</v>
      </c>
      <c r="G223" t="s">
        <v>234</v>
      </c>
      <c r="H223" t="s">
        <v>235</v>
      </c>
      <c r="I223" s="3"/>
      <c r="J223" s="3"/>
      <c r="L223" t="s">
        <v>385</v>
      </c>
      <c r="M223">
        <f t="shared" si="43"/>
        <v>0</v>
      </c>
      <c r="N223">
        <v>0</v>
      </c>
      <c r="O223" s="16">
        <v>27.4</v>
      </c>
      <c r="P223" s="16">
        <f>IF(AND(ISNUMBER(O223),O223&lt;&gt;-1,O223&gt;='02_Parameters'!$B$18,O223&lt;='02_Parameters'!$B$19),O223,"")</f>
        <v>27.4</v>
      </c>
      <c r="Q223" s="16">
        <v>27.4</v>
      </c>
      <c r="R223" t="str">
        <f>IF(B223&lt;&gt;"Sensor Snapshot","",IF(O223="","Missing",IF(O223=-1,"Sensor failure sentinel (-1)",IF(OR(O223&lt;'02_Parameters'!$B$18,O223&gt;'02_Parameters'!$B$19),"Out of accepted range","Valid"))))</f>
        <v>Valid</v>
      </c>
      <c r="S223" s="16">
        <v>81.3</v>
      </c>
      <c r="T223" s="16">
        <f>IF(AND(ISNUMBER(S223),S223&lt;&gt;-1,S223&gt;='02_Parameters'!$B$20,S223&lt;='02_Parameters'!$B$21),S223,"")</f>
        <v>81.3</v>
      </c>
      <c r="U223" s="16">
        <v>81.3</v>
      </c>
      <c r="V223" t="str">
        <f>IF(B223&lt;&gt;"Sensor Snapshot","",IF(S223="","Missing",IF(S223=-1,"Sensor failure sentinel (-1)",IF(OR(S223&lt;'02_Parameters'!$B$20,S223&gt;'02_Parameters'!$B$21),"Out of accepted range","Valid"))))</f>
        <v>Valid</v>
      </c>
      <c r="W223" s="16">
        <v>-3</v>
      </c>
      <c r="X223" s="16">
        <f t="shared" si="44"/>
        <v>3</v>
      </c>
      <c r="Y223" t="str">
        <f t="shared" si="45"/>
        <v>Sign corrected to positive</v>
      </c>
      <c r="Z223" s="16"/>
      <c r="AA223">
        <v>1</v>
      </c>
      <c r="AB223">
        <f>IF(B223&lt;&gt;"Sensor Snapshot","",IF(ISNUMBER(AA223),--(AA223&lt;&gt;0),IF(ISNUMBER(Z223),--(Z223&lt;'02_Parameters'!$B$15),"")))</f>
        <v>1</v>
      </c>
      <c r="AC223">
        <f>IF(B223&lt;&gt;"Sensor Snapshot","",IF(ISNUMBER(X223),--(X223&gt;='02_Parameters'!$B$16),""))</f>
        <v>0</v>
      </c>
      <c r="AD223">
        <v>0</v>
      </c>
      <c r="AE223">
        <f t="shared" si="46"/>
        <v>0</v>
      </c>
      <c r="AF223" s="3" t="str">
        <f t="shared" si="47"/>
        <v>Partial detection only</v>
      </c>
      <c r="AG223" s="16">
        <v>0</v>
      </c>
      <c r="AH223" s="16">
        <f>IF(B223&lt;&gt;"Sensor Snapshot","",IF(ISNUMBER(AG223),IF(AG223&lt;0,"",IF(AG223&gt;10,AG223/'02_Parameters'!$B$17,AG223)),""))</f>
        <v>0</v>
      </c>
      <c r="AI223" t="str">
        <f t="shared" si="48"/>
        <v>Valid</v>
      </c>
      <c r="AJ223">
        <f t="shared" si="49"/>
        <v>0</v>
      </c>
      <c r="AK223">
        <f t="shared" si="50"/>
        <v>0</v>
      </c>
      <c r="AM223">
        <f t="shared" si="51"/>
        <v>0</v>
      </c>
      <c r="AN223">
        <f>IF(B223&lt;&gt;"Sensor Snapshot","",--(N223&gt;='02_Parameters'!$B$13))</f>
        <v>0</v>
      </c>
      <c r="AO223">
        <f>IF(B223&lt;&gt;"Sensor Snapshot","",--(AND(L223="PUMPING",ISNUMBER(AH223),AH223&lt;='02_Parameters'!$B$10)))</f>
        <v>0</v>
      </c>
      <c r="AP223" s="16"/>
      <c r="AQ223" s="16" t="str">
        <f t="shared" si="52"/>
        <v/>
      </c>
      <c r="AR223" s="16" t="str">
        <f t="shared" si="53"/>
        <v/>
      </c>
      <c r="AU223" t="s">
        <v>236</v>
      </c>
      <c r="AV223" t="s">
        <v>237</v>
      </c>
      <c r="AW223" s="3" t="s">
        <v>238</v>
      </c>
      <c r="AX223" s="3">
        <f t="shared" si="54"/>
        <v>100</v>
      </c>
      <c r="AY223" s="3" t="str">
        <f t="shared" si="55"/>
        <v>A</v>
      </c>
      <c r="AZ223" s="3" t="s">
        <v>386</v>
      </c>
      <c r="BA223" s="3"/>
    </row>
    <row r="224" spans="1:53" ht="27.6">
      <c r="A224" t="s">
        <v>524</v>
      </c>
      <c r="B224" t="s">
        <v>231</v>
      </c>
      <c r="C224" s="14">
        <v>640088</v>
      </c>
      <c r="D224" s="15">
        <f t="shared" si="42"/>
        <v>640.08799999999997</v>
      </c>
      <c r="E224" t="s">
        <v>232</v>
      </c>
      <c r="G224" t="s">
        <v>234</v>
      </c>
      <c r="H224" t="s">
        <v>235</v>
      </c>
      <c r="I224" s="3"/>
      <c r="J224" s="3"/>
      <c r="L224" t="s">
        <v>385</v>
      </c>
      <c r="M224">
        <f t="shared" si="43"/>
        <v>0</v>
      </c>
      <c r="N224">
        <v>0</v>
      </c>
      <c r="O224" s="16">
        <v>27.3</v>
      </c>
      <c r="P224" s="16">
        <f>IF(AND(ISNUMBER(O224),O224&lt;&gt;-1,O224&gt;='02_Parameters'!$B$18,O224&lt;='02_Parameters'!$B$19),O224,"")</f>
        <v>27.3</v>
      </c>
      <c r="Q224" s="16">
        <v>27.3</v>
      </c>
      <c r="R224" t="str">
        <f>IF(B224&lt;&gt;"Sensor Snapshot","",IF(O224="","Missing",IF(O224=-1,"Sensor failure sentinel (-1)",IF(OR(O224&lt;'02_Parameters'!$B$18,O224&gt;'02_Parameters'!$B$19),"Out of accepted range","Valid"))))</f>
        <v>Valid</v>
      </c>
      <c r="S224" s="16">
        <v>81.3</v>
      </c>
      <c r="T224" s="16">
        <f>IF(AND(ISNUMBER(S224),S224&lt;&gt;-1,S224&gt;='02_Parameters'!$B$20,S224&lt;='02_Parameters'!$B$21),S224,"")</f>
        <v>81.3</v>
      </c>
      <c r="U224" s="16">
        <v>81.3</v>
      </c>
      <c r="V224" t="str">
        <f>IF(B224&lt;&gt;"Sensor Snapshot","",IF(S224="","Missing",IF(S224=-1,"Sensor failure sentinel (-1)",IF(OR(S224&lt;'02_Parameters'!$B$20,S224&gt;'02_Parameters'!$B$21),"Out of accepted range","Valid"))))</f>
        <v>Valid</v>
      </c>
      <c r="W224" s="16">
        <v>-2.9</v>
      </c>
      <c r="X224" s="16">
        <f t="shared" si="44"/>
        <v>2.9</v>
      </c>
      <c r="Y224" t="str">
        <f t="shared" si="45"/>
        <v>Sign corrected to positive</v>
      </c>
      <c r="Z224" s="16"/>
      <c r="AA224">
        <v>1</v>
      </c>
      <c r="AB224">
        <f>IF(B224&lt;&gt;"Sensor Snapshot","",IF(ISNUMBER(AA224),--(AA224&lt;&gt;0),IF(ISNUMBER(Z224),--(Z224&lt;'02_Parameters'!$B$15),"")))</f>
        <v>1</v>
      </c>
      <c r="AC224">
        <f>IF(B224&lt;&gt;"Sensor Snapshot","",IF(ISNUMBER(X224),--(X224&gt;='02_Parameters'!$B$16),""))</f>
        <v>0</v>
      </c>
      <c r="AD224">
        <v>0</v>
      </c>
      <c r="AE224">
        <f t="shared" si="46"/>
        <v>0</v>
      </c>
      <c r="AF224" s="3" t="str">
        <f t="shared" si="47"/>
        <v>Partial detection only</v>
      </c>
      <c r="AG224" s="16">
        <v>0</v>
      </c>
      <c r="AH224" s="16">
        <f>IF(B224&lt;&gt;"Sensor Snapshot","",IF(ISNUMBER(AG224),IF(AG224&lt;0,"",IF(AG224&gt;10,AG224/'02_Parameters'!$B$17,AG224)),""))</f>
        <v>0</v>
      </c>
      <c r="AI224" t="str">
        <f t="shared" si="48"/>
        <v>Valid</v>
      </c>
      <c r="AJ224">
        <f t="shared" si="49"/>
        <v>0</v>
      </c>
      <c r="AK224">
        <f t="shared" si="50"/>
        <v>0</v>
      </c>
      <c r="AM224">
        <f t="shared" si="51"/>
        <v>0</v>
      </c>
      <c r="AN224">
        <f>IF(B224&lt;&gt;"Sensor Snapshot","",--(N224&gt;='02_Parameters'!$B$13))</f>
        <v>0</v>
      </c>
      <c r="AO224">
        <f>IF(B224&lt;&gt;"Sensor Snapshot","",--(AND(L224="PUMPING",ISNUMBER(AH224),AH224&lt;='02_Parameters'!$B$10)))</f>
        <v>0</v>
      </c>
      <c r="AP224" s="16"/>
      <c r="AQ224" s="16" t="str">
        <f t="shared" si="52"/>
        <v/>
      </c>
      <c r="AR224" s="16" t="str">
        <f t="shared" si="53"/>
        <v/>
      </c>
      <c r="AU224" t="s">
        <v>236</v>
      </c>
      <c r="AV224" t="s">
        <v>237</v>
      </c>
      <c r="AW224" s="3" t="s">
        <v>238</v>
      </c>
      <c r="AX224" s="3">
        <f t="shared" si="54"/>
        <v>100</v>
      </c>
      <c r="AY224" s="3" t="str">
        <f t="shared" si="55"/>
        <v>A</v>
      </c>
      <c r="AZ224" s="3" t="s">
        <v>386</v>
      </c>
      <c r="BA224" s="3"/>
    </row>
    <row r="225" spans="1:53" ht="27.6">
      <c r="A225" t="s">
        <v>525</v>
      </c>
      <c r="B225" t="s">
        <v>231</v>
      </c>
      <c r="C225" s="14">
        <v>645105</v>
      </c>
      <c r="D225" s="15">
        <f t="shared" si="42"/>
        <v>645.10500000000002</v>
      </c>
      <c r="E225" t="s">
        <v>232</v>
      </c>
      <c r="G225" t="s">
        <v>234</v>
      </c>
      <c r="H225" t="s">
        <v>235</v>
      </c>
      <c r="I225" s="3"/>
      <c r="J225" s="3"/>
      <c r="L225" t="s">
        <v>385</v>
      </c>
      <c r="M225">
        <f t="shared" si="43"/>
        <v>0</v>
      </c>
      <c r="N225">
        <v>0</v>
      </c>
      <c r="O225" s="16">
        <v>27.4</v>
      </c>
      <c r="P225" s="16">
        <f>IF(AND(ISNUMBER(O225),O225&lt;&gt;-1,O225&gt;='02_Parameters'!$B$18,O225&lt;='02_Parameters'!$B$19),O225,"")</f>
        <v>27.4</v>
      </c>
      <c r="Q225" s="16">
        <v>27.4</v>
      </c>
      <c r="R225" t="str">
        <f>IF(B225&lt;&gt;"Sensor Snapshot","",IF(O225="","Missing",IF(O225=-1,"Sensor failure sentinel (-1)",IF(OR(O225&lt;'02_Parameters'!$B$18,O225&gt;'02_Parameters'!$B$19),"Out of accepted range","Valid"))))</f>
        <v>Valid</v>
      </c>
      <c r="S225" s="16">
        <v>81.3</v>
      </c>
      <c r="T225" s="16">
        <f>IF(AND(ISNUMBER(S225),S225&lt;&gt;-1,S225&gt;='02_Parameters'!$B$20,S225&lt;='02_Parameters'!$B$21),S225,"")</f>
        <v>81.3</v>
      </c>
      <c r="U225" s="16">
        <v>81.3</v>
      </c>
      <c r="V225" t="str">
        <f>IF(B225&lt;&gt;"Sensor Snapshot","",IF(S225="","Missing",IF(S225=-1,"Sensor failure sentinel (-1)",IF(OR(S225&lt;'02_Parameters'!$B$20,S225&gt;'02_Parameters'!$B$21),"Out of accepted range","Valid"))))</f>
        <v>Valid</v>
      </c>
      <c r="W225" s="16">
        <v>-3</v>
      </c>
      <c r="X225" s="16">
        <f t="shared" si="44"/>
        <v>3</v>
      </c>
      <c r="Y225" t="str">
        <f t="shared" si="45"/>
        <v>Sign corrected to positive</v>
      </c>
      <c r="Z225" s="16"/>
      <c r="AA225">
        <v>1</v>
      </c>
      <c r="AB225">
        <f>IF(B225&lt;&gt;"Sensor Snapshot","",IF(ISNUMBER(AA225),--(AA225&lt;&gt;0),IF(ISNUMBER(Z225),--(Z225&lt;'02_Parameters'!$B$15),"")))</f>
        <v>1</v>
      </c>
      <c r="AC225">
        <f>IF(B225&lt;&gt;"Sensor Snapshot","",IF(ISNUMBER(X225),--(X225&gt;='02_Parameters'!$B$16),""))</f>
        <v>0</v>
      </c>
      <c r="AD225">
        <v>0</v>
      </c>
      <c r="AE225">
        <f t="shared" si="46"/>
        <v>0</v>
      </c>
      <c r="AF225" s="3" t="str">
        <f t="shared" si="47"/>
        <v>Partial detection only</v>
      </c>
      <c r="AG225" s="16">
        <v>0</v>
      </c>
      <c r="AH225" s="16">
        <f>IF(B225&lt;&gt;"Sensor Snapshot","",IF(ISNUMBER(AG225),IF(AG225&lt;0,"",IF(AG225&gt;10,AG225/'02_Parameters'!$B$17,AG225)),""))</f>
        <v>0</v>
      </c>
      <c r="AI225" t="str">
        <f t="shared" si="48"/>
        <v>Valid</v>
      </c>
      <c r="AJ225">
        <f t="shared" si="49"/>
        <v>0</v>
      </c>
      <c r="AK225">
        <f t="shared" si="50"/>
        <v>0</v>
      </c>
      <c r="AM225">
        <f t="shared" si="51"/>
        <v>0</v>
      </c>
      <c r="AN225">
        <f>IF(B225&lt;&gt;"Sensor Snapshot","",--(N225&gt;='02_Parameters'!$B$13))</f>
        <v>0</v>
      </c>
      <c r="AO225">
        <f>IF(B225&lt;&gt;"Sensor Snapshot","",--(AND(L225="PUMPING",ISNUMBER(AH225),AH225&lt;='02_Parameters'!$B$10)))</f>
        <v>0</v>
      </c>
      <c r="AP225" s="16"/>
      <c r="AQ225" s="16" t="str">
        <f t="shared" si="52"/>
        <v/>
      </c>
      <c r="AR225" s="16" t="str">
        <f t="shared" si="53"/>
        <v/>
      </c>
      <c r="AU225" t="s">
        <v>236</v>
      </c>
      <c r="AV225" t="s">
        <v>237</v>
      </c>
      <c r="AW225" s="3" t="s">
        <v>238</v>
      </c>
      <c r="AX225" s="3">
        <f t="shared" si="54"/>
        <v>100</v>
      </c>
      <c r="AY225" s="3" t="str">
        <f t="shared" si="55"/>
        <v>A</v>
      </c>
      <c r="AZ225" s="3" t="s">
        <v>386</v>
      </c>
      <c r="BA225" s="3"/>
    </row>
    <row r="226" spans="1:53" ht="27.6">
      <c r="A226" t="s">
        <v>526</v>
      </c>
      <c r="B226" t="s">
        <v>231</v>
      </c>
      <c r="C226" s="14">
        <v>650124</v>
      </c>
      <c r="D226" s="15">
        <f t="shared" si="42"/>
        <v>650.12400000000002</v>
      </c>
      <c r="E226" t="s">
        <v>232</v>
      </c>
      <c r="G226" t="s">
        <v>234</v>
      </c>
      <c r="H226" t="s">
        <v>235</v>
      </c>
      <c r="I226" s="3"/>
      <c r="J226" s="3"/>
      <c r="L226" t="s">
        <v>385</v>
      </c>
      <c r="M226">
        <f t="shared" si="43"/>
        <v>0</v>
      </c>
      <c r="N226">
        <v>0</v>
      </c>
      <c r="O226" s="16">
        <v>27.3</v>
      </c>
      <c r="P226" s="16">
        <f>IF(AND(ISNUMBER(O226),O226&lt;&gt;-1,O226&gt;='02_Parameters'!$B$18,O226&lt;='02_Parameters'!$B$19),O226,"")</f>
        <v>27.3</v>
      </c>
      <c r="Q226" s="16">
        <v>27.3</v>
      </c>
      <c r="R226" t="str">
        <f>IF(B226&lt;&gt;"Sensor Snapshot","",IF(O226="","Missing",IF(O226=-1,"Sensor failure sentinel (-1)",IF(OR(O226&lt;'02_Parameters'!$B$18,O226&gt;'02_Parameters'!$B$19),"Out of accepted range","Valid"))))</f>
        <v>Valid</v>
      </c>
      <c r="S226" s="16">
        <v>81.3</v>
      </c>
      <c r="T226" s="16">
        <f>IF(AND(ISNUMBER(S226),S226&lt;&gt;-1,S226&gt;='02_Parameters'!$B$20,S226&lt;='02_Parameters'!$B$21),S226,"")</f>
        <v>81.3</v>
      </c>
      <c r="U226" s="16">
        <v>81.3</v>
      </c>
      <c r="V226" t="str">
        <f>IF(B226&lt;&gt;"Sensor Snapshot","",IF(S226="","Missing",IF(S226=-1,"Sensor failure sentinel (-1)",IF(OR(S226&lt;'02_Parameters'!$B$20,S226&gt;'02_Parameters'!$B$21),"Out of accepted range","Valid"))))</f>
        <v>Valid</v>
      </c>
      <c r="W226" s="16">
        <v>-2.9</v>
      </c>
      <c r="X226" s="16">
        <f t="shared" si="44"/>
        <v>2.9</v>
      </c>
      <c r="Y226" t="str">
        <f t="shared" si="45"/>
        <v>Sign corrected to positive</v>
      </c>
      <c r="Z226" s="16"/>
      <c r="AA226">
        <v>1</v>
      </c>
      <c r="AB226">
        <f>IF(B226&lt;&gt;"Sensor Snapshot","",IF(ISNUMBER(AA226),--(AA226&lt;&gt;0),IF(ISNUMBER(Z226),--(Z226&lt;'02_Parameters'!$B$15),"")))</f>
        <v>1</v>
      </c>
      <c r="AC226">
        <f>IF(B226&lt;&gt;"Sensor Snapshot","",IF(ISNUMBER(X226),--(X226&gt;='02_Parameters'!$B$16),""))</f>
        <v>0</v>
      </c>
      <c r="AD226">
        <v>0</v>
      </c>
      <c r="AE226">
        <f t="shared" si="46"/>
        <v>0</v>
      </c>
      <c r="AF226" s="3" t="str">
        <f t="shared" si="47"/>
        <v>Partial detection only</v>
      </c>
      <c r="AG226" s="16">
        <v>0</v>
      </c>
      <c r="AH226" s="16">
        <f>IF(B226&lt;&gt;"Sensor Snapshot","",IF(ISNUMBER(AG226),IF(AG226&lt;0,"",IF(AG226&gt;10,AG226/'02_Parameters'!$B$17,AG226)),""))</f>
        <v>0</v>
      </c>
      <c r="AI226" t="str">
        <f t="shared" si="48"/>
        <v>Valid</v>
      </c>
      <c r="AJ226">
        <f t="shared" si="49"/>
        <v>0</v>
      </c>
      <c r="AK226">
        <f t="shared" si="50"/>
        <v>0</v>
      </c>
      <c r="AM226">
        <f t="shared" si="51"/>
        <v>0</v>
      </c>
      <c r="AN226">
        <f>IF(B226&lt;&gt;"Sensor Snapshot","",--(N226&gt;='02_Parameters'!$B$13))</f>
        <v>0</v>
      </c>
      <c r="AO226">
        <f>IF(B226&lt;&gt;"Sensor Snapshot","",--(AND(L226="PUMPING",ISNUMBER(AH226),AH226&lt;='02_Parameters'!$B$10)))</f>
        <v>0</v>
      </c>
      <c r="AP226" s="16"/>
      <c r="AQ226" s="16" t="str">
        <f t="shared" si="52"/>
        <v/>
      </c>
      <c r="AR226" s="16" t="str">
        <f t="shared" si="53"/>
        <v/>
      </c>
      <c r="AU226" t="s">
        <v>236</v>
      </c>
      <c r="AV226" t="s">
        <v>237</v>
      </c>
      <c r="AW226" s="3" t="s">
        <v>238</v>
      </c>
      <c r="AX226" s="3">
        <f t="shared" si="54"/>
        <v>100</v>
      </c>
      <c r="AY226" s="3" t="str">
        <f t="shared" si="55"/>
        <v>A</v>
      </c>
      <c r="AZ226" s="3" t="s">
        <v>386</v>
      </c>
      <c r="BA226" s="3"/>
    </row>
    <row r="227" spans="1:53" ht="27.6">
      <c r="A227" t="s">
        <v>527</v>
      </c>
      <c r="B227" t="s">
        <v>231</v>
      </c>
      <c r="C227" s="14">
        <v>655141</v>
      </c>
      <c r="D227" s="15">
        <f t="shared" si="42"/>
        <v>655.14099999999996</v>
      </c>
      <c r="E227" t="s">
        <v>232</v>
      </c>
      <c r="G227" t="s">
        <v>234</v>
      </c>
      <c r="H227" t="s">
        <v>235</v>
      </c>
      <c r="I227" s="3"/>
      <c r="J227" s="3"/>
      <c r="L227" t="s">
        <v>385</v>
      </c>
      <c r="M227">
        <f t="shared" si="43"/>
        <v>0</v>
      </c>
      <c r="N227">
        <v>0</v>
      </c>
      <c r="O227" s="16">
        <v>27.4</v>
      </c>
      <c r="P227" s="16">
        <f>IF(AND(ISNUMBER(O227),O227&lt;&gt;-1,O227&gt;='02_Parameters'!$B$18,O227&lt;='02_Parameters'!$B$19),O227,"")</f>
        <v>27.4</v>
      </c>
      <c r="Q227" s="16">
        <v>27.4</v>
      </c>
      <c r="R227" t="str">
        <f>IF(B227&lt;&gt;"Sensor Snapshot","",IF(O227="","Missing",IF(O227=-1,"Sensor failure sentinel (-1)",IF(OR(O227&lt;'02_Parameters'!$B$18,O227&gt;'02_Parameters'!$B$19),"Out of accepted range","Valid"))))</f>
        <v>Valid</v>
      </c>
      <c r="S227" s="16">
        <v>81</v>
      </c>
      <c r="T227" s="16">
        <f>IF(AND(ISNUMBER(S227),S227&lt;&gt;-1,S227&gt;='02_Parameters'!$B$20,S227&lt;='02_Parameters'!$B$21),S227,"")</f>
        <v>81</v>
      </c>
      <c r="U227" s="16">
        <v>81</v>
      </c>
      <c r="V227" t="str">
        <f>IF(B227&lt;&gt;"Sensor Snapshot","",IF(S227="","Missing",IF(S227=-1,"Sensor failure sentinel (-1)",IF(OR(S227&lt;'02_Parameters'!$B$20,S227&gt;'02_Parameters'!$B$21),"Out of accepted range","Valid"))))</f>
        <v>Valid</v>
      </c>
      <c r="W227" s="16">
        <v>-2.9</v>
      </c>
      <c r="X227" s="16">
        <f t="shared" si="44"/>
        <v>2.9</v>
      </c>
      <c r="Y227" t="str">
        <f t="shared" si="45"/>
        <v>Sign corrected to positive</v>
      </c>
      <c r="Z227" s="16"/>
      <c r="AA227">
        <v>1</v>
      </c>
      <c r="AB227">
        <f>IF(B227&lt;&gt;"Sensor Snapshot","",IF(ISNUMBER(AA227),--(AA227&lt;&gt;0),IF(ISNUMBER(Z227),--(Z227&lt;'02_Parameters'!$B$15),"")))</f>
        <v>1</v>
      </c>
      <c r="AC227">
        <f>IF(B227&lt;&gt;"Sensor Snapshot","",IF(ISNUMBER(X227),--(X227&gt;='02_Parameters'!$B$16),""))</f>
        <v>0</v>
      </c>
      <c r="AD227">
        <v>0</v>
      </c>
      <c r="AE227">
        <f t="shared" si="46"/>
        <v>0</v>
      </c>
      <c r="AF227" s="3" t="str">
        <f t="shared" si="47"/>
        <v>Partial detection only</v>
      </c>
      <c r="AG227" s="16">
        <v>0</v>
      </c>
      <c r="AH227" s="16">
        <f>IF(B227&lt;&gt;"Sensor Snapshot","",IF(ISNUMBER(AG227),IF(AG227&lt;0,"",IF(AG227&gt;10,AG227/'02_Parameters'!$B$17,AG227)),""))</f>
        <v>0</v>
      </c>
      <c r="AI227" t="str">
        <f t="shared" si="48"/>
        <v>Valid</v>
      </c>
      <c r="AJ227">
        <f t="shared" si="49"/>
        <v>0</v>
      </c>
      <c r="AK227">
        <f t="shared" si="50"/>
        <v>0</v>
      </c>
      <c r="AM227">
        <f t="shared" si="51"/>
        <v>0</v>
      </c>
      <c r="AN227">
        <f>IF(B227&lt;&gt;"Sensor Snapshot","",--(N227&gt;='02_Parameters'!$B$13))</f>
        <v>0</v>
      </c>
      <c r="AO227">
        <f>IF(B227&lt;&gt;"Sensor Snapshot","",--(AND(L227="PUMPING",ISNUMBER(AH227),AH227&lt;='02_Parameters'!$B$10)))</f>
        <v>0</v>
      </c>
      <c r="AP227" s="16"/>
      <c r="AQ227" s="16" t="str">
        <f t="shared" si="52"/>
        <v/>
      </c>
      <c r="AR227" s="16" t="str">
        <f t="shared" si="53"/>
        <v/>
      </c>
      <c r="AU227" t="s">
        <v>236</v>
      </c>
      <c r="AV227" t="s">
        <v>237</v>
      </c>
      <c r="AW227" s="3" t="s">
        <v>238</v>
      </c>
      <c r="AX227" s="3">
        <f t="shared" si="54"/>
        <v>100</v>
      </c>
      <c r="AY227" s="3" t="str">
        <f t="shared" si="55"/>
        <v>A</v>
      </c>
      <c r="AZ227" s="3" t="s">
        <v>386</v>
      </c>
      <c r="BA227" s="3"/>
    </row>
    <row r="228" spans="1:53" ht="27.6">
      <c r="A228" t="s">
        <v>528</v>
      </c>
      <c r="B228" t="s">
        <v>231</v>
      </c>
      <c r="C228" s="14">
        <v>660161</v>
      </c>
      <c r="D228" s="15">
        <f t="shared" si="42"/>
        <v>660.16099999999994</v>
      </c>
      <c r="E228" t="s">
        <v>232</v>
      </c>
      <c r="G228" t="s">
        <v>234</v>
      </c>
      <c r="H228" t="s">
        <v>235</v>
      </c>
      <c r="I228" s="3"/>
      <c r="J228" s="3"/>
      <c r="L228" t="s">
        <v>385</v>
      </c>
      <c r="M228">
        <f t="shared" si="43"/>
        <v>0</v>
      </c>
      <c r="N228">
        <v>0</v>
      </c>
      <c r="O228" s="16">
        <v>27.4</v>
      </c>
      <c r="P228" s="16">
        <f>IF(AND(ISNUMBER(O228),O228&lt;&gt;-1,O228&gt;='02_Parameters'!$B$18,O228&lt;='02_Parameters'!$B$19),O228,"")</f>
        <v>27.4</v>
      </c>
      <c r="Q228" s="16">
        <v>27.4</v>
      </c>
      <c r="R228" t="str">
        <f>IF(B228&lt;&gt;"Sensor Snapshot","",IF(O228="","Missing",IF(O228=-1,"Sensor failure sentinel (-1)",IF(OR(O228&lt;'02_Parameters'!$B$18,O228&gt;'02_Parameters'!$B$19),"Out of accepted range","Valid"))))</f>
        <v>Valid</v>
      </c>
      <c r="S228" s="16">
        <v>81.099999999999994</v>
      </c>
      <c r="T228" s="16">
        <f>IF(AND(ISNUMBER(S228),S228&lt;&gt;-1,S228&gt;='02_Parameters'!$B$20,S228&lt;='02_Parameters'!$B$21),S228,"")</f>
        <v>81.099999999999994</v>
      </c>
      <c r="U228" s="16">
        <v>81.099999999999994</v>
      </c>
      <c r="V228" t="str">
        <f>IF(B228&lt;&gt;"Sensor Snapshot","",IF(S228="","Missing",IF(S228=-1,"Sensor failure sentinel (-1)",IF(OR(S228&lt;'02_Parameters'!$B$20,S228&gt;'02_Parameters'!$B$21),"Out of accepted range","Valid"))))</f>
        <v>Valid</v>
      </c>
      <c r="W228" s="16">
        <v>-2.9</v>
      </c>
      <c r="X228" s="16">
        <f t="shared" si="44"/>
        <v>2.9</v>
      </c>
      <c r="Y228" t="str">
        <f t="shared" si="45"/>
        <v>Sign corrected to positive</v>
      </c>
      <c r="Z228" s="16"/>
      <c r="AA228">
        <v>1</v>
      </c>
      <c r="AB228">
        <f>IF(B228&lt;&gt;"Sensor Snapshot","",IF(ISNUMBER(AA228),--(AA228&lt;&gt;0),IF(ISNUMBER(Z228),--(Z228&lt;'02_Parameters'!$B$15),"")))</f>
        <v>1</v>
      </c>
      <c r="AC228">
        <f>IF(B228&lt;&gt;"Sensor Snapshot","",IF(ISNUMBER(X228),--(X228&gt;='02_Parameters'!$B$16),""))</f>
        <v>0</v>
      </c>
      <c r="AD228">
        <v>0</v>
      </c>
      <c r="AE228">
        <f t="shared" si="46"/>
        <v>0</v>
      </c>
      <c r="AF228" s="3" t="str">
        <f t="shared" si="47"/>
        <v>Partial detection only</v>
      </c>
      <c r="AG228" s="16">
        <v>0</v>
      </c>
      <c r="AH228" s="16">
        <f>IF(B228&lt;&gt;"Sensor Snapshot","",IF(ISNUMBER(AG228),IF(AG228&lt;0,"",IF(AG228&gt;10,AG228/'02_Parameters'!$B$17,AG228)),""))</f>
        <v>0</v>
      </c>
      <c r="AI228" t="str">
        <f t="shared" si="48"/>
        <v>Valid</v>
      </c>
      <c r="AJ228">
        <f t="shared" si="49"/>
        <v>0</v>
      </c>
      <c r="AK228">
        <f t="shared" si="50"/>
        <v>0</v>
      </c>
      <c r="AM228">
        <f t="shared" si="51"/>
        <v>0</v>
      </c>
      <c r="AN228">
        <f>IF(B228&lt;&gt;"Sensor Snapshot","",--(N228&gt;='02_Parameters'!$B$13))</f>
        <v>0</v>
      </c>
      <c r="AO228">
        <f>IF(B228&lt;&gt;"Sensor Snapshot","",--(AND(L228="PUMPING",ISNUMBER(AH228),AH228&lt;='02_Parameters'!$B$10)))</f>
        <v>0</v>
      </c>
      <c r="AP228" s="16"/>
      <c r="AQ228" s="16" t="str">
        <f t="shared" si="52"/>
        <v/>
      </c>
      <c r="AR228" s="16" t="str">
        <f t="shared" si="53"/>
        <v/>
      </c>
      <c r="AU228" t="s">
        <v>236</v>
      </c>
      <c r="AV228" t="s">
        <v>237</v>
      </c>
      <c r="AW228" s="3" t="s">
        <v>238</v>
      </c>
      <c r="AX228" s="3">
        <f t="shared" si="54"/>
        <v>100</v>
      </c>
      <c r="AY228" s="3" t="str">
        <f t="shared" si="55"/>
        <v>A</v>
      </c>
      <c r="AZ228" s="3" t="s">
        <v>386</v>
      </c>
      <c r="BA228" s="3"/>
    </row>
    <row r="229" spans="1:53" ht="27.6">
      <c r="A229" t="s">
        <v>529</v>
      </c>
      <c r="B229" t="s">
        <v>231</v>
      </c>
      <c r="C229" s="14">
        <v>665180</v>
      </c>
      <c r="D229" s="15">
        <f t="shared" si="42"/>
        <v>665.18</v>
      </c>
      <c r="E229" t="s">
        <v>232</v>
      </c>
      <c r="G229" t="s">
        <v>234</v>
      </c>
      <c r="H229" t="s">
        <v>235</v>
      </c>
      <c r="I229" s="3"/>
      <c r="J229" s="3"/>
      <c r="L229" t="s">
        <v>385</v>
      </c>
      <c r="M229">
        <f t="shared" si="43"/>
        <v>0</v>
      </c>
      <c r="N229">
        <v>0</v>
      </c>
      <c r="O229" s="16">
        <v>27.3</v>
      </c>
      <c r="P229" s="16">
        <f>IF(AND(ISNUMBER(O229),O229&lt;&gt;-1,O229&gt;='02_Parameters'!$B$18,O229&lt;='02_Parameters'!$B$19),O229,"")</f>
        <v>27.3</v>
      </c>
      <c r="Q229" s="16">
        <v>27.3</v>
      </c>
      <c r="R229" t="str">
        <f>IF(B229&lt;&gt;"Sensor Snapshot","",IF(O229="","Missing",IF(O229=-1,"Sensor failure sentinel (-1)",IF(OR(O229&lt;'02_Parameters'!$B$18,O229&gt;'02_Parameters'!$B$19),"Out of accepted range","Valid"))))</f>
        <v>Valid</v>
      </c>
      <c r="S229" s="16">
        <v>81</v>
      </c>
      <c r="T229" s="16">
        <f>IF(AND(ISNUMBER(S229),S229&lt;&gt;-1,S229&gt;='02_Parameters'!$B$20,S229&lt;='02_Parameters'!$B$21),S229,"")</f>
        <v>81</v>
      </c>
      <c r="U229" s="16">
        <v>81</v>
      </c>
      <c r="V229" t="str">
        <f>IF(B229&lt;&gt;"Sensor Snapshot","",IF(S229="","Missing",IF(S229=-1,"Sensor failure sentinel (-1)",IF(OR(S229&lt;'02_Parameters'!$B$20,S229&gt;'02_Parameters'!$B$21),"Out of accepted range","Valid"))))</f>
        <v>Valid</v>
      </c>
      <c r="W229" s="16">
        <v>-2.8</v>
      </c>
      <c r="X229" s="16">
        <f t="shared" si="44"/>
        <v>2.8</v>
      </c>
      <c r="Y229" t="str">
        <f t="shared" si="45"/>
        <v>Sign corrected to positive</v>
      </c>
      <c r="Z229" s="16"/>
      <c r="AA229">
        <v>1</v>
      </c>
      <c r="AB229">
        <f>IF(B229&lt;&gt;"Sensor Snapshot","",IF(ISNUMBER(AA229),--(AA229&lt;&gt;0),IF(ISNUMBER(Z229),--(Z229&lt;'02_Parameters'!$B$15),"")))</f>
        <v>1</v>
      </c>
      <c r="AC229">
        <f>IF(B229&lt;&gt;"Sensor Snapshot","",IF(ISNUMBER(X229),--(X229&gt;='02_Parameters'!$B$16),""))</f>
        <v>0</v>
      </c>
      <c r="AD229">
        <v>0</v>
      </c>
      <c r="AE229">
        <f t="shared" si="46"/>
        <v>0</v>
      </c>
      <c r="AF229" s="3" t="str">
        <f t="shared" si="47"/>
        <v>Partial detection only</v>
      </c>
      <c r="AG229" s="16">
        <v>0</v>
      </c>
      <c r="AH229" s="16">
        <f>IF(B229&lt;&gt;"Sensor Snapshot","",IF(ISNUMBER(AG229),IF(AG229&lt;0,"",IF(AG229&gt;10,AG229/'02_Parameters'!$B$17,AG229)),""))</f>
        <v>0</v>
      </c>
      <c r="AI229" t="str">
        <f t="shared" si="48"/>
        <v>Valid</v>
      </c>
      <c r="AJ229">
        <f t="shared" si="49"/>
        <v>0</v>
      </c>
      <c r="AK229">
        <f t="shared" si="50"/>
        <v>0</v>
      </c>
      <c r="AM229">
        <f t="shared" si="51"/>
        <v>0</v>
      </c>
      <c r="AN229">
        <f>IF(B229&lt;&gt;"Sensor Snapshot","",--(N229&gt;='02_Parameters'!$B$13))</f>
        <v>0</v>
      </c>
      <c r="AO229">
        <f>IF(B229&lt;&gt;"Sensor Snapshot","",--(AND(L229="PUMPING",ISNUMBER(AH229),AH229&lt;='02_Parameters'!$B$10)))</f>
        <v>0</v>
      </c>
      <c r="AP229" s="16"/>
      <c r="AQ229" s="16" t="str">
        <f t="shared" si="52"/>
        <v/>
      </c>
      <c r="AR229" s="16" t="str">
        <f t="shared" si="53"/>
        <v/>
      </c>
      <c r="AU229" t="s">
        <v>236</v>
      </c>
      <c r="AV229" t="s">
        <v>237</v>
      </c>
      <c r="AW229" s="3" t="s">
        <v>238</v>
      </c>
      <c r="AX229" s="3">
        <f t="shared" si="54"/>
        <v>100</v>
      </c>
      <c r="AY229" s="3" t="str">
        <f t="shared" si="55"/>
        <v>A</v>
      </c>
      <c r="AZ229" s="3" t="s">
        <v>386</v>
      </c>
      <c r="BA229" s="3"/>
    </row>
    <row r="230" spans="1:53" ht="27.6">
      <c r="A230" t="s">
        <v>530</v>
      </c>
      <c r="B230" t="s">
        <v>231</v>
      </c>
      <c r="C230" s="14">
        <v>670196</v>
      </c>
      <c r="D230" s="15">
        <f t="shared" si="42"/>
        <v>670.19600000000003</v>
      </c>
      <c r="E230" t="s">
        <v>232</v>
      </c>
      <c r="G230" t="s">
        <v>234</v>
      </c>
      <c r="H230" t="s">
        <v>235</v>
      </c>
      <c r="I230" s="3"/>
      <c r="J230" s="3"/>
      <c r="L230" t="s">
        <v>385</v>
      </c>
      <c r="M230">
        <f t="shared" si="43"/>
        <v>0</v>
      </c>
      <c r="N230">
        <v>0</v>
      </c>
      <c r="O230" s="16">
        <v>27.4</v>
      </c>
      <c r="P230" s="16">
        <f>IF(AND(ISNUMBER(O230),O230&lt;&gt;-1,O230&gt;='02_Parameters'!$B$18,O230&lt;='02_Parameters'!$B$19),O230,"")</f>
        <v>27.4</v>
      </c>
      <c r="Q230" s="16">
        <v>27.4</v>
      </c>
      <c r="R230" t="str">
        <f>IF(B230&lt;&gt;"Sensor Snapshot","",IF(O230="","Missing",IF(O230=-1,"Sensor failure sentinel (-1)",IF(OR(O230&lt;'02_Parameters'!$B$18,O230&gt;'02_Parameters'!$B$19),"Out of accepted range","Valid"))))</f>
        <v>Valid</v>
      </c>
      <c r="S230" s="16">
        <v>81</v>
      </c>
      <c r="T230" s="16">
        <f>IF(AND(ISNUMBER(S230),S230&lt;&gt;-1,S230&gt;='02_Parameters'!$B$20,S230&lt;='02_Parameters'!$B$21),S230,"")</f>
        <v>81</v>
      </c>
      <c r="U230" s="16">
        <v>81</v>
      </c>
      <c r="V230" t="str">
        <f>IF(B230&lt;&gt;"Sensor Snapshot","",IF(S230="","Missing",IF(S230=-1,"Sensor failure sentinel (-1)",IF(OR(S230&lt;'02_Parameters'!$B$20,S230&gt;'02_Parameters'!$B$21),"Out of accepted range","Valid"))))</f>
        <v>Valid</v>
      </c>
      <c r="W230" s="16">
        <v>-2.9</v>
      </c>
      <c r="X230" s="16">
        <f t="shared" si="44"/>
        <v>2.9</v>
      </c>
      <c r="Y230" t="str">
        <f t="shared" si="45"/>
        <v>Sign corrected to positive</v>
      </c>
      <c r="Z230" s="16"/>
      <c r="AA230">
        <v>1</v>
      </c>
      <c r="AB230">
        <f>IF(B230&lt;&gt;"Sensor Snapshot","",IF(ISNUMBER(AA230),--(AA230&lt;&gt;0),IF(ISNUMBER(Z230),--(Z230&lt;'02_Parameters'!$B$15),"")))</f>
        <v>1</v>
      </c>
      <c r="AC230">
        <f>IF(B230&lt;&gt;"Sensor Snapshot","",IF(ISNUMBER(X230),--(X230&gt;='02_Parameters'!$B$16),""))</f>
        <v>0</v>
      </c>
      <c r="AD230">
        <v>0</v>
      </c>
      <c r="AE230">
        <f t="shared" si="46"/>
        <v>0</v>
      </c>
      <c r="AF230" s="3" t="str">
        <f t="shared" si="47"/>
        <v>Partial detection only</v>
      </c>
      <c r="AG230" s="16">
        <v>0</v>
      </c>
      <c r="AH230" s="16">
        <f>IF(B230&lt;&gt;"Sensor Snapshot","",IF(ISNUMBER(AG230),IF(AG230&lt;0,"",IF(AG230&gt;10,AG230/'02_Parameters'!$B$17,AG230)),""))</f>
        <v>0</v>
      </c>
      <c r="AI230" t="str">
        <f t="shared" si="48"/>
        <v>Valid</v>
      </c>
      <c r="AJ230">
        <f t="shared" si="49"/>
        <v>0</v>
      </c>
      <c r="AK230">
        <f t="shared" si="50"/>
        <v>0</v>
      </c>
      <c r="AM230">
        <f t="shared" si="51"/>
        <v>0</v>
      </c>
      <c r="AN230">
        <f>IF(B230&lt;&gt;"Sensor Snapshot","",--(N230&gt;='02_Parameters'!$B$13))</f>
        <v>0</v>
      </c>
      <c r="AO230">
        <f>IF(B230&lt;&gt;"Sensor Snapshot","",--(AND(L230="PUMPING",ISNUMBER(AH230),AH230&lt;='02_Parameters'!$B$10)))</f>
        <v>0</v>
      </c>
      <c r="AP230" s="16"/>
      <c r="AQ230" s="16" t="str">
        <f t="shared" si="52"/>
        <v/>
      </c>
      <c r="AR230" s="16" t="str">
        <f t="shared" si="53"/>
        <v/>
      </c>
      <c r="AU230" t="s">
        <v>236</v>
      </c>
      <c r="AV230" t="s">
        <v>237</v>
      </c>
      <c r="AW230" s="3" t="s">
        <v>238</v>
      </c>
      <c r="AX230" s="3">
        <f t="shared" si="54"/>
        <v>100</v>
      </c>
      <c r="AY230" s="3" t="str">
        <f t="shared" si="55"/>
        <v>A</v>
      </c>
      <c r="AZ230" s="3" t="s">
        <v>386</v>
      </c>
      <c r="BA230" s="3"/>
    </row>
    <row r="231" spans="1:53" ht="27.6">
      <c r="A231" t="s">
        <v>531</v>
      </c>
      <c r="B231" t="s">
        <v>231</v>
      </c>
      <c r="C231" s="14">
        <v>675214</v>
      </c>
      <c r="D231" s="15">
        <f t="shared" si="42"/>
        <v>675.21400000000006</v>
      </c>
      <c r="E231" t="s">
        <v>232</v>
      </c>
      <c r="G231" t="s">
        <v>234</v>
      </c>
      <c r="H231" t="s">
        <v>235</v>
      </c>
      <c r="I231" s="3"/>
      <c r="J231" s="3"/>
      <c r="L231" t="s">
        <v>385</v>
      </c>
      <c r="M231">
        <f t="shared" si="43"/>
        <v>0</v>
      </c>
      <c r="N231">
        <v>0</v>
      </c>
      <c r="O231" s="16">
        <v>27.3</v>
      </c>
      <c r="P231" s="16">
        <f>IF(AND(ISNUMBER(O231),O231&lt;&gt;-1,O231&gt;='02_Parameters'!$B$18,O231&lt;='02_Parameters'!$B$19),O231,"")</f>
        <v>27.3</v>
      </c>
      <c r="Q231" s="16">
        <v>27.3</v>
      </c>
      <c r="R231" t="str">
        <f>IF(B231&lt;&gt;"Sensor Snapshot","",IF(O231="","Missing",IF(O231=-1,"Sensor failure sentinel (-1)",IF(OR(O231&lt;'02_Parameters'!$B$18,O231&gt;'02_Parameters'!$B$19),"Out of accepted range","Valid"))))</f>
        <v>Valid</v>
      </c>
      <c r="S231" s="16">
        <v>81</v>
      </c>
      <c r="T231" s="16">
        <f>IF(AND(ISNUMBER(S231),S231&lt;&gt;-1,S231&gt;='02_Parameters'!$B$20,S231&lt;='02_Parameters'!$B$21),S231,"")</f>
        <v>81</v>
      </c>
      <c r="U231" s="16">
        <v>81</v>
      </c>
      <c r="V231" t="str">
        <f>IF(B231&lt;&gt;"Sensor Snapshot","",IF(S231="","Missing",IF(S231=-1,"Sensor failure sentinel (-1)",IF(OR(S231&lt;'02_Parameters'!$B$20,S231&gt;'02_Parameters'!$B$21),"Out of accepted range","Valid"))))</f>
        <v>Valid</v>
      </c>
      <c r="W231" s="16">
        <v>-2.7</v>
      </c>
      <c r="X231" s="16">
        <f t="shared" si="44"/>
        <v>2.7</v>
      </c>
      <c r="Y231" t="str">
        <f t="shared" si="45"/>
        <v>Sign corrected to positive</v>
      </c>
      <c r="Z231" s="16"/>
      <c r="AA231">
        <v>1</v>
      </c>
      <c r="AB231">
        <f>IF(B231&lt;&gt;"Sensor Snapshot","",IF(ISNUMBER(AA231),--(AA231&lt;&gt;0),IF(ISNUMBER(Z231),--(Z231&lt;'02_Parameters'!$B$15),"")))</f>
        <v>1</v>
      </c>
      <c r="AC231">
        <f>IF(B231&lt;&gt;"Sensor Snapshot","",IF(ISNUMBER(X231),--(X231&gt;='02_Parameters'!$B$16),""))</f>
        <v>0</v>
      </c>
      <c r="AD231">
        <v>0</v>
      </c>
      <c r="AE231">
        <f t="shared" si="46"/>
        <v>0</v>
      </c>
      <c r="AF231" s="3" t="str">
        <f t="shared" si="47"/>
        <v>Partial detection only</v>
      </c>
      <c r="AG231" s="16">
        <v>0</v>
      </c>
      <c r="AH231" s="16">
        <f>IF(B231&lt;&gt;"Sensor Snapshot","",IF(ISNUMBER(AG231),IF(AG231&lt;0,"",IF(AG231&gt;10,AG231/'02_Parameters'!$B$17,AG231)),""))</f>
        <v>0</v>
      </c>
      <c r="AI231" t="str">
        <f t="shared" si="48"/>
        <v>Valid</v>
      </c>
      <c r="AJ231">
        <f t="shared" si="49"/>
        <v>0</v>
      </c>
      <c r="AK231">
        <f t="shared" si="50"/>
        <v>0</v>
      </c>
      <c r="AM231">
        <f t="shared" si="51"/>
        <v>0</v>
      </c>
      <c r="AN231">
        <f>IF(B231&lt;&gt;"Sensor Snapshot","",--(N231&gt;='02_Parameters'!$B$13))</f>
        <v>0</v>
      </c>
      <c r="AO231">
        <f>IF(B231&lt;&gt;"Sensor Snapshot","",--(AND(L231="PUMPING",ISNUMBER(AH231),AH231&lt;='02_Parameters'!$B$10)))</f>
        <v>0</v>
      </c>
      <c r="AP231" s="16"/>
      <c r="AQ231" s="16" t="str">
        <f t="shared" si="52"/>
        <v/>
      </c>
      <c r="AR231" s="16" t="str">
        <f t="shared" si="53"/>
        <v/>
      </c>
      <c r="AU231" t="s">
        <v>236</v>
      </c>
      <c r="AV231" t="s">
        <v>237</v>
      </c>
      <c r="AW231" s="3" t="s">
        <v>238</v>
      </c>
      <c r="AX231" s="3">
        <f t="shared" si="54"/>
        <v>100</v>
      </c>
      <c r="AY231" s="3" t="str">
        <f t="shared" si="55"/>
        <v>A</v>
      </c>
      <c r="AZ231" s="3" t="s">
        <v>386</v>
      </c>
      <c r="BA231" s="3"/>
    </row>
    <row r="232" spans="1:53" ht="27.6">
      <c r="A232" t="s">
        <v>532</v>
      </c>
      <c r="B232" t="s">
        <v>231</v>
      </c>
      <c r="C232" s="14">
        <v>680231</v>
      </c>
      <c r="D232" s="15">
        <f t="shared" si="42"/>
        <v>680.23099999999999</v>
      </c>
      <c r="E232" t="s">
        <v>232</v>
      </c>
      <c r="G232" t="s">
        <v>234</v>
      </c>
      <c r="H232" t="s">
        <v>235</v>
      </c>
      <c r="I232" s="3"/>
      <c r="J232" s="3"/>
      <c r="L232" t="s">
        <v>385</v>
      </c>
      <c r="M232">
        <f t="shared" si="43"/>
        <v>0</v>
      </c>
      <c r="N232">
        <v>0</v>
      </c>
      <c r="O232" s="16">
        <v>27.4</v>
      </c>
      <c r="P232" s="16">
        <f>IF(AND(ISNUMBER(O232),O232&lt;&gt;-1,O232&gt;='02_Parameters'!$B$18,O232&lt;='02_Parameters'!$B$19),O232,"")</f>
        <v>27.4</v>
      </c>
      <c r="Q232" s="16">
        <v>27.4</v>
      </c>
      <c r="R232" t="str">
        <f>IF(B232&lt;&gt;"Sensor Snapshot","",IF(O232="","Missing",IF(O232=-1,"Sensor failure sentinel (-1)",IF(OR(O232&lt;'02_Parameters'!$B$18,O232&gt;'02_Parameters'!$B$19),"Out of accepted range","Valid"))))</f>
        <v>Valid</v>
      </c>
      <c r="S232" s="16">
        <v>80.900000000000006</v>
      </c>
      <c r="T232" s="16">
        <f>IF(AND(ISNUMBER(S232),S232&lt;&gt;-1,S232&gt;='02_Parameters'!$B$20,S232&lt;='02_Parameters'!$B$21),S232,"")</f>
        <v>80.900000000000006</v>
      </c>
      <c r="U232" s="16">
        <v>80.900000000000006</v>
      </c>
      <c r="V232" t="str">
        <f>IF(B232&lt;&gt;"Sensor Snapshot","",IF(S232="","Missing",IF(S232=-1,"Sensor failure sentinel (-1)",IF(OR(S232&lt;'02_Parameters'!$B$20,S232&gt;'02_Parameters'!$B$21),"Out of accepted range","Valid"))))</f>
        <v>Valid</v>
      </c>
      <c r="W232" s="16">
        <v>-2.8</v>
      </c>
      <c r="X232" s="16">
        <f t="shared" si="44"/>
        <v>2.8</v>
      </c>
      <c r="Y232" t="str">
        <f t="shared" si="45"/>
        <v>Sign corrected to positive</v>
      </c>
      <c r="Z232" s="16"/>
      <c r="AA232">
        <v>1</v>
      </c>
      <c r="AB232">
        <f>IF(B232&lt;&gt;"Sensor Snapshot","",IF(ISNUMBER(AA232),--(AA232&lt;&gt;0),IF(ISNUMBER(Z232),--(Z232&lt;'02_Parameters'!$B$15),"")))</f>
        <v>1</v>
      </c>
      <c r="AC232">
        <f>IF(B232&lt;&gt;"Sensor Snapshot","",IF(ISNUMBER(X232),--(X232&gt;='02_Parameters'!$B$16),""))</f>
        <v>0</v>
      </c>
      <c r="AD232">
        <v>0</v>
      </c>
      <c r="AE232">
        <f t="shared" si="46"/>
        <v>0</v>
      </c>
      <c r="AF232" s="3" t="str">
        <f t="shared" si="47"/>
        <v>Partial detection only</v>
      </c>
      <c r="AG232" s="16">
        <v>0</v>
      </c>
      <c r="AH232" s="16">
        <f>IF(B232&lt;&gt;"Sensor Snapshot","",IF(ISNUMBER(AG232),IF(AG232&lt;0,"",IF(AG232&gt;10,AG232/'02_Parameters'!$B$17,AG232)),""))</f>
        <v>0</v>
      </c>
      <c r="AI232" t="str">
        <f t="shared" si="48"/>
        <v>Valid</v>
      </c>
      <c r="AJ232">
        <f t="shared" si="49"/>
        <v>0</v>
      </c>
      <c r="AK232">
        <f t="shared" si="50"/>
        <v>0</v>
      </c>
      <c r="AM232">
        <f t="shared" si="51"/>
        <v>0</v>
      </c>
      <c r="AN232">
        <f>IF(B232&lt;&gt;"Sensor Snapshot","",--(N232&gt;='02_Parameters'!$B$13))</f>
        <v>0</v>
      </c>
      <c r="AO232">
        <f>IF(B232&lt;&gt;"Sensor Snapshot","",--(AND(L232="PUMPING",ISNUMBER(AH232),AH232&lt;='02_Parameters'!$B$10)))</f>
        <v>0</v>
      </c>
      <c r="AP232" s="16"/>
      <c r="AQ232" s="16" t="str">
        <f t="shared" si="52"/>
        <v/>
      </c>
      <c r="AR232" s="16" t="str">
        <f t="shared" si="53"/>
        <v/>
      </c>
      <c r="AU232" t="s">
        <v>236</v>
      </c>
      <c r="AV232" t="s">
        <v>237</v>
      </c>
      <c r="AW232" s="3" t="s">
        <v>238</v>
      </c>
      <c r="AX232" s="3">
        <f t="shared" si="54"/>
        <v>100</v>
      </c>
      <c r="AY232" s="3" t="str">
        <f t="shared" si="55"/>
        <v>A</v>
      </c>
      <c r="AZ232" s="3" t="s">
        <v>386</v>
      </c>
      <c r="BA232" s="3"/>
    </row>
    <row r="233" spans="1:53" ht="27.6">
      <c r="A233" t="s">
        <v>533</v>
      </c>
      <c r="B233" t="s">
        <v>231</v>
      </c>
      <c r="C233" s="14">
        <v>685249</v>
      </c>
      <c r="D233" s="15">
        <f t="shared" si="42"/>
        <v>685.24900000000002</v>
      </c>
      <c r="E233" t="s">
        <v>232</v>
      </c>
      <c r="G233" t="s">
        <v>234</v>
      </c>
      <c r="H233" t="s">
        <v>235</v>
      </c>
      <c r="I233" s="3"/>
      <c r="J233" s="3"/>
      <c r="L233" t="s">
        <v>385</v>
      </c>
      <c r="M233">
        <f t="shared" si="43"/>
        <v>0</v>
      </c>
      <c r="N233">
        <v>0</v>
      </c>
      <c r="O233" s="16">
        <v>27.4</v>
      </c>
      <c r="P233" s="16">
        <f>IF(AND(ISNUMBER(O233),O233&lt;&gt;-1,O233&gt;='02_Parameters'!$B$18,O233&lt;='02_Parameters'!$B$19),O233,"")</f>
        <v>27.4</v>
      </c>
      <c r="Q233" s="16">
        <v>27.4</v>
      </c>
      <c r="R233" t="str">
        <f>IF(B233&lt;&gt;"Sensor Snapshot","",IF(O233="","Missing",IF(O233=-1,"Sensor failure sentinel (-1)",IF(OR(O233&lt;'02_Parameters'!$B$18,O233&gt;'02_Parameters'!$B$19),"Out of accepted range","Valid"))))</f>
        <v>Valid</v>
      </c>
      <c r="S233" s="16">
        <v>80.900000000000006</v>
      </c>
      <c r="T233" s="16">
        <f>IF(AND(ISNUMBER(S233),S233&lt;&gt;-1,S233&gt;='02_Parameters'!$B$20,S233&lt;='02_Parameters'!$B$21),S233,"")</f>
        <v>80.900000000000006</v>
      </c>
      <c r="U233" s="16">
        <v>80.900000000000006</v>
      </c>
      <c r="V233" t="str">
        <f>IF(B233&lt;&gt;"Sensor Snapshot","",IF(S233="","Missing",IF(S233=-1,"Sensor failure sentinel (-1)",IF(OR(S233&lt;'02_Parameters'!$B$20,S233&gt;'02_Parameters'!$B$21),"Out of accepted range","Valid"))))</f>
        <v>Valid</v>
      </c>
      <c r="W233" s="16">
        <v>-2.7</v>
      </c>
      <c r="X233" s="16">
        <f t="shared" si="44"/>
        <v>2.7</v>
      </c>
      <c r="Y233" t="str">
        <f t="shared" si="45"/>
        <v>Sign corrected to positive</v>
      </c>
      <c r="Z233" s="16"/>
      <c r="AA233">
        <v>1</v>
      </c>
      <c r="AB233">
        <f>IF(B233&lt;&gt;"Sensor Snapshot","",IF(ISNUMBER(AA233),--(AA233&lt;&gt;0),IF(ISNUMBER(Z233),--(Z233&lt;'02_Parameters'!$B$15),"")))</f>
        <v>1</v>
      </c>
      <c r="AC233">
        <f>IF(B233&lt;&gt;"Sensor Snapshot","",IF(ISNUMBER(X233),--(X233&gt;='02_Parameters'!$B$16),""))</f>
        <v>0</v>
      </c>
      <c r="AD233">
        <v>0</v>
      </c>
      <c r="AE233">
        <f t="shared" si="46"/>
        <v>0</v>
      </c>
      <c r="AF233" s="3" t="str">
        <f t="shared" si="47"/>
        <v>Partial detection only</v>
      </c>
      <c r="AG233" s="16">
        <v>0</v>
      </c>
      <c r="AH233" s="16">
        <f>IF(B233&lt;&gt;"Sensor Snapshot","",IF(ISNUMBER(AG233),IF(AG233&lt;0,"",IF(AG233&gt;10,AG233/'02_Parameters'!$B$17,AG233)),""))</f>
        <v>0</v>
      </c>
      <c r="AI233" t="str">
        <f t="shared" si="48"/>
        <v>Valid</v>
      </c>
      <c r="AJ233">
        <f t="shared" si="49"/>
        <v>0</v>
      </c>
      <c r="AK233">
        <f t="shared" si="50"/>
        <v>0</v>
      </c>
      <c r="AM233">
        <f t="shared" si="51"/>
        <v>0</v>
      </c>
      <c r="AN233">
        <f>IF(B233&lt;&gt;"Sensor Snapshot","",--(N233&gt;='02_Parameters'!$B$13))</f>
        <v>0</v>
      </c>
      <c r="AO233">
        <f>IF(B233&lt;&gt;"Sensor Snapshot","",--(AND(L233="PUMPING",ISNUMBER(AH233),AH233&lt;='02_Parameters'!$B$10)))</f>
        <v>0</v>
      </c>
      <c r="AP233" s="16"/>
      <c r="AQ233" s="16" t="str">
        <f t="shared" si="52"/>
        <v/>
      </c>
      <c r="AR233" s="16" t="str">
        <f t="shared" si="53"/>
        <v/>
      </c>
      <c r="AU233" t="s">
        <v>236</v>
      </c>
      <c r="AV233" t="s">
        <v>237</v>
      </c>
      <c r="AW233" s="3" t="s">
        <v>238</v>
      </c>
      <c r="AX233" s="3">
        <f t="shared" si="54"/>
        <v>100</v>
      </c>
      <c r="AY233" s="3" t="str">
        <f t="shared" si="55"/>
        <v>A</v>
      </c>
      <c r="AZ233" s="3" t="s">
        <v>386</v>
      </c>
      <c r="BA233" s="3"/>
    </row>
    <row r="234" spans="1:53" ht="27.6">
      <c r="A234" t="s">
        <v>534</v>
      </c>
      <c r="B234" t="s">
        <v>231</v>
      </c>
      <c r="C234" s="14">
        <v>690268</v>
      </c>
      <c r="D234" s="15">
        <f t="shared" si="42"/>
        <v>690.26800000000003</v>
      </c>
      <c r="E234" t="s">
        <v>232</v>
      </c>
      <c r="G234" t="s">
        <v>234</v>
      </c>
      <c r="H234" t="s">
        <v>235</v>
      </c>
      <c r="I234" s="3"/>
      <c r="J234" s="3"/>
      <c r="L234" t="s">
        <v>385</v>
      </c>
      <c r="M234">
        <f t="shared" si="43"/>
        <v>0</v>
      </c>
      <c r="N234">
        <v>0</v>
      </c>
      <c r="O234" s="16">
        <v>27.4</v>
      </c>
      <c r="P234" s="16">
        <f>IF(AND(ISNUMBER(O234),O234&lt;&gt;-1,O234&gt;='02_Parameters'!$B$18,O234&lt;='02_Parameters'!$B$19),O234,"")</f>
        <v>27.4</v>
      </c>
      <c r="Q234" s="16">
        <v>27.4</v>
      </c>
      <c r="R234" t="str">
        <f>IF(B234&lt;&gt;"Sensor Snapshot","",IF(O234="","Missing",IF(O234=-1,"Sensor failure sentinel (-1)",IF(OR(O234&lt;'02_Parameters'!$B$18,O234&gt;'02_Parameters'!$B$19),"Out of accepted range","Valid"))))</f>
        <v>Valid</v>
      </c>
      <c r="S234" s="16">
        <v>80.8</v>
      </c>
      <c r="T234" s="16">
        <f>IF(AND(ISNUMBER(S234),S234&lt;&gt;-1,S234&gt;='02_Parameters'!$B$20,S234&lt;='02_Parameters'!$B$21),S234,"")</f>
        <v>80.8</v>
      </c>
      <c r="U234" s="16">
        <v>80.8</v>
      </c>
      <c r="V234" t="str">
        <f>IF(B234&lt;&gt;"Sensor Snapshot","",IF(S234="","Missing",IF(S234=-1,"Sensor failure sentinel (-1)",IF(OR(S234&lt;'02_Parameters'!$B$20,S234&gt;'02_Parameters'!$B$21),"Out of accepted range","Valid"))))</f>
        <v>Valid</v>
      </c>
      <c r="W234" s="16">
        <v>-2.7</v>
      </c>
      <c r="X234" s="16">
        <f t="shared" si="44"/>
        <v>2.7</v>
      </c>
      <c r="Y234" t="str">
        <f t="shared" si="45"/>
        <v>Sign corrected to positive</v>
      </c>
      <c r="Z234" s="16"/>
      <c r="AA234">
        <v>1</v>
      </c>
      <c r="AB234">
        <f>IF(B234&lt;&gt;"Sensor Snapshot","",IF(ISNUMBER(AA234),--(AA234&lt;&gt;0),IF(ISNUMBER(Z234),--(Z234&lt;'02_Parameters'!$B$15),"")))</f>
        <v>1</v>
      </c>
      <c r="AC234">
        <f>IF(B234&lt;&gt;"Sensor Snapshot","",IF(ISNUMBER(X234),--(X234&gt;='02_Parameters'!$B$16),""))</f>
        <v>0</v>
      </c>
      <c r="AD234">
        <v>0</v>
      </c>
      <c r="AE234">
        <f t="shared" si="46"/>
        <v>0</v>
      </c>
      <c r="AF234" s="3" t="str">
        <f t="shared" si="47"/>
        <v>Partial detection only</v>
      </c>
      <c r="AG234" s="16">
        <v>0</v>
      </c>
      <c r="AH234" s="16">
        <f>IF(B234&lt;&gt;"Sensor Snapshot","",IF(ISNUMBER(AG234),IF(AG234&lt;0,"",IF(AG234&gt;10,AG234/'02_Parameters'!$B$17,AG234)),""))</f>
        <v>0</v>
      </c>
      <c r="AI234" t="str">
        <f t="shared" si="48"/>
        <v>Valid</v>
      </c>
      <c r="AJ234">
        <f t="shared" si="49"/>
        <v>0</v>
      </c>
      <c r="AK234">
        <f t="shared" si="50"/>
        <v>0</v>
      </c>
      <c r="AM234">
        <f t="shared" si="51"/>
        <v>0</v>
      </c>
      <c r="AN234">
        <f>IF(B234&lt;&gt;"Sensor Snapshot","",--(N234&gt;='02_Parameters'!$B$13))</f>
        <v>0</v>
      </c>
      <c r="AO234">
        <f>IF(B234&lt;&gt;"Sensor Snapshot","",--(AND(L234="PUMPING",ISNUMBER(AH234),AH234&lt;='02_Parameters'!$B$10)))</f>
        <v>0</v>
      </c>
      <c r="AP234" s="16"/>
      <c r="AQ234" s="16" t="str">
        <f t="shared" si="52"/>
        <v/>
      </c>
      <c r="AR234" s="16" t="str">
        <f t="shared" si="53"/>
        <v/>
      </c>
      <c r="AU234" t="s">
        <v>236</v>
      </c>
      <c r="AV234" t="s">
        <v>237</v>
      </c>
      <c r="AW234" s="3" t="s">
        <v>238</v>
      </c>
      <c r="AX234" s="3">
        <f t="shared" si="54"/>
        <v>100</v>
      </c>
      <c r="AY234" s="3" t="str">
        <f t="shared" si="55"/>
        <v>A</v>
      </c>
      <c r="AZ234" s="3" t="s">
        <v>386</v>
      </c>
      <c r="BA234" s="3"/>
    </row>
    <row r="235" spans="1:53" ht="27.6">
      <c r="A235" t="s">
        <v>535</v>
      </c>
      <c r="B235" t="s">
        <v>231</v>
      </c>
      <c r="C235" s="14">
        <v>695286</v>
      </c>
      <c r="D235" s="15">
        <f t="shared" si="42"/>
        <v>695.28599999999994</v>
      </c>
      <c r="E235" t="s">
        <v>232</v>
      </c>
      <c r="G235" t="s">
        <v>234</v>
      </c>
      <c r="H235" t="s">
        <v>235</v>
      </c>
      <c r="I235" s="3"/>
      <c r="J235" s="3"/>
      <c r="L235" t="s">
        <v>385</v>
      </c>
      <c r="M235">
        <f t="shared" si="43"/>
        <v>0</v>
      </c>
      <c r="N235">
        <v>0</v>
      </c>
      <c r="O235" s="16">
        <v>27.4</v>
      </c>
      <c r="P235" s="16">
        <f>IF(AND(ISNUMBER(O235),O235&lt;&gt;-1,O235&gt;='02_Parameters'!$B$18,O235&lt;='02_Parameters'!$B$19),O235,"")</f>
        <v>27.4</v>
      </c>
      <c r="Q235" s="16">
        <v>27.4</v>
      </c>
      <c r="R235" t="str">
        <f>IF(B235&lt;&gt;"Sensor Snapshot","",IF(O235="","Missing",IF(O235=-1,"Sensor failure sentinel (-1)",IF(OR(O235&lt;'02_Parameters'!$B$18,O235&gt;'02_Parameters'!$B$19),"Out of accepted range","Valid"))))</f>
        <v>Valid</v>
      </c>
      <c r="S235" s="16">
        <v>80.900000000000006</v>
      </c>
      <c r="T235" s="16">
        <f>IF(AND(ISNUMBER(S235),S235&lt;&gt;-1,S235&gt;='02_Parameters'!$B$20,S235&lt;='02_Parameters'!$B$21),S235,"")</f>
        <v>80.900000000000006</v>
      </c>
      <c r="U235" s="16">
        <v>80.900000000000006</v>
      </c>
      <c r="V235" t="str">
        <f>IF(B235&lt;&gt;"Sensor Snapshot","",IF(S235="","Missing",IF(S235=-1,"Sensor failure sentinel (-1)",IF(OR(S235&lt;'02_Parameters'!$B$20,S235&gt;'02_Parameters'!$B$21),"Out of accepted range","Valid"))))</f>
        <v>Valid</v>
      </c>
      <c r="W235" s="16">
        <v>-2.7</v>
      </c>
      <c r="X235" s="16">
        <f t="shared" si="44"/>
        <v>2.7</v>
      </c>
      <c r="Y235" t="str">
        <f t="shared" si="45"/>
        <v>Sign corrected to positive</v>
      </c>
      <c r="Z235" s="16"/>
      <c r="AA235">
        <v>1</v>
      </c>
      <c r="AB235">
        <f>IF(B235&lt;&gt;"Sensor Snapshot","",IF(ISNUMBER(AA235),--(AA235&lt;&gt;0),IF(ISNUMBER(Z235),--(Z235&lt;'02_Parameters'!$B$15),"")))</f>
        <v>1</v>
      </c>
      <c r="AC235">
        <f>IF(B235&lt;&gt;"Sensor Snapshot","",IF(ISNUMBER(X235),--(X235&gt;='02_Parameters'!$B$16),""))</f>
        <v>0</v>
      </c>
      <c r="AD235">
        <v>0</v>
      </c>
      <c r="AE235">
        <f t="shared" si="46"/>
        <v>0</v>
      </c>
      <c r="AF235" s="3" t="str">
        <f t="shared" si="47"/>
        <v>Partial detection only</v>
      </c>
      <c r="AG235" s="16">
        <v>0</v>
      </c>
      <c r="AH235" s="16">
        <f>IF(B235&lt;&gt;"Sensor Snapshot","",IF(ISNUMBER(AG235),IF(AG235&lt;0,"",IF(AG235&gt;10,AG235/'02_Parameters'!$B$17,AG235)),""))</f>
        <v>0</v>
      </c>
      <c r="AI235" t="str">
        <f t="shared" si="48"/>
        <v>Valid</v>
      </c>
      <c r="AJ235">
        <f t="shared" si="49"/>
        <v>0</v>
      </c>
      <c r="AK235">
        <f t="shared" si="50"/>
        <v>0</v>
      </c>
      <c r="AM235">
        <f t="shared" si="51"/>
        <v>0</v>
      </c>
      <c r="AN235">
        <f>IF(B235&lt;&gt;"Sensor Snapshot","",--(N235&gt;='02_Parameters'!$B$13))</f>
        <v>0</v>
      </c>
      <c r="AO235">
        <f>IF(B235&lt;&gt;"Sensor Snapshot","",--(AND(L235="PUMPING",ISNUMBER(AH235),AH235&lt;='02_Parameters'!$B$10)))</f>
        <v>0</v>
      </c>
      <c r="AP235" s="16"/>
      <c r="AQ235" s="16" t="str">
        <f t="shared" si="52"/>
        <v/>
      </c>
      <c r="AR235" s="16" t="str">
        <f t="shared" si="53"/>
        <v/>
      </c>
      <c r="AU235" t="s">
        <v>236</v>
      </c>
      <c r="AV235" t="s">
        <v>237</v>
      </c>
      <c r="AW235" s="3" t="s">
        <v>238</v>
      </c>
      <c r="AX235" s="3">
        <f t="shared" si="54"/>
        <v>100</v>
      </c>
      <c r="AY235" s="3" t="str">
        <f t="shared" si="55"/>
        <v>A</v>
      </c>
      <c r="AZ235" s="3" t="s">
        <v>386</v>
      </c>
      <c r="BA235" s="3"/>
    </row>
    <row r="236" spans="1:53" ht="27.6">
      <c r="A236" t="s">
        <v>536</v>
      </c>
      <c r="B236" t="s">
        <v>231</v>
      </c>
      <c r="C236" s="14">
        <v>700303</v>
      </c>
      <c r="D236" s="15">
        <f t="shared" si="42"/>
        <v>700.303</v>
      </c>
      <c r="E236" t="s">
        <v>232</v>
      </c>
      <c r="G236" t="s">
        <v>234</v>
      </c>
      <c r="H236" t="s">
        <v>235</v>
      </c>
      <c r="I236" s="3"/>
      <c r="J236" s="3"/>
      <c r="L236" t="s">
        <v>385</v>
      </c>
      <c r="M236">
        <f t="shared" si="43"/>
        <v>0</v>
      </c>
      <c r="N236">
        <v>0</v>
      </c>
      <c r="O236" s="16">
        <v>27.4</v>
      </c>
      <c r="P236" s="16">
        <f>IF(AND(ISNUMBER(O236),O236&lt;&gt;-1,O236&gt;='02_Parameters'!$B$18,O236&lt;='02_Parameters'!$B$19),O236,"")</f>
        <v>27.4</v>
      </c>
      <c r="Q236" s="16">
        <v>27.4</v>
      </c>
      <c r="R236" t="str">
        <f>IF(B236&lt;&gt;"Sensor Snapshot","",IF(O236="","Missing",IF(O236=-1,"Sensor failure sentinel (-1)",IF(OR(O236&lt;'02_Parameters'!$B$18,O236&gt;'02_Parameters'!$B$19),"Out of accepted range","Valid"))))</f>
        <v>Valid</v>
      </c>
      <c r="S236" s="16">
        <v>80.8</v>
      </c>
      <c r="T236" s="16">
        <f>IF(AND(ISNUMBER(S236),S236&lt;&gt;-1,S236&gt;='02_Parameters'!$B$20,S236&lt;='02_Parameters'!$B$21),S236,"")</f>
        <v>80.8</v>
      </c>
      <c r="U236" s="16">
        <v>80.8</v>
      </c>
      <c r="V236" t="str">
        <f>IF(B236&lt;&gt;"Sensor Snapshot","",IF(S236="","Missing",IF(S236=-1,"Sensor failure sentinel (-1)",IF(OR(S236&lt;'02_Parameters'!$B$20,S236&gt;'02_Parameters'!$B$21),"Out of accepted range","Valid"))))</f>
        <v>Valid</v>
      </c>
      <c r="W236" s="16">
        <v>-2.5</v>
      </c>
      <c r="X236" s="16">
        <f t="shared" si="44"/>
        <v>2.5</v>
      </c>
      <c r="Y236" t="str">
        <f t="shared" si="45"/>
        <v>Sign corrected to positive</v>
      </c>
      <c r="Z236" s="16"/>
      <c r="AA236">
        <v>1</v>
      </c>
      <c r="AB236">
        <f>IF(B236&lt;&gt;"Sensor Snapshot","",IF(ISNUMBER(AA236),--(AA236&lt;&gt;0),IF(ISNUMBER(Z236),--(Z236&lt;'02_Parameters'!$B$15),"")))</f>
        <v>1</v>
      </c>
      <c r="AC236">
        <f>IF(B236&lt;&gt;"Sensor Snapshot","",IF(ISNUMBER(X236),--(X236&gt;='02_Parameters'!$B$16),""))</f>
        <v>0</v>
      </c>
      <c r="AD236">
        <v>0</v>
      </c>
      <c r="AE236">
        <f t="shared" si="46"/>
        <v>0</v>
      </c>
      <c r="AF236" s="3" t="str">
        <f t="shared" si="47"/>
        <v>Partial detection only</v>
      </c>
      <c r="AG236" s="16">
        <v>0</v>
      </c>
      <c r="AH236" s="16">
        <f>IF(B236&lt;&gt;"Sensor Snapshot","",IF(ISNUMBER(AG236),IF(AG236&lt;0,"",IF(AG236&gt;10,AG236/'02_Parameters'!$B$17,AG236)),""))</f>
        <v>0</v>
      </c>
      <c r="AI236" t="str">
        <f t="shared" si="48"/>
        <v>Valid</v>
      </c>
      <c r="AJ236">
        <f t="shared" si="49"/>
        <v>0</v>
      </c>
      <c r="AK236">
        <f t="shared" si="50"/>
        <v>0</v>
      </c>
      <c r="AM236">
        <f t="shared" si="51"/>
        <v>0</v>
      </c>
      <c r="AN236">
        <f>IF(B236&lt;&gt;"Sensor Snapshot","",--(N236&gt;='02_Parameters'!$B$13))</f>
        <v>0</v>
      </c>
      <c r="AO236">
        <f>IF(B236&lt;&gt;"Sensor Snapshot","",--(AND(L236="PUMPING",ISNUMBER(AH236),AH236&lt;='02_Parameters'!$B$10)))</f>
        <v>0</v>
      </c>
      <c r="AP236" s="16"/>
      <c r="AQ236" s="16" t="str">
        <f t="shared" si="52"/>
        <v/>
      </c>
      <c r="AR236" s="16" t="str">
        <f t="shared" si="53"/>
        <v/>
      </c>
      <c r="AU236" t="s">
        <v>236</v>
      </c>
      <c r="AV236" t="s">
        <v>237</v>
      </c>
      <c r="AW236" s="3" t="s">
        <v>238</v>
      </c>
      <c r="AX236" s="3">
        <f t="shared" si="54"/>
        <v>100</v>
      </c>
      <c r="AY236" s="3" t="str">
        <f t="shared" si="55"/>
        <v>A</v>
      </c>
      <c r="AZ236" s="3" t="s">
        <v>386</v>
      </c>
      <c r="BA236" s="3"/>
    </row>
    <row r="237" spans="1:53" ht="27.6">
      <c r="A237" t="s">
        <v>537</v>
      </c>
      <c r="B237" t="s">
        <v>231</v>
      </c>
      <c r="C237" s="14">
        <v>705320</v>
      </c>
      <c r="D237" s="15">
        <f t="shared" si="42"/>
        <v>705.32</v>
      </c>
      <c r="E237" t="s">
        <v>232</v>
      </c>
      <c r="G237" t="s">
        <v>234</v>
      </c>
      <c r="H237" t="s">
        <v>235</v>
      </c>
      <c r="I237" s="3"/>
      <c r="J237" s="3"/>
      <c r="L237" t="s">
        <v>385</v>
      </c>
      <c r="M237">
        <f t="shared" si="43"/>
        <v>0</v>
      </c>
      <c r="N237">
        <v>0</v>
      </c>
      <c r="O237" s="16">
        <v>27.4</v>
      </c>
      <c r="P237" s="16">
        <f>IF(AND(ISNUMBER(O237),O237&lt;&gt;-1,O237&gt;='02_Parameters'!$B$18,O237&lt;='02_Parameters'!$B$19),O237,"")</f>
        <v>27.4</v>
      </c>
      <c r="Q237" s="16">
        <v>27.4</v>
      </c>
      <c r="R237" t="str">
        <f>IF(B237&lt;&gt;"Sensor Snapshot","",IF(O237="","Missing",IF(O237=-1,"Sensor failure sentinel (-1)",IF(OR(O237&lt;'02_Parameters'!$B$18,O237&gt;'02_Parameters'!$B$19),"Out of accepted range","Valid"))))</f>
        <v>Valid</v>
      </c>
      <c r="S237" s="16">
        <v>80.8</v>
      </c>
      <c r="T237" s="16">
        <f>IF(AND(ISNUMBER(S237),S237&lt;&gt;-1,S237&gt;='02_Parameters'!$B$20,S237&lt;='02_Parameters'!$B$21),S237,"")</f>
        <v>80.8</v>
      </c>
      <c r="U237" s="16">
        <v>80.8</v>
      </c>
      <c r="V237" t="str">
        <f>IF(B237&lt;&gt;"Sensor Snapshot","",IF(S237="","Missing",IF(S237=-1,"Sensor failure sentinel (-1)",IF(OR(S237&lt;'02_Parameters'!$B$20,S237&gt;'02_Parameters'!$B$21),"Out of accepted range","Valid"))))</f>
        <v>Valid</v>
      </c>
      <c r="W237" s="16">
        <v>-2.6</v>
      </c>
      <c r="X237" s="16">
        <f t="shared" si="44"/>
        <v>2.6</v>
      </c>
      <c r="Y237" t="str">
        <f t="shared" si="45"/>
        <v>Sign corrected to positive</v>
      </c>
      <c r="Z237" s="16"/>
      <c r="AA237">
        <v>1</v>
      </c>
      <c r="AB237">
        <f>IF(B237&lt;&gt;"Sensor Snapshot","",IF(ISNUMBER(AA237),--(AA237&lt;&gt;0),IF(ISNUMBER(Z237),--(Z237&lt;'02_Parameters'!$B$15),"")))</f>
        <v>1</v>
      </c>
      <c r="AC237">
        <f>IF(B237&lt;&gt;"Sensor Snapshot","",IF(ISNUMBER(X237),--(X237&gt;='02_Parameters'!$B$16),""))</f>
        <v>0</v>
      </c>
      <c r="AD237">
        <v>0</v>
      </c>
      <c r="AE237">
        <f t="shared" si="46"/>
        <v>0</v>
      </c>
      <c r="AF237" s="3" t="str">
        <f t="shared" si="47"/>
        <v>Partial detection only</v>
      </c>
      <c r="AG237" s="16">
        <v>0</v>
      </c>
      <c r="AH237" s="16">
        <f>IF(B237&lt;&gt;"Sensor Snapshot","",IF(ISNUMBER(AG237),IF(AG237&lt;0,"",IF(AG237&gt;10,AG237/'02_Parameters'!$B$17,AG237)),""))</f>
        <v>0</v>
      </c>
      <c r="AI237" t="str">
        <f t="shared" si="48"/>
        <v>Valid</v>
      </c>
      <c r="AJ237">
        <f t="shared" si="49"/>
        <v>0</v>
      </c>
      <c r="AK237">
        <f t="shared" si="50"/>
        <v>0</v>
      </c>
      <c r="AM237">
        <f t="shared" si="51"/>
        <v>0</v>
      </c>
      <c r="AN237">
        <f>IF(B237&lt;&gt;"Sensor Snapshot","",--(N237&gt;='02_Parameters'!$B$13))</f>
        <v>0</v>
      </c>
      <c r="AO237">
        <f>IF(B237&lt;&gt;"Sensor Snapshot","",--(AND(L237="PUMPING",ISNUMBER(AH237),AH237&lt;='02_Parameters'!$B$10)))</f>
        <v>0</v>
      </c>
      <c r="AP237" s="16"/>
      <c r="AQ237" s="16" t="str">
        <f t="shared" si="52"/>
        <v/>
      </c>
      <c r="AR237" s="16" t="str">
        <f t="shared" si="53"/>
        <v/>
      </c>
      <c r="AU237" t="s">
        <v>236</v>
      </c>
      <c r="AV237" t="s">
        <v>237</v>
      </c>
      <c r="AW237" s="3" t="s">
        <v>238</v>
      </c>
      <c r="AX237" s="3">
        <f t="shared" si="54"/>
        <v>100</v>
      </c>
      <c r="AY237" s="3" t="str">
        <f t="shared" si="55"/>
        <v>A</v>
      </c>
      <c r="AZ237" s="3" t="s">
        <v>386</v>
      </c>
      <c r="BA237" s="3"/>
    </row>
    <row r="238" spans="1:53" ht="27.6">
      <c r="A238" t="s">
        <v>538</v>
      </c>
      <c r="B238" t="s">
        <v>231</v>
      </c>
      <c r="C238" s="14">
        <v>710338</v>
      </c>
      <c r="D238" s="15">
        <f t="shared" si="42"/>
        <v>710.33799999999997</v>
      </c>
      <c r="E238" t="s">
        <v>232</v>
      </c>
      <c r="G238" t="s">
        <v>234</v>
      </c>
      <c r="H238" t="s">
        <v>235</v>
      </c>
      <c r="I238" s="3"/>
      <c r="J238" s="3"/>
      <c r="L238" t="s">
        <v>385</v>
      </c>
      <c r="M238">
        <f t="shared" si="43"/>
        <v>0</v>
      </c>
      <c r="N238">
        <v>0</v>
      </c>
      <c r="O238" s="16">
        <v>27.4</v>
      </c>
      <c r="P238" s="16">
        <f>IF(AND(ISNUMBER(O238),O238&lt;&gt;-1,O238&gt;='02_Parameters'!$B$18,O238&lt;='02_Parameters'!$B$19),O238,"")</f>
        <v>27.4</v>
      </c>
      <c r="Q238" s="16">
        <v>27.4</v>
      </c>
      <c r="R238" t="str">
        <f>IF(B238&lt;&gt;"Sensor Snapshot","",IF(O238="","Missing",IF(O238=-1,"Sensor failure sentinel (-1)",IF(OR(O238&lt;'02_Parameters'!$B$18,O238&gt;'02_Parameters'!$B$19),"Out of accepted range","Valid"))))</f>
        <v>Valid</v>
      </c>
      <c r="S238" s="16">
        <v>80.5</v>
      </c>
      <c r="T238" s="16">
        <f>IF(AND(ISNUMBER(S238),S238&lt;&gt;-1,S238&gt;='02_Parameters'!$B$20,S238&lt;='02_Parameters'!$B$21),S238,"")</f>
        <v>80.5</v>
      </c>
      <c r="U238" s="16">
        <v>80.5</v>
      </c>
      <c r="V238" t="str">
        <f>IF(B238&lt;&gt;"Sensor Snapshot","",IF(S238="","Missing",IF(S238=-1,"Sensor failure sentinel (-1)",IF(OR(S238&lt;'02_Parameters'!$B$20,S238&gt;'02_Parameters'!$B$21),"Out of accepted range","Valid"))))</f>
        <v>Valid</v>
      </c>
      <c r="W238" s="16">
        <v>-2.6</v>
      </c>
      <c r="X238" s="16">
        <f t="shared" si="44"/>
        <v>2.6</v>
      </c>
      <c r="Y238" t="str">
        <f t="shared" si="45"/>
        <v>Sign corrected to positive</v>
      </c>
      <c r="Z238" s="16"/>
      <c r="AA238">
        <v>1</v>
      </c>
      <c r="AB238">
        <f>IF(B238&lt;&gt;"Sensor Snapshot","",IF(ISNUMBER(AA238),--(AA238&lt;&gt;0),IF(ISNUMBER(Z238),--(Z238&lt;'02_Parameters'!$B$15),"")))</f>
        <v>1</v>
      </c>
      <c r="AC238">
        <f>IF(B238&lt;&gt;"Sensor Snapshot","",IF(ISNUMBER(X238),--(X238&gt;='02_Parameters'!$B$16),""))</f>
        <v>0</v>
      </c>
      <c r="AD238">
        <v>0</v>
      </c>
      <c r="AE238">
        <f t="shared" si="46"/>
        <v>0</v>
      </c>
      <c r="AF238" s="3" t="str">
        <f t="shared" si="47"/>
        <v>Partial detection only</v>
      </c>
      <c r="AG238" s="16">
        <v>0</v>
      </c>
      <c r="AH238" s="16">
        <f>IF(B238&lt;&gt;"Sensor Snapshot","",IF(ISNUMBER(AG238),IF(AG238&lt;0,"",IF(AG238&gt;10,AG238/'02_Parameters'!$B$17,AG238)),""))</f>
        <v>0</v>
      </c>
      <c r="AI238" t="str">
        <f t="shared" si="48"/>
        <v>Valid</v>
      </c>
      <c r="AJ238">
        <f t="shared" si="49"/>
        <v>0</v>
      </c>
      <c r="AK238">
        <f t="shared" si="50"/>
        <v>0</v>
      </c>
      <c r="AM238">
        <f t="shared" si="51"/>
        <v>0</v>
      </c>
      <c r="AN238">
        <f>IF(B238&lt;&gt;"Sensor Snapshot","",--(N238&gt;='02_Parameters'!$B$13))</f>
        <v>0</v>
      </c>
      <c r="AO238">
        <f>IF(B238&lt;&gt;"Sensor Snapshot","",--(AND(L238="PUMPING",ISNUMBER(AH238),AH238&lt;='02_Parameters'!$B$10)))</f>
        <v>0</v>
      </c>
      <c r="AP238" s="16"/>
      <c r="AQ238" s="16" t="str">
        <f t="shared" si="52"/>
        <v/>
      </c>
      <c r="AR238" s="16" t="str">
        <f t="shared" si="53"/>
        <v/>
      </c>
      <c r="AU238" t="s">
        <v>236</v>
      </c>
      <c r="AV238" t="s">
        <v>237</v>
      </c>
      <c r="AW238" s="3" t="s">
        <v>238</v>
      </c>
      <c r="AX238" s="3">
        <f t="shared" si="54"/>
        <v>100</v>
      </c>
      <c r="AY238" s="3" t="str">
        <f t="shared" si="55"/>
        <v>A</v>
      </c>
      <c r="AZ238" s="3" t="s">
        <v>386</v>
      </c>
      <c r="BA238" s="3"/>
    </row>
    <row r="239" spans="1:53" ht="27.6">
      <c r="A239" t="s">
        <v>539</v>
      </c>
      <c r="B239" t="s">
        <v>231</v>
      </c>
      <c r="C239" s="14">
        <v>715357</v>
      </c>
      <c r="D239" s="15">
        <f t="shared" si="42"/>
        <v>715.35699999999997</v>
      </c>
      <c r="E239" t="s">
        <v>232</v>
      </c>
      <c r="G239" t="s">
        <v>234</v>
      </c>
      <c r="H239" t="s">
        <v>235</v>
      </c>
      <c r="I239" s="3"/>
      <c r="J239" s="3"/>
      <c r="L239" t="s">
        <v>385</v>
      </c>
      <c r="M239">
        <f t="shared" si="43"/>
        <v>0</v>
      </c>
      <c r="N239">
        <v>0</v>
      </c>
      <c r="O239" s="16">
        <v>27.4</v>
      </c>
      <c r="P239" s="16">
        <f>IF(AND(ISNUMBER(O239),O239&lt;&gt;-1,O239&gt;='02_Parameters'!$B$18,O239&lt;='02_Parameters'!$B$19),O239,"")</f>
        <v>27.4</v>
      </c>
      <c r="Q239" s="16">
        <v>27.4</v>
      </c>
      <c r="R239" t="str">
        <f>IF(B239&lt;&gt;"Sensor Snapshot","",IF(O239="","Missing",IF(O239=-1,"Sensor failure sentinel (-1)",IF(OR(O239&lt;'02_Parameters'!$B$18,O239&gt;'02_Parameters'!$B$19),"Out of accepted range","Valid"))))</f>
        <v>Valid</v>
      </c>
      <c r="S239" s="16">
        <v>80.599999999999994</v>
      </c>
      <c r="T239" s="16">
        <f>IF(AND(ISNUMBER(S239),S239&lt;&gt;-1,S239&gt;='02_Parameters'!$B$20,S239&lt;='02_Parameters'!$B$21),S239,"")</f>
        <v>80.599999999999994</v>
      </c>
      <c r="U239" s="16">
        <v>80.599999999999994</v>
      </c>
      <c r="V239" t="str">
        <f>IF(B239&lt;&gt;"Sensor Snapshot","",IF(S239="","Missing",IF(S239=-1,"Sensor failure sentinel (-1)",IF(OR(S239&lt;'02_Parameters'!$B$20,S239&gt;'02_Parameters'!$B$21),"Out of accepted range","Valid"))))</f>
        <v>Valid</v>
      </c>
      <c r="W239" s="16">
        <v>-2.6</v>
      </c>
      <c r="X239" s="16">
        <f t="shared" si="44"/>
        <v>2.6</v>
      </c>
      <c r="Y239" t="str">
        <f t="shared" si="45"/>
        <v>Sign corrected to positive</v>
      </c>
      <c r="Z239" s="16"/>
      <c r="AA239">
        <v>1</v>
      </c>
      <c r="AB239">
        <f>IF(B239&lt;&gt;"Sensor Snapshot","",IF(ISNUMBER(AA239),--(AA239&lt;&gt;0),IF(ISNUMBER(Z239),--(Z239&lt;'02_Parameters'!$B$15),"")))</f>
        <v>1</v>
      </c>
      <c r="AC239">
        <f>IF(B239&lt;&gt;"Sensor Snapshot","",IF(ISNUMBER(X239),--(X239&gt;='02_Parameters'!$B$16),""))</f>
        <v>0</v>
      </c>
      <c r="AD239">
        <v>0</v>
      </c>
      <c r="AE239">
        <f t="shared" si="46"/>
        <v>0</v>
      </c>
      <c r="AF239" s="3" t="str">
        <f t="shared" si="47"/>
        <v>Partial detection only</v>
      </c>
      <c r="AG239" s="16">
        <v>0</v>
      </c>
      <c r="AH239" s="16">
        <f>IF(B239&lt;&gt;"Sensor Snapshot","",IF(ISNUMBER(AG239),IF(AG239&lt;0,"",IF(AG239&gt;10,AG239/'02_Parameters'!$B$17,AG239)),""))</f>
        <v>0</v>
      </c>
      <c r="AI239" t="str">
        <f t="shared" si="48"/>
        <v>Valid</v>
      </c>
      <c r="AJ239">
        <f t="shared" si="49"/>
        <v>0</v>
      </c>
      <c r="AK239">
        <f t="shared" si="50"/>
        <v>0</v>
      </c>
      <c r="AM239">
        <f t="shared" si="51"/>
        <v>0</v>
      </c>
      <c r="AN239">
        <f>IF(B239&lt;&gt;"Sensor Snapshot","",--(N239&gt;='02_Parameters'!$B$13))</f>
        <v>0</v>
      </c>
      <c r="AO239">
        <f>IF(B239&lt;&gt;"Sensor Snapshot","",--(AND(L239="PUMPING",ISNUMBER(AH239),AH239&lt;='02_Parameters'!$B$10)))</f>
        <v>0</v>
      </c>
      <c r="AP239" s="16"/>
      <c r="AQ239" s="16" t="str">
        <f t="shared" si="52"/>
        <v/>
      </c>
      <c r="AR239" s="16" t="str">
        <f t="shared" si="53"/>
        <v/>
      </c>
      <c r="AU239" t="s">
        <v>236</v>
      </c>
      <c r="AV239" t="s">
        <v>237</v>
      </c>
      <c r="AW239" s="3" t="s">
        <v>238</v>
      </c>
      <c r="AX239" s="3">
        <f t="shared" si="54"/>
        <v>100</v>
      </c>
      <c r="AY239" s="3" t="str">
        <f t="shared" si="55"/>
        <v>A</v>
      </c>
      <c r="AZ239" s="3" t="s">
        <v>386</v>
      </c>
      <c r="BA239" s="3"/>
    </row>
    <row r="240" spans="1:53" ht="27.6">
      <c r="A240" t="s">
        <v>540</v>
      </c>
      <c r="B240" t="s">
        <v>231</v>
      </c>
      <c r="C240" s="14">
        <v>720373</v>
      </c>
      <c r="D240" s="15">
        <f t="shared" si="42"/>
        <v>720.37300000000005</v>
      </c>
      <c r="E240" t="s">
        <v>232</v>
      </c>
      <c r="G240" t="s">
        <v>234</v>
      </c>
      <c r="H240" t="s">
        <v>235</v>
      </c>
      <c r="I240" s="3"/>
      <c r="J240" s="3"/>
      <c r="L240" t="s">
        <v>385</v>
      </c>
      <c r="M240">
        <f t="shared" si="43"/>
        <v>0</v>
      </c>
      <c r="N240">
        <v>0</v>
      </c>
      <c r="O240" s="16">
        <v>27.4</v>
      </c>
      <c r="P240" s="16">
        <f>IF(AND(ISNUMBER(O240),O240&lt;&gt;-1,O240&gt;='02_Parameters'!$B$18,O240&lt;='02_Parameters'!$B$19),O240,"")</f>
        <v>27.4</v>
      </c>
      <c r="Q240" s="16">
        <v>27.4</v>
      </c>
      <c r="R240" t="str">
        <f>IF(B240&lt;&gt;"Sensor Snapshot","",IF(O240="","Missing",IF(O240=-1,"Sensor failure sentinel (-1)",IF(OR(O240&lt;'02_Parameters'!$B$18,O240&gt;'02_Parameters'!$B$19),"Out of accepted range","Valid"))))</f>
        <v>Valid</v>
      </c>
      <c r="S240" s="16">
        <v>80.5</v>
      </c>
      <c r="T240" s="16">
        <f>IF(AND(ISNUMBER(S240),S240&lt;&gt;-1,S240&gt;='02_Parameters'!$B$20,S240&lt;='02_Parameters'!$B$21),S240,"")</f>
        <v>80.5</v>
      </c>
      <c r="U240" s="16">
        <v>80.5</v>
      </c>
      <c r="V240" t="str">
        <f>IF(B240&lt;&gt;"Sensor Snapshot","",IF(S240="","Missing",IF(S240=-1,"Sensor failure sentinel (-1)",IF(OR(S240&lt;'02_Parameters'!$B$20,S240&gt;'02_Parameters'!$B$21),"Out of accepted range","Valid"))))</f>
        <v>Valid</v>
      </c>
      <c r="W240" s="16">
        <v>-2.5</v>
      </c>
      <c r="X240" s="16">
        <f t="shared" si="44"/>
        <v>2.5</v>
      </c>
      <c r="Y240" t="str">
        <f t="shared" si="45"/>
        <v>Sign corrected to positive</v>
      </c>
      <c r="Z240" s="16"/>
      <c r="AA240">
        <v>1</v>
      </c>
      <c r="AB240">
        <f>IF(B240&lt;&gt;"Sensor Snapshot","",IF(ISNUMBER(AA240),--(AA240&lt;&gt;0),IF(ISNUMBER(Z240),--(Z240&lt;'02_Parameters'!$B$15),"")))</f>
        <v>1</v>
      </c>
      <c r="AC240">
        <f>IF(B240&lt;&gt;"Sensor Snapshot","",IF(ISNUMBER(X240),--(X240&gt;='02_Parameters'!$B$16),""))</f>
        <v>0</v>
      </c>
      <c r="AD240">
        <v>0</v>
      </c>
      <c r="AE240">
        <f t="shared" si="46"/>
        <v>0</v>
      </c>
      <c r="AF240" s="3" t="str">
        <f t="shared" si="47"/>
        <v>Partial detection only</v>
      </c>
      <c r="AG240" s="16">
        <v>0</v>
      </c>
      <c r="AH240" s="16">
        <f>IF(B240&lt;&gt;"Sensor Snapshot","",IF(ISNUMBER(AG240),IF(AG240&lt;0,"",IF(AG240&gt;10,AG240/'02_Parameters'!$B$17,AG240)),""))</f>
        <v>0</v>
      </c>
      <c r="AI240" t="str">
        <f t="shared" si="48"/>
        <v>Valid</v>
      </c>
      <c r="AJ240">
        <f t="shared" si="49"/>
        <v>0</v>
      </c>
      <c r="AK240">
        <f t="shared" si="50"/>
        <v>0</v>
      </c>
      <c r="AM240">
        <f t="shared" si="51"/>
        <v>0</v>
      </c>
      <c r="AN240">
        <f>IF(B240&lt;&gt;"Sensor Snapshot","",--(N240&gt;='02_Parameters'!$B$13))</f>
        <v>0</v>
      </c>
      <c r="AO240">
        <f>IF(B240&lt;&gt;"Sensor Snapshot","",--(AND(L240="PUMPING",ISNUMBER(AH240),AH240&lt;='02_Parameters'!$B$10)))</f>
        <v>0</v>
      </c>
      <c r="AP240" s="16"/>
      <c r="AQ240" s="16" t="str">
        <f t="shared" si="52"/>
        <v/>
      </c>
      <c r="AR240" s="16" t="str">
        <f t="shared" si="53"/>
        <v/>
      </c>
      <c r="AU240" t="s">
        <v>236</v>
      </c>
      <c r="AV240" t="s">
        <v>237</v>
      </c>
      <c r="AW240" s="3" t="s">
        <v>238</v>
      </c>
      <c r="AX240" s="3">
        <f t="shared" si="54"/>
        <v>100</v>
      </c>
      <c r="AY240" s="3" t="str">
        <f t="shared" si="55"/>
        <v>A</v>
      </c>
      <c r="AZ240" s="3" t="s">
        <v>386</v>
      </c>
      <c r="BA240" s="3"/>
    </row>
    <row r="241" spans="1:53" ht="27.6">
      <c r="A241" t="s">
        <v>541</v>
      </c>
      <c r="B241" t="s">
        <v>231</v>
      </c>
      <c r="C241" s="14">
        <v>725392</v>
      </c>
      <c r="D241" s="15">
        <f t="shared" si="42"/>
        <v>725.39200000000005</v>
      </c>
      <c r="E241" t="s">
        <v>232</v>
      </c>
      <c r="G241" t="s">
        <v>234</v>
      </c>
      <c r="H241" t="s">
        <v>235</v>
      </c>
      <c r="I241" s="3"/>
      <c r="J241" s="3"/>
      <c r="L241" t="s">
        <v>385</v>
      </c>
      <c r="M241">
        <f t="shared" si="43"/>
        <v>0</v>
      </c>
      <c r="N241">
        <v>0</v>
      </c>
      <c r="O241" s="16">
        <v>27.4</v>
      </c>
      <c r="P241" s="16">
        <f>IF(AND(ISNUMBER(O241),O241&lt;&gt;-1,O241&gt;='02_Parameters'!$B$18,O241&lt;='02_Parameters'!$B$19),O241,"")</f>
        <v>27.4</v>
      </c>
      <c r="Q241" s="16">
        <v>27.4</v>
      </c>
      <c r="R241" t="str">
        <f>IF(B241&lt;&gt;"Sensor Snapshot","",IF(O241="","Missing",IF(O241=-1,"Sensor failure sentinel (-1)",IF(OR(O241&lt;'02_Parameters'!$B$18,O241&gt;'02_Parameters'!$B$19),"Out of accepted range","Valid"))))</f>
        <v>Valid</v>
      </c>
      <c r="S241" s="16">
        <v>80.7</v>
      </c>
      <c r="T241" s="16">
        <f>IF(AND(ISNUMBER(S241),S241&lt;&gt;-1,S241&gt;='02_Parameters'!$B$20,S241&lt;='02_Parameters'!$B$21),S241,"")</f>
        <v>80.7</v>
      </c>
      <c r="U241" s="16">
        <v>80.7</v>
      </c>
      <c r="V241" t="str">
        <f>IF(B241&lt;&gt;"Sensor Snapshot","",IF(S241="","Missing",IF(S241=-1,"Sensor failure sentinel (-1)",IF(OR(S241&lt;'02_Parameters'!$B$20,S241&gt;'02_Parameters'!$B$21),"Out of accepted range","Valid"))))</f>
        <v>Valid</v>
      </c>
      <c r="W241" s="16">
        <v>-2.5</v>
      </c>
      <c r="X241" s="16">
        <f t="shared" si="44"/>
        <v>2.5</v>
      </c>
      <c r="Y241" t="str">
        <f t="shared" si="45"/>
        <v>Sign corrected to positive</v>
      </c>
      <c r="Z241" s="16"/>
      <c r="AA241">
        <v>1</v>
      </c>
      <c r="AB241">
        <f>IF(B241&lt;&gt;"Sensor Snapshot","",IF(ISNUMBER(AA241),--(AA241&lt;&gt;0),IF(ISNUMBER(Z241),--(Z241&lt;'02_Parameters'!$B$15),"")))</f>
        <v>1</v>
      </c>
      <c r="AC241">
        <f>IF(B241&lt;&gt;"Sensor Snapshot","",IF(ISNUMBER(X241),--(X241&gt;='02_Parameters'!$B$16),""))</f>
        <v>0</v>
      </c>
      <c r="AD241">
        <v>0</v>
      </c>
      <c r="AE241">
        <f t="shared" si="46"/>
        <v>0</v>
      </c>
      <c r="AF241" s="3" t="str">
        <f t="shared" si="47"/>
        <v>Partial detection only</v>
      </c>
      <c r="AG241" s="16">
        <v>0</v>
      </c>
      <c r="AH241" s="16">
        <f>IF(B241&lt;&gt;"Sensor Snapshot","",IF(ISNUMBER(AG241),IF(AG241&lt;0,"",IF(AG241&gt;10,AG241/'02_Parameters'!$B$17,AG241)),""))</f>
        <v>0</v>
      </c>
      <c r="AI241" t="str">
        <f t="shared" si="48"/>
        <v>Valid</v>
      </c>
      <c r="AJ241">
        <f t="shared" si="49"/>
        <v>0</v>
      </c>
      <c r="AK241">
        <f t="shared" si="50"/>
        <v>0</v>
      </c>
      <c r="AM241">
        <f t="shared" si="51"/>
        <v>0</v>
      </c>
      <c r="AN241">
        <f>IF(B241&lt;&gt;"Sensor Snapshot","",--(N241&gt;='02_Parameters'!$B$13))</f>
        <v>0</v>
      </c>
      <c r="AO241">
        <f>IF(B241&lt;&gt;"Sensor Snapshot","",--(AND(L241="PUMPING",ISNUMBER(AH241),AH241&lt;='02_Parameters'!$B$10)))</f>
        <v>0</v>
      </c>
      <c r="AP241" s="16"/>
      <c r="AQ241" s="16" t="str">
        <f t="shared" si="52"/>
        <v/>
      </c>
      <c r="AR241" s="16" t="str">
        <f t="shared" si="53"/>
        <v/>
      </c>
      <c r="AU241" t="s">
        <v>236</v>
      </c>
      <c r="AV241" t="s">
        <v>237</v>
      </c>
      <c r="AW241" s="3" t="s">
        <v>238</v>
      </c>
      <c r="AX241" s="3">
        <f t="shared" si="54"/>
        <v>100</v>
      </c>
      <c r="AY241" s="3" t="str">
        <f t="shared" si="55"/>
        <v>A</v>
      </c>
      <c r="AZ241" s="3" t="s">
        <v>386</v>
      </c>
      <c r="BA241" s="3"/>
    </row>
    <row r="242" spans="1:53" ht="27.6">
      <c r="A242" t="s">
        <v>542</v>
      </c>
      <c r="B242" t="s">
        <v>231</v>
      </c>
      <c r="C242" s="14">
        <v>730408</v>
      </c>
      <c r="D242" s="15">
        <f t="shared" si="42"/>
        <v>730.40800000000002</v>
      </c>
      <c r="E242" t="s">
        <v>232</v>
      </c>
      <c r="G242" t="s">
        <v>234</v>
      </c>
      <c r="H242" t="s">
        <v>235</v>
      </c>
      <c r="I242" s="3"/>
      <c r="J242" s="3"/>
      <c r="L242" t="s">
        <v>385</v>
      </c>
      <c r="M242">
        <f t="shared" si="43"/>
        <v>0</v>
      </c>
      <c r="N242">
        <v>0</v>
      </c>
      <c r="O242" s="16">
        <v>27.4</v>
      </c>
      <c r="P242" s="16">
        <f>IF(AND(ISNUMBER(O242),O242&lt;&gt;-1,O242&gt;='02_Parameters'!$B$18,O242&lt;='02_Parameters'!$B$19),O242,"")</f>
        <v>27.4</v>
      </c>
      <c r="Q242" s="16">
        <v>27.4</v>
      </c>
      <c r="R242" t="str">
        <f>IF(B242&lt;&gt;"Sensor Snapshot","",IF(O242="","Missing",IF(O242=-1,"Sensor failure sentinel (-1)",IF(OR(O242&lt;'02_Parameters'!$B$18,O242&gt;'02_Parameters'!$B$19),"Out of accepted range","Valid"))))</f>
        <v>Valid</v>
      </c>
      <c r="S242" s="16">
        <v>80.599999999999994</v>
      </c>
      <c r="T242" s="16">
        <f>IF(AND(ISNUMBER(S242),S242&lt;&gt;-1,S242&gt;='02_Parameters'!$B$20,S242&lt;='02_Parameters'!$B$21),S242,"")</f>
        <v>80.599999999999994</v>
      </c>
      <c r="U242" s="16">
        <v>80.599999999999994</v>
      </c>
      <c r="V242" t="str">
        <f>IF(B242&lt;&gt;"Sensor Snapshot","",IF(S242="","Missing",IF(S242=-1,"Sensor failure sentinel (-1)",IF(OR(S242&lt;'02_Parameters'!$B$20,S242&gt;'02_Parameters'!$B$21),"Out of accepted range","Valid"))))</f>
        <v>Valid</v>
      </c>
      <c r="W242" s="16">
        <v>-2.5</v>
      </c>
      <c r="X242" s="16">
        <f t="shared" si="44"/>
        <v>2.5</v>
      </c>
      <c r="Y242" t="str">
        <f t="shared" si="45"/>
        <v>Sign corrected to positive</v>
      </c>
      <c r="Z242" s="16"/>
      <c r="AA242">
        <v>1</v>
      </c>
      <c r="AB242">
        <f>IF(B242&lt;&gt;"Sensor Snapshot","",IF(ISNUMBER(AA242),--(AA242&lt;&gt;0),IF(ISNUMBER(Z242),--(Z242&lt;'02_Parameters'!$B$15),"")))</f>
        <v>1</v>
      </c>
      <c r="AC242">
        <f>IF(B242&lt;&gt;"Sensor Snapshot","",IF(ISNUMBER(X242),--(X242&gt;='02_Parameters'!$B$16),""))</f>
        <v>0</v>
      </c>
      <c r="AD242">
        <v>0</v>
      </c>
      <c r="AE242">
        <f t="shared" si="46"/>
        <v>0</v>
      </c>
      <c r="AF242" s="3" t="str">
        <f t="shared" si="47"/>
        <v>Partial detection only</v>
      </c>
      <c r="AG242" s="16">
        <v>0</v>
      </c>
      <c r="AH242" s="16">
        <f>IF(B242&lt;&gt;"Sensor Snapshot","",IF(ISNUMBER(AG242),IF(AG242&lt;0,"",IF(AG242&gt;10,AG242/'02_Parameters'!$B$17,AG242)),""))</f>
        <v>0</v>
      </c>
      <c r="AI242" t="str">
        <f t="shared" si="48"/>
        <v>Valid</v>
      </c>
      <c r="AJ242">
        <f t="shared" si="49"/>
        <v>0</v>
      </c>
      <c r="AK242">
        <f t="shared" si="50"/>
        <v>0</v>
      </c>
      <c r="AM242">
        <f t="shared" si="51"/>
        <v>0</v>
      </c>
      <c r="AN242">
        <f>IF(B242&lt;&gt;"Sensor Snapshot","",--(N242&gt;='02_Parameters'!$B$13))</f>
        <v>0</v>
      </c>
      <c r="AO242">
        <f>IF(B242&lt;&gt;"Sensor Snapshot","",--(AND(L242="PUMPING",ISNUMBER(AH242),AH242&lt;='02_Parameters'!$B$10)))</f>
        <v>0</v>
      </c>
      <c r="AP242" s="16"/>
      <c r="AQ242" s="16" t="str">
        <f t="shared" si="52"/>
        <v/>
      </c>
      <c r="AR242" s="16" t="str">
        <f t="shared" si="53"/>
        <v/>
      </c>
      <c r="AU242" t="s">
        <v>236</v>
      </c>
      <c r="AV242" t="s">
        <v>237</v>
      </c>
      <c r="AW242" s="3" t="s">
        <v>238</v>
      </c>
      <c r="AX242" s="3">
        <f t="shared" si="54"/>
        <v>100</v>
      </c>
      <c r="AY242" s="3" t="str">
        <f t="shared" si="55"/>
        <v>A</v>
      </c>
      <c r="AZ242" s="3" t="s">
        <v>386</v>
      </c>
      <c r="BA242" s="3"/>
    </row>
    <row r="243" spans="1:53" ht="27.6">
      <c r="A243" t="s">
        <v>543</v>
      </c>
      <c r="B243" t="s">
        <v>231</v>
      </c>
      <c r="C243" s="14">
        <v>735427</v>
      </c>
      <c r="D243" s="15">
        <f t="shared" si="42"/>
        <v>735.42700000000002</v>
      </c>
      <c r="E243" t="s">
        <v>232</v>
      </c>
      <c r="G243" t="s">
        <v>234</v>
      </c>
      <c r="H243" t="s">
        <v>235</v>
      </c>
      <c r="I243" s="3"/>
      <c r="J243" s="3"/>
      <c r="L243" t="s">
        <v>385</v>
      </c>
      <c r="M243">
        <f t="shared" si="43"/>
        <v>0</v>
      </c>
      <c r="N243">
        <v>0</v>
      </c>
      <c r="O243" s="16">
        <v>27.4</v>
      </c>
      <c r="P243" s="16">
        <f>IF(AND(ISNUMBER(O243),O243&lt;&gt;-1,O243&gt;='02_Parameters'!$B$18,O243&lt;='02_Parameters'!$B$19),O243,"")</f>
        <v>27.4</v>
      </c>
      <c r="Q243" s="16">
        <v>27.4</v>
      </c>
      <c r="R243" t="str">
        <f>IF(B243&lt;&gt;"Sensor Snapshot","",IF(O243="","Missing",IF(O243=-1,"Sensor failure sentinel (-1)",IF(OR(O243&lt;'02_Parameters'!$B$18,O243&gt;'02_Parameters'!$B$19),"Out of accepted range","Valid"))))</f>
        <v>Valid</v>
      </c>
      <c r="S243" s="16">
        <v>80.5</v>
      </c>
      <c r="T243" s="16">
        <f>IF(AND(ISNUMBER(S243),S243&lt;&gt;-1,S243&gt;='02_Parameters'!$B$20,S243&lt;='02_Parameters'!$B$21),S243,"")</f>
        <v>80.5</v>
      </c>
      <c r="U243" s="16">
        <v>80.5</v>
      </c>
      <c r="V243" t="str">
        <f>IF(B243&lt;&gt;"Sensor Snapshot","",IF(S243="","Missing",IF(S243=-1,"Sensor failure sentinel (-1)",IF(OR(S243&lt;'02_Parameters'!$B$20,S243&gt;'02_Parameters'!$B$21),"Out of accepted range","Valid"))))</f>
        <v>Valid</v>
      </c>
      <c r="W243" s="16">
        <v>-2.4</v>
      </c>
      <c r="X243" s="16">
        <f t="shared" si="44"/>
        <v>2.4</v>
      </c>
      <c r="Y243" t="str">
        <f t="shared" si="45"/>
        <v>Sign corrected to positive</v>
      </c>
      <c r="Z243" s="16"/>
      <c r="AA243">
        <v>1</v>
      </c>
      <c r="AB243">
        <f>IF(B243&lt;&gt;"Sensor Snapshot","",IF(ISNUMBER(AA243),--(AA243&lt;&gt;0),IF(ISNUMBER(Z243),--(Z243&lt;'02_Parameters'!$B$15),"")))</f>
        <v>1</v>
      </c>
      <c r="AC243">
        <f>IF(B243&lt;&gt;"Sensor Snapshot","",IF(ISNUMBER(X243),--(X243&gt;='02_Parameters'!$B$16),""))</f>
        <v>0</v>
      </c>
      <c r="AD243">
        <v>0</v>
      </c>
      <c r="AE243">
        <f t="shared" si="46"/>
        <v>0</v>
      </c>
      <c r="AF243" s="3" t="str">
        <f t="shared" si="47"/>
        <v>Partial detection only</v>
      </c>
      <c r="AG243" s="16">
        <v>0</v>
      </c>
      <c r="AH243" s="16">
        <f>IF(B243&lt;&gt;"Sensor Snapshot","",IF(ISNUMBER(AG243),IF(AG243&lt;0,"",IF(AG243&gt;10,AG243/'02_Parameters'!$B$17,AG243)),""))</f>
        <v>0</v>
      </c>
      <c r="AI243" t="str">
        <f t="shared" si="48"/>
        <v>Valid</v>
      </c>
      <c r="AJ243">
        <f t="shared" si="49"/>
        <v>0</v>
      </c>
      <c r="AK243">
        <f t="shared" si="50"/>
        <v>0</v>
      </c>
      <c r="AM243">
        <f t="shared" si="51"/>
        <v>0</v>
      </c>
      <c r="AN243">
        <f>IF(B243&lt;&gt;"Sensor Snapshot","",--(N243&gt;='02_Parameters'!$B$13))</f>
        <v>0</v>
      </c>
      <c r="AO243">
        <f>IF(B243&lt;&gt;"Sensor Snapshot","",--(AND(L243="PUMPING",ISNUMBER(AH243),AH243&lt;='02_Parameters'!$B$10)))</f>
        <v>0</v>
      </c>
      <c r="AP243" s="16"/>
      <c r="AQ243" s="16" t="str">
        <f t="shared" si="52"/>
        <v/>
      </c>
      <c r="AR243" s="16" t="str">
        <f t="shared" si="53"/>
        <v/>
      </c>
      <c r="AU243" t="s">
        <v>236</v>
      </c>
      <c r="AV243" t="s">
        <v>237</v>
      </c>
      <c r="AW243" s="3" t="s">
        <v>238</v>
      </c>
      <c r="AX243" s="3">
        <f t="shared" si="54"/>
        <v>100</v>
      </c>
      <c r="AY243" s="3" t="str">
        <f t="shared" si="55"/>
        <v>A</v>
      </c>
      <c r="AZ243" s="3" t="s">
        <v>386</v>
      </c>
      <c r="BA243" s="3"/>
    </row>
    <row r="244" spans="1:53" ht="27.6">
      <c r="A244" t="s">
        <v>544</v>
      </c>
      <c r="B244" t="s">
        <v>231</v>
      </c>
      <c r="C244" s="14">
        <v>740444</v>
      </c>
      <c r="D244" s="15">
        <f t="shared" si="42"/>
        <v>740.44399999999996</v>
      </c>
      <c r="E244" t="s">
        <v>232</v>
      </c>
      <c r="G244" t="s">
        <v>234</v>
      </c>
      <c r="H244" t="s">
        <v>235</v>
      </c>
      <c r="I244" s="3"/>
      <c r="J244" s="3"/>
      <c r="L244" t="s">
        <v>385</v>
      </c>
      <c r="M244">
        <f t="shared" si="43"/>
        <v>0</v>
      </c>
      <c r="N244">
        <v>0</v>
      </c>
      <c r="O244" s="16">
        <v>27.4</v>
      </c>
      <c r="P244" s="16">
        <f>IF(AND(ISNUMBER(O244),O244&lt;&gt;-1,O244&gt;='02_Parameters'!$B$18,O244&lt;='02_Parameters'!$B$19),O244,"")</f>
        <v>27.4</v>
      </c>
      <c r="Q244" s="16">
        <v>27.4</v>
      </c>
      <c r="R244" t="str">
        <f>IF(B244&lt;&gt;"Sensor Snapshot","",IF(O244="","Missing",IF(O244=-1,"Sensor failure sentinel (-1)",IF(OR(O244&lt;'02_Parameters'!$B$18,O244&gt;'02_Parameters'!$B$19),"Out of accepted range","Valid"))))</f>
        <v>Valid</v>
      </c>
      <c r="S244" s="16">
        <v>80.599999999999994</v>
      </c>
      <c r="T244" s="16">
        <f>IF(AND(ISNUMBER(S244),S244&lt;&gt;-1,S244&gt;='02_Parameters'!$B$20,S244&lt;='02_Parameters'!$B$21),S244,"")</f>
        <v>80.599999999999994</v>
      </c>
      <c r="U244" s="16">
        <v>80.599999999999994</v>
      </c>
      <c r="V244" t="str">
        <f>IF(B244&lt;&gt;"Sensor Snapshot","",IF(S244="","Missing",IF(S244=-1,"Sensor failure sentinel (-1)",IF(OR(S244&lt;'02_Parameters'!$B$20,S244&gt;'02_Parameters'!$B$21),"Out of accepted range","Valid"))))</f>
        <v>Valid</v>
      </c>
      <c r="W244" s="16">
        <v>-2.5</v>
      </c>
      <c r="X244" s="16">
        <f t="shared" si="44"/>
        <v>2.5</v>
      </c>
      <c r="Y244" t="str">
        <f t="shared" si="45"/>
        <v>Sign corrected to positive</v>
      </c>
      <c r="Z244" s="16"/>
      <c r="AA244">
        <v>1</v>
      </c>
      <c r="AB244">
        <f>IF(B244&lt;&gt;"Sensor Snapshot","",IF(ISNUMBER(AA244),--(AA244&lt;&gt;0),IF(ISNUMBER(Z244),--(Z244&lt;'02_Parameters'!$B$15),"")))</f>
        <v>1</v>
      </c>
      <c r="AC244">
        <f>IF(B244&lt;&gt;"Sensor Snapshot","",IF(ISNUMBER(X244),--(X244&gt;='02_Parameters'!$B$16),""))</f>
        <v>0</v>
      </c>
      <c r="AD244">
        <v>0</v>
      </c>
      <c r="AE244">
        <f t="shared" si="46"/>
        <v>0</v>
      </c>
      <c r="AF244" s="3" t="str">
        <f t="shared" si="47"/>
        <v>Partial detection only</v>
      </c>
      <c r="AG244" s="16">
        <v>0</v>
      </c>
      <c r="AH244" s="16">
        <f>IF(B244&lt;&gt;"Sensor Snapshot","",IF(ISNUMBER(AG244),IF(AG244&lt;0,"",IF(AG244&gt;10,AG244/'02_Parameters'!$B$17,AG244)),""))</f>
        <v>0</v>
      </c>
      <c r="AI244" t="str">
        <f t="shared" si="48"/>
        <v>Valid</v>
      </c>
      <c r="AJ244">
        <f t="shared" si="49"/>
        <v>0</v>
      </c>
      <c r="AK244">
        <f t="shared" si="50"/>
        <v>0</v>
      </c>
      <c r="AM244">
        <f t="shared" si="51"/>
        <v>0</v>
      </c>
      <c r="AN244">
        <f>IF(B244&lt;&gt;"Sensor Snapshot","",--(N244&gt;='02_Parameters'!$B$13))</f>
        <v>0</v>
      </c>
      <c r="AO244">
        <f>IF(B244&lt;&gt;"Sensor Snapshot","",--(AND(L244="PUMPING",ISNUMBER(AH244),AH244&lt;='02_Parameters'!$B$10)))</f>
        <v>0</v>
      </c>
      <c r="AP244" s="16"/>
      <c r="AQ244" s="16" t="str">
        <f t="shared" si="52"/>
        <v/>
      </c>
      <c r="AR244" s="16" t="str">
        <f t="shared" si="53"/>
        <v/>
      </c>
      <c r="AU244" t="s">
        <v>236</v>
      </c>
      <c r="AV244" t="s">
        <v>237</v>
      </c>
      <c r="AW244" s="3" t="s">
        <v>238</v>
      </c>
      <c r="AX244" s="3">
        <f t="shared" si="54"/>
        <v>100</v>
      </c>
      <c r="AY244" s="3" t="str">
        <f t="shared" si="55"/>
        <v>A</v>
      </c>
      <c r="AZ244" s="3" t="s">
        <v>386</v>
      </c>
      <c r="BA244" s="3"/>
    </row>
    <row r="245" spans="1:53" ht="27.6">
      <c r="A245" t="s">
        <v>545</v>
      </c>
      <c r="B245" t="s">
        <v>231</v>
      </c>
      <c r="C245" s="14">
        <v>745461</v>
      </c>
      <c r="D245" s="15">
        <f t="shared" si="42"/>
        <v>745.46100000000001</v>
      </c>
      <c r="E245" t="s">
        <v>232</v>
      </c>
      <c r="G245" t="s">
        <v>234</v>
      </c>
      <c r="H245" t="s">
        <v>235</v>
      </c>
      <c r="I245" s="3"/>
      <c r="J245" s="3"/>
      <c r="L245" t="s">
        <v>385</v>
      </c>
      <c r="M245">
        <f t="shared" si="43"/>
        <v>0</v>
      </c>
      <c r="N245">
        <v>0</v>
      </c>
      <c r="O245" s="16">
        <v>27.4</v>
      </c>
      <c r="P245" s="16">
        <f>IF(AND(ISNUMBER(O245),O245&lt;&gt;-1,O245&gt;='02_Parameters'!$B$18,O245&lt;='02_Parameters'!$B$19),O245,"")</f>
        <v>27.4</v>
      </c>
      <c r="Q245" s="16">
        <v>27.4</v>
      </c>
      <c r="R245" t="str">
        <f>IF(B245&lt;&gt;"Sensor Snapshot","",IF(O245="","Missing",IF(O245=-1,"Sensor failure sentinel (-1)",IF(OR(O245&lt;'02_Parameters'!$B$18,O245&gt;'02_Parameters'!$B$19),"Out of accepted range","Valid"))))</f>
        <v>Valid</v>
      </c>
      <c r="S245" s="16">
        <v>80.8</v>
      </c>
      <c r="T245" s="16">
        <f>IF(AND(ISNUMBER(S245),S245&lt;&gt;-1,S245&gt;='02_Parameters'!$B$20,S245&lt;='02_Parameters'!$B$21),S245,"")</f>
        <v>80.8</v>
      </c>
      <c r="U245" s="16">
        <v>80.8</v>
      </c>
      <c r="V245" t="str">
        <f>IF(B245&lt;&gt;"Sensor Snapshot","",IF(S245="","Missing",IF(S245=-1,"Sensor failure sentinel (-1)",IF(OR(S245&lt;'02_Parameters'!$B$20,S245&gt;'02_Parameters'!$B$21),"Out of accepted range","Valid"))))</f>
        <v>Valid</v>
      </c>
      <c r="W245" s="16">
        <v>-2.5</v>
      </c>
      <c r="X245" s="16">
        <f t="shared" si="44"/>
        <v>2.5</v>
      </c>
      <c r="Y245" t="str">
        <f t="shared" si="45"/>
        <v>Sign corrected to positive</v>
      </c>
      <c r="Z245" s="16"/>
      <c r="AA245">
        <v>1</v>
      </c>
      <c r="AB245">
        <f>IF(B245&lt;&gt;"Sensor Snapshot","",IF(ISNUMBER(AA245),--(AA245&lt;&gt;0),IF(ISNUMBER(Z245),--(Z245&lt;'02_Parameters'!$B$15),"")))</f>
        <v>1</v>
      </c>
      <c r="AC245">
        <f>IF(B245&lt;&gt;"Sensor Snapshot","",IF(ISNUMBER(X245),--(X245&gt;='02_Parameters'!$B$16),""))</f>
        <v>0</v>
      </c>
      <c r="AD245">
        <v>0</v>
      </c>
      <c r="AE245">
        <f t="shared" si="46"/>
        <v>0</v>
      </c>
      <c r="AF245" s="3" t="str">
        <f t="shared" si="47"/>
        <v>Partial detection only</v>
      </c>
      <c r="AG245" s="16">
        <v>0</v>
      </c>
      <c r="AH245" s="16">
        <f>IF(B245&lt;&gt;"Sensor Snapshot","",IF(ISNUMBER(AG245),IF(AG245&lt;0,"",IF(AG245&gt;10,AG245/'02_Parameters'!$B$17,AG245)),""))</f>
        <v>0</v>
      </c>
      <c r="AI245" t="str">
        <f t="shared" si="48"/>
        <v>Valid</v>
      </c>
      <c r="AJ245">
        <f t="shared" si="49"/>
        <v>0</v>
      </c>
      <c r="AK245">
        <f t="shared" si="50"/>
        <v>0</v>
      </c>
      <c r="AM245">
        <f t="shared" si="51"/>
        <v>0</v>
      </c>
      <c r="AN245">
        <f>IF(B245&lt;&gt;"Sensor Snapshot","",--(N245&gt;='02_Parameters'!$B$13))</f>
        <v>0</v>
      </c>
      <c r="AO245">
        <f>IF(B245&lt;&gt;"Sensor Snapshot","",--(AND(L245="PUMPING",ISNUMBER(AH245),AH245&lt;='02_Parameters'!$B$10)))</f>
        <v>0</v>
      </c>
      <c r="AP245" s="16"/>
      <c r="AQ245" s="16" t="str">
        <f t="shared" si="52"/>
        <v/>
      </c>
      <c r="AR245" s="16" t="str">
        <f t="shared" si="53"/>
        <v/>
      </c>
      <c r="AU245" t="s">
        <v>236</v>
      </c>
      <c r="AV245" t="s">
        <v>237</v>
      </c>
      <c r="AW245" s="3" t="s">
        <v>238</v>
      </c>
      <c r="AX245" s="3">
        <f t="shared" si="54"/>
        <v>100</v>
      </c>
      <c r="AY245" s="3" t="str">
        <f t="shared" si="55"/>
        <v>A</v>
      </c>
      <c r="AZ245" s="3" t="s">
        <v>386</v>
      </c>
      <c r="BA245" s="3"/>
    </row>
    <row r="246" spans="1:53" ht="27.6">
      <c r="A246" t="s">
        <v>546</v>
      </c>
      <c r="B246" t="s">
        <v>231</v>
      </c>
      <c r="C246" s="14">
        <v>750478</v>
      </c>
      <c r="D246" s="15">
        <f t="shared" si="42"/>
        <v>750.47799999999995</v>
      </c>
      <c r="E246" t="s">
        <v>232</v>
      </c>
      <c r="G246" t="s">
        <v>234</v>
      </c>
      <c r="H246" t="s">
        <v>235</v>
      </c>
      <c r="I246" s="3"/>
      <c r="J246" s="3"/>
      <c r="L246" t="s">
        <v>385</v>
      </c>
      <c r="M246">
        <f t="shared" si="43"/>
        <v>0</v>
      </c>
      <c r="N246">
        <v>0</v>
      </c>
      <c r="O246" s="16">
        <v>27.4</v>
      </c>
      <c r="P246" s="16">
        <f>IF(AND(ISNUMBER(O246),O246&lt;&gt;-1,O246&gt;='02_Parameters'!$B$18,O246&lt;='02_Parameters'!$B$19),O246,"")</f>
        <v>27.4</v>
      </c>
      <c r="Q246" s="16">
        <v>27.4</v>
      </c>
      <c r="R246" t="str">
        <f>IF(B246&lt;&gt;"Sensor Snapshot","",IF(O246="","Missing",IF(O246=-1,"Sensor failure sentinel (-1)",IF(OR(O246&lt;'02_Parameters'!$B$18,O246&gt;'02_Parameters'!$B$19),"Out of accepted range","Valid"))))</f>
        <v>Valid</v>
      </c>
      <c r="S246" s="16">
        <v>80.8</v>
      </c>
      <c r="T246" s="16">
        <f>IF(AND(ISNUMBER(S246),S246&lt;&gt;-1,S246&gt;='02_Parameters'!$B$20,S246&lt;='02_Parameters'!$B$21),S246,"")</f>
        <v>80.8</v>
      </c>
      <c r="U246" s="16">
        <v>80.8</v>
      </c>
      <c r="V246" t="str">
        <f>IF(B246&lt;&gt;"Sensor Snapshot","",IF(S246="","Missing",IF(S246=-1,"Sensor failure sentinel (-1)",IF(OR(S246&lt;'02_Parameters'!$B$20,S246&gt;'02_Parameters'!$B$21),"Out of accepted range","Valid"))))</f>
        <v>Valid</v>
      </c>
      <c r="W246" s="16">
        <v>-2.5</v>
      </c>
      <c r="X246" s="16">
        <f t="shared" si="44"/>
        <v>2.5</v>
      </c>
      <c r="Y246" t="str">
        <f t="shared" si="45"/>
        <v>Sign corrected to positive</v>
      </c>
      <c r="Z246" s="16"/>
      <c r="AA246">
        <v>1</v>
      </c>
      <c r="AB246">
        <f>IF(B246&lt;&gt;"Sensor Snapshot","",IF(ISNUMBER(AA246),--(AA246&lt;&gt;0),IF(ISNUMBER(Z246),--(Z246&lt;'02_Parameters'!$B$15),"")))</f>
        <v>1</v>
      </c>
      <c r="AC246">
        <f>IF(B246&lt;&gt;"Sensor Snapshot","",IF(ISNUMBER(X246),--(X246&gt;='02_Parameters'!$B$16),""))</f>
        <v>0</v>
      </c>
      <c r="AD246">
        <v>0</v>
      </c>
      <c r="AE246">
        <f t="shared" si="46"/>
        <v>0</v>
      </c>
      <c r="AF246" s="3" t="str">
        <f t="shared" si="47"/>
        <v>Partial detection only</v>
      </c>
      <c r="AG246" s="16">
        <v>0</v>
      </c>
      <c r="AH246" s="16">
        <f>IF(B246&lt;&gt;"Sensor Snapshot","",IF(ISNUMBER(AG246),IF(AG246&lt;0,"",IF(AG246&gt;10,AG246/'02_Parameters'!$B$17,AG246)),""))</f>
        <v>0</v>
      </c>
      <c r="AI246" t="str">
        <f t="shared" si="48"/>
        <v>Valid</v>
      </c>
      <c r="AJ246">
        <f t="shared" si="49"/>
        <v>0</v>
      </c>
      <c r="AK246">
        <f t="shared" si="50"/>
        <v>0</v>
      </c>
      <c r="AM246">
        <f t="shared" si="51"/>
        <v>0</v>
      </c>
      <c r="AN246">
        <f>IF(B246&lt;&gt;"Sensor Snapshot","",--(N246&gt;='02_Parameters'!$B$13))</f>
        <v>0</v>
      </c>
      <c r="AO246">
        <f>IF(B246&lt;&gt;"Sensor Snapshot","",--(AND(L246="PUMPING",ISNUMBER(AH246),AH246&lt;='02_Parameters'!$B$10)))</f>
        <v>0</v>
      </c>
      <c r="AP246" s="16"/>
      <c r="AQ246" s="16" t="str">
        <f t="shared" si="52"/>
        <v/>
      </c>
      <c r="AR246" s="16" t="str">
        <f t="shared" si="53"/>
        <v/>
      </c>
      <c r="AU246" t="s">
        <v>236</v>
      </c>
      <c r="AV246" t="s">
        <v>237</v>
      </c>
      <c r="AW246" s="3" t="s">
        <v>238</v>
      </c>
      <c r="AX246" s="3">
        <f t="shared" si="54"/>
        <v>100</v>
      </c>
      <c r="AY246" s="3" t="str">
        <f t="shared" si="55"/>
        <v>A</v>
      </c>
      <c r="AZ246" s="3" t="s">
        <v>386</v>
      </c>
      <c r="BA246" s="3"/>
    </row>
    <row r="247" spans="1:53" ht="27.6">
      <c r="A247" t="s">
        <v>547</v>
      </c>
      <c r="B247" t="s">
        <v>231</v>
      </c>
      <c r="C247" s="14">
        <v>755494</v>
      </c>
      <c r="D247" s="15">
        <f t="shared" si="42"/>
        <v>755.49400000000003</v>
      </c>
      <c r="E247" t="s">
        <v>232</v>
      </c>
      <c r="G247" t="s">
        <v>234</v>
      </c>
      <c r="H247" t="s">
        <v>235</v>
      </c>
      <c r="I247" s="3"/>
      <c r="J247" s="3"/>
      <c r="L247" t="s">
        <v>385</v>
      </c>
      <c r="M247">
        <f t="shared" si="43"/>
        <v>0</v>
      </c>
      <c r="N247">
        <v>0</v>
      </c>
      <c r="O247" s="16">
        <v>27.4</v>
      </c>
      <c r="P247" s="16">
        <f>IF(AND(ISNUMBER(O247),O247&lt;&gt;-1,O247&gt;='02_Parameters'!$B$18,O247&lt;='02_Parameters'!$B$19),O247,"")</f>
        <v>27.4</v>
      </c>
      <c r="Q247" s="16">
        <v>27.4</v>
      </c>
      <c r="R247" t="str">
        <f>IF(B247&lt;&gt;"Sensor Snapshot","",IF(O247="","Missing",IF(O247=-1,"Sensor failure sentinel (-1)",IF(OR(O247&lt;'02_Parameters'!$B$18,O247&gt;'02_Parameters'!$B$19),"Out of accepted range","Valid"))))</f>
        <v>Valid</v>
      </c>
      <c r="S247" s="16">
        <v>81</v>
      </c>
      <c r="T247" s="16">
        <f>IF(AND(ISNUMBER(S247),S247&lt;&gt;-1,S247&gt;='02_Parameters'!$B$20,S247&lt;='02_Parameters'!$B$21),S247,"")</f>
        <v>81</v>
      </c>
      <c r="U247" s="16">
        <v>81</v>
      </c>
      <c r="V247" t="str">
        <f>IF(B247&lt;&gt;"Sensor Snapshot","",IF(S247="","Missing",IF(S247=-1,"Sensor failure sentinel (-1)",IF(OR(S247&lt;'02_Parameters'!$B$20,S247&gt;'02_Parameters'!$B$21),"Out of accepted range","Valid"))))</f>
        <v>Valid</v>
      </c>
      <c r="W247" s="16">
        <v>-2.6</v>
      </c>
      <c r="X247" s="16">
        <f t="shared" si="44"/>
        <v>2.6</v>
      </c>
      <c r="Y247" t="str">
        <f t="shared" si="45"/>
        <v>Sign corrected to positive</v>
      </c>
      <c r="Z247" s="16"/>
      <c r="AA247">
        <v>1</v>
      </c>
      <c r="AB247">
        <f>IF(B247&lt;&gt;"Sensor Snapshot","",IF(ISNUMBER(AA247),--(AA247&lt;&gt;0),IF(ISNUMBER(Z247),--(Z247&lt;'02_Parameters'!$B$15),"")))</f>
        <v>1</v>
      </c>
      <c r="AC247">
        <f>IF(B247&lt;&gt;"Sensor Snapshot","",IF(ISNUMBER(X247),--(X247&gt;='02_Parameters'!$B$16),""))</f>
        <v>0</v>
      </c>
      <c r="AD247">
        <v>0</v>
      </c>
      <c r="AE247">
        <f t="shared" si="46"/>
        <v>0</v>
      </c>
      <c r="AF247" s="3" t="str">
        <f t="shared" si="47"/>
        <v>Partial detection only</v>
      </c>
      <c r="AG247" s="16">
        <v>0</v>
      </c>
      <c r="AH247" s="16">
        <f>IF(B247&lt;&gt;"Sensor Snapshot","",IF(ISNUMBER(AG247),IF(AG247&lt;0,"",IF(AG247&gt;10,AG247/'02_Parameters'!$B$17,AG247)),""))</f>
        <v>0</v>
      </c>
      <c r="AI247" t="str">
        <f t="shared" si="48"/>
        <v>Valid</v>
      </c>
      <c r="AJ247">
        <f t="shared" si="49"/>
        <v>0</v>
      </c>
      <c r="AK247">
        <f t="shared" si="50"/>
        <v>0</v>
      </c>
      <c r="AM247">
        <f t="shared" si="51"/>
        <v>0</v>
      </c>
      <c r="AN247">
        <f>IF(B247&lt;&gt;"Sensor Snapshot","",--(N247&gt;='02_Parameters'!$B$13))</f>
        <v>0</v>
      </c>
      <c r="AO247">
        <f>IF(B247&lt;&gt;"Sensor Snapshot","",--(AND(L247="PUMPING",ISNUMBER(AH247),AH247&lt;='02_Parameters'!$B$10)))</f>
        <v>0</v>
      </c>
      <c r="AP247" s="16"/>
      <c r="AQ247" s="16" t="str">
        <f t="shared" si="52"/>
        <v/>
      </c>
      <c r="AR247" s="16" t="str">
        <f t="shared" si="53"/>
        <v/>
      </c>
      <c r="AU247" t="s">
        <v>236</v>
      </c>
      <c r="AV247" t="s">
        <v>237</v>
      </c>
      <c r="AW247" s="3" t="s">
        <v>238</v>
      </c>
      <c r="AX247" s="3">
        <f t="shared" si="54"/>
        <v>100</v>
      </c>
      <c r="AY247" s="3" t="str">
        <f t="shared" si="55"/>
        <v>A</v>
      </c>
      <c r="AZ247" s="3" t="s">
        <v>386</v>
      </c>
      <c r="BA247" s="3"/>
    </row>
    <row r="248" spans="1:53" ht="27.6">
      <c r="A248" t="s">
        <v>548</v>
      </c>
      <c r="B248" t="s">
        <v>231</v>
      </c>
      <c r="C248" s="14">
        <v>760513</v>
      </c>
      <c r="D248" s="15">
        <f t="shared" si="42"/>
        <v>760.51300000000003</v>
      </c>
      <c r="E248" t="s">
        <v>232</v>
      </c>
      <c r="G248" t="s">
        <v>234</v>
      </c>
      <c r="H248" t="s">
        <v>235</v>
      </c>
      <c r="I248" s="3"/>
      <c r="J248" s="3"/>
      <c r="L248" t="s">
        <v>385</v>
      </c>
      <c r="M248">
        <f t="shared" si="43"/>
        <v>0</v>
      </c>
      <c r="N248">
        <v>0</v>
      </c>
      <c r="O248" s="16">
        <v>27.4</v>
      </c>
      <c r="P248" s="16">
        <f>IF(AND(ISNUMBER(O248),O248&lt;&gt;-1,O248&gt;='02_Parameters'!$B$18,O248&lt;='02_Parameters'!$B$19),O248,"")</f>
        <v>27.4</v>
      </c>
      <c r="Q248" s="16">
        <v>27.4</v>
      </c>
      <c r="R248" t="str">
        <f>IF(B248&lt;&gt;"Sensor Snapshot","",IF(O248="","Missing",IF(O248=-1,"Sensor failure sentinel (-1)",IF(OR(O248&lt;'02_Parameters'!$B$18,O248&gt;'02_Parameters'!$B$19),"Out of accepted range","Valid"))))</f>
        <v>Valid</v>
      </c>
      <c r="S248" s="16">
        <v>81</v>
      </c>
      <c r="T248" s="16">
        <f>IF(AND(ISNUMBER(S248),S248&lt;&gt;-1,S248&gt;='02_Parameters'!$B$20,S248&lt;='02_Parameters'!$B$21),S248,"")</f>
        <v>81</v>
      </c>
      <c r="U248" s="16">
        <v>81</v>
      </c>
      <c r="V248" t="str">
        <f>IF(B248&lt;&gt;"Sensor Snapshot","",IF(S248="","Missing",IF(S248=-1,"Sensor failure sentinel (-1)",IF(OR(S248&lt;'02_Parameters'!$B$20,S248&gt;'02_Parameters'!$B$21),"Out of accepted range","Valid"))))</f>
        <v>Valid</v>
      </c>
      <c r="W248" s="16">
        <v>-2.5</v>
      </c>
      <c r="X248" s="16">
        <f t="shared" si="44"/>
        <v>2.5</v>
      </c>
      <c r="Y248" t="str">
        <f t="shared" si="45"/>
        <v>Sign corrected to positive</v>
      </c>
      <c r="Z248" s="16"/>
      <c r="AA248">
        <v>1</v>
      </c>
      <c r="AB248">
        <f>IF(B248&lt;&gt;"Sensor Snapshot","",IF(ISNUMBER(AA248),--(AA248&lt;&gt;0),IF(ISNUMBER(Z248),--(Z248&lt;'02_Parameters'!$B$15),"")))</f>
        <v>1</v>
      </c>
      <c r="AC248">
        <f>IF(B248&lt;&gt;"Sensor Snapshot","",IF(ISNUMBER(X248),--(X248&gt;='02_Parameters'!$B$16),""))</f>
        <v>0</v>
      </c>
      <c r="AD248">
        <v>0</v>
      </c>
      <c r="AE248">
        <f t="shared" si="46"/>
        <v>0</v>
      </c>
      <c r="AF248" s="3" t="str">
        <f t="shared" si="47"/>
        <v>Partial detection only</v>
      </c>
      <c r="AG248" s="16">
        <v>0</v>
      </c>
      <c r="AH248" s="16">
        <f>IF(B248&lt;&gt;"Sensor Snapshot","",IF(ISNUMBER(AG248),IF(AG248&lt;0,"",IF(AG248&gt;10,AG248/'02_Parameters'!$B$17,AG248)),""))</f>
        <v>0</v>
      </c>
      <c r="AI248" t="str">
        <f t="shared" si="48"/>
        <v>Valid</v>
      </c>
      <c r="AJ248">
        <f t="shared" si="49"/>
        <v>0</v>
      </c>
      <c r="AK248">
        <f t="shared" si="50"/>
        <v>0</v>
      </c>
      <c r="AM248">
        <f t="shared" si="51"/>
        <v>0</v>
      </c>
      <c r="AN248">
        <f>IF(B248&lt;&gt;"Sensor Snapshot","",--(N248&gt;='02_Parameters'!$B$13))</f>
        <v>0</v>
      </c>
      <c r="AO248">
        <f>IF(B248&lt;&gt;"Sensor Snapshot","",--(AND(L248="PUMPING",ISNUMBER(AH248),AH248&lt;='02_Parameters'!$B$10)))</f>
        <v>0</v>
      </c>
      <c r="AP248" s="16"/>
      <c r="AQ248" s="16" t="str">
        <f t="shared" si="52"/>
        <v/>
      </c>
      <c r="AR248" s="16" t="str">
        <f t="shared" si="53"/>
        <v/>
      </c>
      <c r="AU248" t="s">
        <v>236</v>
      </c>
      <c r="AV248" t="s">
        <v>237</v>
      </c>
      <c r="AW248" s="3" t="s">
        <v>238</v>
      </c>
      <c r="AX248" s="3">
        <f t="shared" si="54"/>
        <v>100</v>
      </c>
      <c r="AY248" s="3" t="str">
        <f t="shared" si="55"/>
        <v>A</v>
      </c>
      <c r="AZ248" s="3" t="s">
        <v>386</v>
      </c>
      <c r="BA248" s="3"/>
    </row>
    <row r="249" spans="1:53" ht="27.6">
      <c r="A249" t="s">
        <v>549</v>
      </c>
      <c r="B249" t="s">
        <v>231</v>
      </c>
      <c r="C249" s="14">
        <v>765530</v>
      </c>
      <c r="D249" s="15">
        <f t="shared" si="42"/>
        <v>765.53</v>
      </c>
      <c r="E249" t="s">
        <v>232</v>
      </c>
      <c r="G249" t="s">
        <v>234</v>
      </c>
      <c r="H249" t="s">
        <v>235</v>
      </c>
      <c r="I249" s="3"/>
      <c r="J249" s="3"/>
      <c r="L249" t="s">
        <v>385</v>
      </c>
      <c r="M249">
        <f t="shared" si="43"/>
        <v>0</v>
      </c>
      <c r="N249">
        <v>0</v>
      </c>
      <c r="O249" s="16">
        <v>27.4</v>
      </c>
      <c r="P249" s="16">
        <f>IF(AND(ISNUMBER(O249),O249&lt;&gt;-1,O249&gt;='02_Parameters'!$B$18,O249&lt;='02_Parameters'!$B$19),O249,"")</f>
        <v>27.4</v>
      </c>
      <c r="Q249" s="16">
        <v>27.4</v>
      </c>
      <c r="R249" t="str">
        <f>IF(B249&lt;&gt;"Sensor Snapshot","",IF(O249="","Missing",IF(O249=-1,"Sensor failure sentinel (-1)",IF(OR(O249&lt;'02_Parameters'!$B$18,O249&gt;'02_Parameters'!$B$19),"Out of accepted range","Valid"))))</f>
        <v>Valid</v>
      </c>
      <c r="S249" s="16">
        <v>81</v>
      </c>
      <c r="T249" s="16">
        <f>IF(AND(ISNUMBER(S249),S249&lt;&gt;-1,S249&gt;='02_Parameters'!$B$20,S249&lt;='02_Parameters'!$B$21),S249,"")</f>
        <v>81</v>
      </c>
      <c r="U249" s="16">
        <v>81</v>
      </c>
      <c r="V249" t="str">
        <f>IF(B249&lt;&gt;"Sensor Snapshot","",IF(S249="","Missing",IF(S249=-1,"Sensor failure sentinel (-1)",IF(OR(S249&lt;'02_Parameters'!$B$20,S249&gt;'02_Parameters'!$B$21),"Out of accepted range","Valid"))))</f>
        <v>Valid</v>
      </c>
      <c r="W249" s="16">
        <v>-2.5</v>
      </c>
      <c r="X249" s="16">
        <f t="shared" si="44"/>
        <v>2.5</v>
      </c>
      <c r="Y249" t="str">
        <f t="shared" si="45"/>
        <v>Sign corrected to positive</v>
      </c>
      <c r="Z249" s="16"/>
      <c r="AA249">
        <v>1</v>
      </c>
      <c r="AB249">
        <f>IF(B249&lt;&gt;"Sensor Snapshot","",IF(ISNUMBER(AA249),--(AA249&lt;&gt;0),IF(ISNUMBER(Z249),--(Z249&lt;'02_Parameters'!$B$15),"")))</f>
        <v>1</v>
      </c>
      <c r="AC249">
        <f>IF(B249&lt;&gt;"Sensor Snapshot","",IF(ISNUMBER(X249),--(X249&gt;='02_Parameters'!$B$16),""))</f>
        <v>0</v>
      </c>
      <c r="AD249">
        <v>0</v>
      </c>
      <c r="AE249">
        <f t="shared" si="46"/>
        <v>0</v>
      </c>
      <c r="AF249" s="3" t="str">
        <f t="shared" si="47"/>
        <v>Partial detection only</v>
      </c>
      <c r="AG249" s="16">
        <v>0</v>
      </c>
      <c r="AH249" s="16">
        <f>IF(B249&lt;&gt;"Sensor Snapshot","",IF(ISNUMBER(AG249),IF(AG249&lt;0,"",IF(AG249&gt;10,AG249/'02_Parameters'!$B$17,AG249)),""))</f>
        <v>0</v>
      </c>
      <c r="AI249" t="str">
        <f t="shared" si="48"/>
        <v>Valid</v>
      </c>
      <c r="AJ249">
        <f t="shared" si="49"/>
        <v>0</v>
      </c>
      <c r="AK249">
        <f t="shared" si="50"/>
        <v>0</v>
      </c>
      <c r="AM249">
        <f t="shared" si="51"/>
        <v>0</v>
      </c>
      <c r="AN249">
        <f>IF(B249&lt;&gt;"Sensor Snapshot","",--(N249&gt;='02_Parameters'!$B$13))</f>
        <v>0</v>
      </c>
      <c r="AO249">
        <f>IF(B249&lt;&gt;"Sensor Snapshot","",--(AND(L249="PUMPING",ISNUMBER(AH249),AH249&lt;='02_Parameters'!$B$10)))</f>
        <v>0</v>
      </c>
      <c r="AP249" s="16"/>
      <c r="AQ249" s="16" t="str">
        <f t="shared" si="52"/>
        <v/>
      </c>
      <c r="AR249" s="16" t="str">
        <f t="shared" si="53"/>
        <v/>
      </c>
      <c r="AU249" t="s">
        <v>236</v>
      </c>
      <c r="AV249" t="s">
        <v>237</v>
      </c>
      <c r="AW249" s="3" t="s">
        <v>238</v>
      </c>
      <c r="AX249" s="3">
        <f t="shared" si="54"/>
        <v>100</v>
      </c>
      <c r="AY249" s="3" t="str">
        <f t="shared" si="55"/>
        <v>A</v>
      </c>
      <c r="AZ249" s="3" t="s">
        <v>386</v>
      </c>
      <c r="BA249" s="3"/>
    </row>
    <row r="250" spans="1:53" ht="27.6">
      <c r="A250" t="s">
        <v>550</v>
      </c>
      <c r="B250" t="s">
        <v>231</v>
      </c>
      <c r="C250" s="14">
        <v>770548</v>
      </c>
      <c r="D250" s="15">
        <f t="shared" si="42"/>
        <v>770.548</v>
      </c>
      <c r="E250" t="s">
        <v>232</v>
      </c>
      <c r="G250" t="s">
        <v>234</v>
      </c>
      <c r="H250" t="s">
        <v>235</v>
      </c>
      <c r="I250" s="3"/>
      <c r="J250" s="3"/>
      <c r="L250" t="s">
        <v>385</v>
      </c>
      <c r="M250">
        <f t="shared" si="43"/>
        <v>0</v>
      </c>
      <c r="N250">
        <v>0</v>
      </c>
      <c r="O250" s="16">
        <v>27.4</v>
      </c>
      <c r="P250" s="16">
        <f>IF(AND(ISNUMBER(O250),O250&lt;&gt;-1,O250&gt;='02_Parameters'!$B$18,O250&lt;='02_Parameters'!$B$19),O250,"")</f>
        <v>27.4</v>
      </c>
      <c r="Q250" s="16">
        <v>27.4</v>
      </c>
      <c r="R250" t="str">
        <f>IF(B250&lt;&gt;"Sensor Snapshot","",IF(O250="","Missing",IF(O250=-1,"Sensor failure sentinel (-1)",IF(OR(O250&lt;'02_Parameters'!$B$18,O250&gt;'02_Parameters'!$B$19),"Out of accepted range","Valid"))))</f>
        <v>Valid</v>
      </c>
      <c r="S250" s="16">
        <v>81</v>
      </c>
      <c r="T250" s="16">
        <f>IF(AND(ISNUMBER(S250),S250&lt;&gt;-1,S250&gt;='02_Parameters'!$B$20,S250&lt;='02_Parameters'!$B$21),S250,"")</f>
        <v>81</v>
      </c>
      <c r="U250" s="16">
        <v>81</v>
      </c>
      <c r="V250" t="str">
        <f>IF(B250&lt;&gt;"Sensor Snapshot","",IF(S250="","Missing",IF(S250=-1,"Sensor failure sentinel (-1)",IF(OR(S250&lt;'02_Parameters'!$B$20,S250&gt;'02_Parameters'!$B$21),"Out of accepted range","Valid"))))</f>
        <v>Valid</v>
      </c>
      <c r="W250" s="16">
        <v>-2.5</v>
      </c>
      <c r="X250" s="16">
        <f t="shared" si="44"/>
        <v>2.5</v>
      </c>
      <c r="Y250" t="str">
        <f t="shared" si="45"/>
        <v>Sign corrected to positive</v>
      </c>
      <c r="Z250" s="16"/>
      <c r="AA250">
        <v>1</v>
      </c>
      <c r="AB250">
        <f>IF(B250&lt;&gt;"Sensor Snapshot","",IF(ISNUMBER(AA250),--(AA250&lt;&gt;0),IF(ISNUMBER(Z250),--(Z250&lt;'02_Parameters'!$B$15),"")))</f>
        <v>1</v>
      </c>
      <c r="AC250">
        <f>IF(B250&lt;&gt;"Sensor Snapshot","",IF(ISNUMBER(X250),--(X250&gt;='02_Parameters'!$B$16),""))</f>
        <v>0</v>
      </c>
      <c r="AD250">
        <v>0</v>
      </c>
      <c r="AE250">
        <f t="shared" si="46"/>
        <v>0</v>
      </c>
      <c r="AF250" s="3" t="str">
        <f t="shared" si="47"/>
        <v>Partial detection only</v>
      </c>
      <c r="AG250" s="16">
        <v>0</v>
      </c>
      <c r="AH250" s="16">
        <f>IF(B250&lt;&gt;"Sensor Snapshot","",IF(ISNUMBER(AG250),IF(AG250&lt;0,"",IF(AG250&gt;10,AG250/'02_Parameters'!$B$17,AG250)),""))</f>
        <v>0</v>
      </c>
      <c r="AI250" t="str">
        <f t="shared" si="48"/>
        <v>Valid</v>
      </c>
      <c r="AJ250">
        <f t="shared" si="49"/>
        <v>0</v>
      </c>
      <c r="AK250">
        <f t="shared" si="50"/>
        <v>0</v>
      </c>
      <c r="AM250">
        <f t="shared" si="51"/>
        <v>0</v>
      </c>
      <c r="AN250">
        <f>IF(B250&lt;&gt;"Sensor Snapshot","",--(N250&gt;='02_Parameters'!$B$13))</f>
        <v>0</v>
      </c>
      <c r="AO250">
        <f>IF(B250&lt;&gt;"Sensor Snapshot","",--(AND(L250="PUMPING",ISNUMBER(AH250),AH250&lt;='02_Parameters'!$B$10)))</f>
        <v>0</v>
      </c>
      <c r="AP250" s="16"/>
      <c r="AQ250" s="16" t="str">
        <f t="shared" si="52"/>
        <v/>
      </c>
      <c r="AR250" s="16" t="str">
        <f t="shared" si="53"/>
        <v/>
      </c>
      <c r="AU250" t="s">
        <v>236</v>
      </c>
      <c r="AV250" t="s">
        <v>237</v>
      </c>
      <c r="AW250" s="3" t="s">
        <v>238</v>
      </c>
      <c r="AX250" s="3">
        <f t="shared" si="54"/>
        <v>100</v>
      </c>
      <c r="AY250" s="3" t="str">
        <f t="shared" si="55"/>
        <v>A</v>
      </c>
      <c r="AZ250" s="3" t="s">
        <v>386</v>
      </c>
      <c r="BA250" s="3"/>
    </row>
    <row r="251" spans="1:53" ht="27.6">
      <c r="A251" t="s">
        <v>551</v>
      </c>
      <c r="B251" t="s">
        <v>231</v>
      </c>
      <c r="C251" s="14">
        <v>775565</v>
      </c>
      <c r="D251" s="15">
        <f t="shared" si="42"/>
        <v>775.56500000000005</v>
      </c>
      <c r="E251" t="s">
        <v>232</v>
      </c>
      <c r="G251" t="s">
        <v>234</v>
      </c>
      <c r="H251" t="s">
        <v>235</v>
      </c>
      <c r="I251" s="3"/>
      <c r="J251" s="3"/>
      <c r="L251" t="s">
        <v>385</v>
      </c>
      <c r="M251">
        <f t="shared" si="43"/>
        <v>0</v>
      </c>
      <c r="N251">
        <v>0</v>
      </c>
      <c r="O251" s="16">
        <v>27.4</v>
      </c>
      <c r="P251" s="16">
        <f>IF(AND(ISNUMBER(O251),O251&lt;&gt;-1,O251&gt;='02_Parameters'!$B$18,O251&lt;='02_Parameters'!$B$19),O251,"")</f>
        <v>27.4</v>
      </c>
      <c r="Q251" s="16">
        <v>27.4</v>
      </c>
      <c r="R251" t="str">
        <f>IF(B251&lt;&gt;"Sensor Snapshot","",IF(O251="","Missing",IF(O251=-1,"Sensor failure sentinel (-1)",IF(OR(O251&lt;'02_Parameters'!$B$18,O251&gt;'02_Parameters'!$B$19),"Out of accepted range","Valid"))))</f>
        <v>Valid</v>
      </c>
      <c r="S251" s="16">
        <v>81</v>
      </c>
      <c r="T251" s="16">
        <f>IF(AND(ISNUMBER(S251),S251&lt;&gt;-1,S251&gt;='02_Parameters'!$B$20,S251&lt;='02_Parameters'!$B$21),S251,"")</f>
        <v>81</v>
      </c>
      <c r="U251" s="16">
        <v>81</v>
      </c>
      <c r="V251" t="str">
        <f>IF(B251&lt;&gt;"Sensor Snapshot","",IF(S251="","Missing",IF(S251=-1,"Sensor failure sentinel (-1)",IF(OR(S251&lt;'02_Parameters'!$B$20,S251&gt;'02_Parameters'!$B$21),"Out of accepted range","Valid"))))</f>
        <v>Valid</v>
      </c>
      <c r="W251" s="16">
        <v>-2.4</v>
      </c>
      <c r="X251" s="16">
        <f t="shared" si="44"/>
        <v>2.4</v>
      </c>
      <c r="Y251" t="str">
        <f t="shared" si="45"/>
        <v>Sign corrected to positive</v>
      </c>
      <c r="Z251" s="16"/>
      <c r="AA251">
        <v>1</v>
      </c>
      <c r="AB251">
        <f>IF(B251&lt;&gt;"Sensor Snapshot","",IF(ISNUMBER(AA251),--(AA251&lt;&gt;0),IF(ISNUMBER(Z251),--(Z251&lt;'02_Parameters'!$B$15),"")))</f>
        <v>1</v>
      </c>
      <c r="AC251">
        <f>IF(B251&lt;&gt;"Sensor Snapshot","",IF(ISNUMBER(X251),--(X251&gt;='02_Parameters'!$B$16),""))</f>
        <v>0</v>
      </c>
      <c r="AD251">
        <v>0</v>
      </c>
      <c r="AE251">
        <f t="shared" si="46"/>
        <v>0</v>
      </c>
      <c r="AF251" s="3" t="str">
        <f t="shared" si="47"/>
        <v>Partial detection only</v>
      </c>
      <c r="AG251" s="16">
        <v>0</v>
      </c>
      <c r="AH251" s="16">
        <f>IF(B251&lt;&gt;"Sensor Snapshot","",IF(ISNUMBER(AG251),IF(AG251&lt;0,"",IF(AG251&gt;10,AG251/'02_Parameters'!$B$17,AG251)),""))</f>
        <v>0</v>
      </c>
      <c r="AI251" t="str">
        <f t="shared" si="48"/>
        <v>Valid</v>
      </c>
      <c r="AJ251">
        <f t="shared" si="49"/>
        <v>0</v>
      </c>
      <c r="AK251">
        <f t="shared" si="50"/>
        <v>0</v>
      </c>
      <c r="AM251">
        <f t="shared" si="51"/>
        <v>0</v>
      </c>
      <c r="AN251">
        <f>IF(B251&lt;&gt;"Sensor Snapshot","",--(N251&gt;='02_Parameters'!$B$13))</f>
        <v>0</v>
      </c>
      <c r="AO251">
        <f>IF(B251&lt;&gt;"Sensor Snapshot","",--(AND(L251="PUMPING",ISNUMBER(AH251),AH251&lt;='02_Parameters'!$B$10)))</f>
        <v>0</v>
      </c>
      <c r="AP251" s="16"/>
      <c r="AQ251" s="16" t="str">
        <f t="shared" si="52"/>
        <v/>
      </c>
      <c r="AR251" s="16" t="str">
        <f t="shared" si="53"/>
        <v/>
      </c>
      <c r="AU251" t="s">
        <v>236</v>
      </c>
      <c r="AV251" t="s">
        <v>237</v>
      </c>
      <c r="AW251" s="3" t="s">
        <v>238</v>
      </c>
      <c r="AX251" s="3">
        <f t="shared" si="54"/>
        <v>100</v>
      </c>
      <c r="AY251" s="3" t="str">
        <f t="shared" si="55"/>
        <v>A</v>
      </c>
      <c r="AZ251" s="3" t="s">
        <v>386</v>
      </c>
      <c r="BA251" s="3"/>
    </row>
    <row r="252" spans="1:53" ht="27.6">
      <c r="A252" t="s">
        <v>552</v>
      </c>
      <c r="B252" t="s">
        <v>231</v>
      </c>
      <c r="C252" s="14">
        <v>780581</v>
      </c>
      <c r="D252" s="15">
        <f t="shared" si="42"/>
        <v>780.58100000000002</v>
      </c>
      <c r="E252" t="s">
        <v>232</v>
      </c>
      <c r="G252" t="s">
        <v>234</v>
      </c>
      <c r="H252" t="s">
        <v>235</v>
      </c>
      <c r="I252" s="3"/>
      <c r="J252" s="3"/>
      <c r="L252" t="s">
        <v>385</v>
      </c>
      <c r="M252">
        <f t="shared" si="43"/>
        <v>0</v>
      </c>
      <c r="N252">
        <v>0</v>
      </c>
      <c r="O252" s="16">
        <v>27.4</v>
      </c>
      <c r="P252" s="16">
        <f>IF(AND(ISNUMBER(O252),O252&lt;&gt;-1,O252&gt;='02_Parameters'!$B$18,O252&lt;='02_Parameters'!$B$19),O252,"")</f>
        <v>27.4</v>
      </c>
      <c r="Q252" s="16">
        <v>27.4</v>
      </c>
      <c r="R252" t="str">
        <f>IF(B252&lt;&gt;"Sensor Snapshot","",IF(O252="","Missing",IF(O252=-1,"Sensor failure sentinel (-1)",IF(OR(O252&lt;'02_Parameters'!$B$18,O252&gt;'02_Parameters'!$B$19),"Out of accepted range","Valid"))))</f>
        <v>Valid</v>
      </c>
      <c r="S252" s="16">
        <v>81</v>
      </c>
      <c r="T252" s="16">
        <f>IF(AND(ISNUMBER(S252),S252&lt;&gt;-1,S252&gt;='02_Parameters'!$B$20,S252&lt;='02_Parameters'!$B$21),S252,"")</f>
        <v>81</v>
      </c>
      <c r="U252" s="16">
        <v>81</v>
      </c>
      <c r="V252" t="str">
        <f>IF(B252&lt;&gt;"Sensor Snapshot","",IF(S252="","Missing",IF(S252=-1,"Sensor failure sentinel (-1)",IF(OR(S252&lt;'02_Parameters'!$B$20,S252&gt;'02_Parameters'!$B$21),"Out of accepted range","Valid"))))</f>
        <v>Valid</v>
      </c>
      <c r="W252" s="16">
        <v>-2.4</v>
      </c>
      <c r="X252" s="16">
        <f t="shared" si="44"/>
        <v>2.4</v>
      </c>
      <c r="Y252" t="str">
        <f t="shared" si="45"/>
        <v>Sign corrected to positive</v>
      </c>
      <c r="Z252" s="16"/>
      <c r="AA252">
        <v>1</v>
      </c>
      <c r="AB252">
        <f>IF(B252&lt;&gt;"Sensor Snapshot","",IF(ISNUMBER(AA252),--(AA252&lt;&gt;0),IF(ISNUMBER(Z252),--(Z252&lt;'02_Parameters'!$B$15),"")))</f>
        <v>1</v>
      </c>
      <c r="AC252">
        <f>IF(B252&lt;&gt;"Sensor Snapshot","",IF(ISNUMBER(X252),--(X252&gt;='02_Parameters'!$B$16),""))</f>
        <v>0</v>
      </c>
      <c r="AD252">
        <v>0</v>
      </c>
      <c r="AE252">
        <f t="shared" si="46"/>
        <v>0</v>
      </c>
      <c r="AF252" s="3" t="str">
        <f t="shared" si="47"/>
        <v>Partial detection only</v>
      </c>
      <c r="AG252" s="16">
        <v>0</v>
      </c>
      <c r="AH252" s="16">
        <f>IF(B252&lt;&gt;"Sensor Snapshot","",IF(ISNUMBER(AG252),IF(AG252&lt;0,"",IF(AG252&gt;10,AG252/'02_Parameters'!$B$17,AG252)),""))</f>
        <v>0</v>
      </c>
      <c r="AI252" t="str">
        <f t="shared" si="48"/>
        <v>Valid</v>
      </c>
      <c r="AJ252">
        <f t="shared" si="49"/>
        <v>0</v>
      </c>
      <c r="AK252">
        <f t="shared" si="50"/>
        <v>0</v>
      </c>
      <c r="AM252">
        <f t="shared" si="51"/>
        <v>0</v>
      </c>
      <c r="AN252">
        <f>IF(B252&lt;&gt;"Sensor Snapshot","",--(N252&gt;='02_Parameters'!$B$13))</f>
        <v>0</v>
      </c>
      <c r="AO252">
        <f>IF(B252&lt;&gt;"Sensor Snapshot","",--(AND(L252="PUMPING",ISNUMBER(AH252),AH252&lt;='02_Parameters'!$B$10)))</f>
        <v>0</v>
      </c>
      <c r="AP252" s="16"/>
      <c r="AQ252" s="16" t="str">
        <f t="shared" si="52"/>
        <v/>
      </c>
      <c r="AR252" s="16" t="str">
        <f t="shared" si="53"/>
        <v/>
      </c>
      <c r="AU252" t="s">
        <v>236</v>
      </c>
      <c r="AV252" t="s">
        <v>237</v>
      </c>
      <c r="AW252" s="3" t="s">
        <v>238</v>
      </c>
      <c r="AX252" s="3">
        <f t="shared" si="54"/>
        <v>100</v>
      </c>
      <c r="AY252" s="3" t="str">
        <f t="shared" si="55"/>
        <v>A</v>
      </c>
      <c r="AZ252" s="3" t="s">
        <v>386</v>
      </c>
      <c r="BA252" s="3"/>
    </row>
    <row r="253" spans="1:53" ht="27.6">
      <c r="A253" t="s">
        <v>553</v>
      </c>
      <c r="B253" t="s">
        <v>231</v>
      </c>
      <c r="C253" s="14">
        <v>785600</v>
      </c>
      <c r="D253" s="15">
        <f t="shared" si="42"/>
        <v>785.6</v>
      </c>
      <c r="E253" t="s">
        <v>232</v>
      </c>
      <c r="G253" t="s">
        <v>234</v>
      </c>
      <c r="H253" t="s">
        <v>235</v>
      </c>
      <c r="I253" s="3"/>
      <c r="J253" s="3"/>
      <c r="L253" t="s">
        <v>385</v>
      </c>
      <c r="M253">
        <f t="shared" si="43"/>
        <v>0</v>
      </c>
      <c r="N253">
        <v>0</v>
      </c>
      <c r="O253" s="16">
        <v>27.4</v>
      </c>
      <c r="P253" s="16">
        <f>IF(AND(ISNUMBER(O253),O253&lt;&gt;-1,O253&gt;='02_Parameters'!$B$18,O253&lt;='02_Parameters'!$B$19),O253,"")</f>
        <v>27.4</v>
      </c>
      <c r="Q253" s="16">
        <v>27.4</v>
      </c>
      <c r="R253" t="str">
        <f>IF(B253&lt;&gt;"Sensor Snapshot","",IF(O253="","Missing",IF(O253=-1,"Sensor failure sentinel (-1)",IF(OR(O253&lt;'02_Parameters'!$B$18,O253&gt;'02_Parameters'!$B$19),"Out of accepted range","Valid"))))</f>
        <v>Valid</v>
      </c>
      <c r="S253" s="16">
        <v>81</v>
      </c>
      <c r="T253" s="16">
        <f>IF(AND(ISNUMBER(S253),S253&lt;&gt;-1,S253&gt;='02_Parameters'!$B$20,S253&lt;='02_Parameters'!$B$21),S253,"")</f>
        <v>81</v>
      </c>
      <c r="U253" s="16">
        <v>81</v>
      </c>
      <c r="V253" t="str">
        <f>IF(B253&lt;&gt;"Sensor Snapshot","",IF(S253="","Missing",IF(S253=-1,"Sensor failure sentinel (-1)",IF(OR(S253&lt;'02_Parameters'!$B$20,S253&gt;'02_Parameters'!$B$21),"Out of accepted range","Valid"))))</f>
        <v>Valid</v>
      </c>
      <c r="W253" s="16">
        <v>-2.4</v>
      </c>
      <c r="X253" s="16">
        <f t="shared" si="44"/>
        <v>2.4</v>
      </c>
      <c r="Y253" t="str">
        <f t="shared" si="45"/>
        <v>Sign corrected to positive</v>
      </c>
      <c r="Z253" s="16"/>
      <c r="AA253">
        <v>1</v>
      </c>
      <c r="AB253">
        <f>IF(B253&lt;&gt;"Sensor Snapshot","",IF(ISNUMBER(AA253),--(AA253&lt;&gt;0),IF(ISNUMBER(Z253),--(Z253&lt;'02_Parameters'!$B$15),"")))</f>
        <v>1</v>
      </c>
      <c r="AC253">
        <f>IF(B253&lt;&gt;"Sensor Snapshot","",IF(ISNUMBER(X253),--(X253&gt;='02_Parameters'!$B$16),""))</f>
        <v>0</v>
      </c>
      <c r="AD253">
        <v>0</v>
      </c>
      <c r="AE253">
        <f t="shared" si="46"/>
        <v>0</v>
      </c>
      <c r="AF253" s="3" t="str">
        <f t="shared" si="47"/>
        <v>Partial detection only</v>
      </c>
      <c r="AG253" s="16">
        <v>0</v>
      </c>
      <c r="AH253" s="16">
        <f>IF(B253&lt;&gt;"Sensor Snapshot","",IF(ISNUMBER(AG253),IF(AG253&lt;0,"",IF(AG253&gt;10,AG253/'02_Parameters'!$B$17,AG253)),""))</f>
        <v>0</v>
      </c>
      <c r="AI253" t="str">
        <f t="shared" si="48"/>
        <v>Valid</v>
      </c>
      <c r="AJ253">
        <f t="shared" si="49"/>
        <v>0</v>
      </c>
      <c r="AK253">
        <f t="shared" si="50"/>
        <v>0</v>
      </c>
      <c r="AM253">
        <f t="shared" si="51"/>
        <v>0</v>
      </c>
      <c r="AN253">
        <f>IF(B253&lt;&gt;"Sensor Snapshot","",--(N253&gt;='02_Parameters'!$B$13))</f>
        <v>0</v>
      </c>
      <c r="AO253">
        <f>IF(B253&lt;&gt;"Sensor Snapshot","",--(AND(L253="PUMPING",ISNUMBER(AH253),AH253&lt;='02_Parameters'!$B$10)))</f>
        <v>0</v>
      </c>
      <c r="AP253" s="16"/>
      <c r="AQ253" s="16" t="str">
        <f t="shared" si="52"/>
        <v/>
      </c>
      <c r="AR253" s="16" t="str">
        <f t="shared" si="53"/>
        <v/>
      </c>
      <c r="AU253" t="s">
        <v>236</v>
      </c>
      <c r="AV253" t="s">
        <v>237</v>
      </c>
      <c r="AW253" s="3" t="s">
        <v>238</v>
      </c>
      <c r="AX253" s="3">
        <f t="shared" si="54"/>
        <v>100</v>
      </c>
      <c r="AY253" s="3" t="str">
        <f t="shared" si="55"/>
        <v>A</v>
      </c>
      <c r="AZ253" s="3" t="s">
        <v>386</v>
      </c>
      <c r="BA253" s="3"/>
    </row>
    <row r="254" spans="1:53" ht="27.6">
      <c r="A254" t="s">
        <v>554</v>
      </c>
      <c r="B254" t="s">
        <v>231</v>
      </c>
      <c r="C254" s="14">
        <v>790617</v>
      </c>
      <c r="D254" s="15">
        <f t="shared" si="42"/>
        <v>790.61699999999996</v>
      </c>
      <c r="E254" t="s">
        <v>232</v>
      </c>
      <c r="G254" t="s">
        <v>234</v>
      </c>
      <c r="H254" t="s">
        <v>235</v>
      </c>
      <c r="I254" s="3"/>
      <c r="J254" s="3"/>
      <c r="L254" t="s">
        <v>385</v>
      </c>
      <c r="M254">
        <f t="shared" si="43"/>
        <v>0</v>
      </c>
      <c r="N254">
        <v>0</v>
      </c>
      <c r="O254" s="16">
        <v>27.4</v>
      </c>
      <c r="P254" s="16">
        <f>IF(AND(ISNUMBER(O254),O254&lt;&gt;-1,O254&gt;='02_Parameters'!$B$18,O254&lt;='02_Parameters'!$B$19),O254,"")</f>
        <v>27.4</v>
      </c>
      <c r="Q254" s="16">
        <v>27.4</v>
      </c>
      <c r="R254" t="str">
        <f>IF(B254&lt;&gt;"Sensor Snapshot","",IF(O254="","Missing",IF(O254=-1,"Sensor failure sentinel (-1)",IF(OR(O254&lt;'02_Parameters'!$B$18,O254&gt;'02_Parameters'!$B$19),"Out of accepted range","Valid"))))</f>
        <v>Valid</v>
      </c>
      <c r="S254" s="16">
        <v>81</v>
      </c>
      <c r="T254" s="16">
        <f>IF(AND(ISNUMBER(S254),S254&lt;&gt;-1,S254&gt;='02_Parameters'!$B$20,S254&lt;='02_Parameters'!$B$21),S254,"")</f>
        <v>81</v>
      </c>
      <c r="U254" s="16">
        <v>81</v>
      </c>
      <c r="V254" t="str">
        <f>IF(B254&lt;&gt;"Sensor Snapshot","",IF(S254="","Missing",IF(S254=-1,"Sensor failure sentinel (-1)",IF(OR(S254&lt;'02_Parameters'!$B$20,S254&gt;'02_Parameters'!$B$21),"Out of accepted range","Valid"))))</f>
        <v>Valid</v>
      </c>
      <c r="W254" s="16">
        <v>-2.2999999999999998</v>
      </c>
      <c r="X254" s="16">
        <f t="shared" si="44"/>
        <v>2.2999999999999998</v>
      </c>
      <c r="Y254" t="str">
        <f t="shared" si="45"/>
        <v>Sign corrected to positive</v>
      </c>
      <c r="Z254" s="16"/>
      <c r="AA254">
        <v>1</v>
      </c>
      <c r="AB254">
        <f>IF(B254&lt;&gt;"Sensor Snapshot","",IF(ISNUMBER(AA254),--(AA254&lt;&gt;0),IF(ISNUMBER(Z254),--(Z254&lt;'02_Parameters'!$B$15),"")))</f>
        <v>1</v>
      </c>
      <c r="AC254">
        <f>IF(B254&lt;&gt;"Sensor Snapshot","",IF(ISNUMBER(X254),--(X254&gt;='02_Parameters'!$B$16),""))</f>
        <v>0</v>
      </c>
      <c r="AD254">
        <v>0</v>
      </c>
      <c r="AE254">
        <f t="shared" si="46"/>
        <v>0</v>
      </c>
      <c r="AF254" s="3" t="str">
        <f t="shared" si="47"/>
        <v>Partial detection only</v>
      </c>
      <c r="AG254" s="16">
        <v>0</v>
      </c>
      <c r="AH254" s="16">
        <f>IF(B254&lt;&gt;"Sensor Snapshot","",IF(ISNUMBER(AG254),IF(AG254&lt;0,"",IF(AG254&gt;10,AG254/'02_Parameters'!$B$17,AG254)),""))</f>
        <v>0</v>
      </c>
      <c r="AI254" t="str">
        <f t="shared" si="48"/>
        <v>Valid</v>
      </c>
      <c r="AJ254">
        <f t="shared" si="49"/>
        <v>0</v>
      </c>
      <c r="AK254">
        <f t="shared" si="50"/>
        <v>0</v>
      </c>
      <c r="AM254">
        <f t="shared" si="51"/>
        <v>0</v>
      </c>
      <c r="AN254">
        <f>IF(B254&lt;&gt;"Sensor Snapshot","",--(N254&gt;='02_Parameters'!$B$13))</f>
        <v>0</v>
      </c>
      <c r="AO254">
        <f>IF(B254&lt;&gt;"Sensor Snapshot","",--(AND(L254="PUMPING",ISNUMBER(AH254),AH254&lt;='02_Parameters'!$B$10)))</f>
        <v>0</v>
      </c>
      <c r="AP254" s="16"/>
      <c r="AQ254" s="16" t="str">
        <f t="shared" si="52"/>
        <v/>
      </c>
      <c r="AR254" s="16" t="str">
        <f t="shared" si="53"/>
        <v/>
      </c>
      <c r="AU254" t="s">
        <v>236</v>
      </c>
      <c r="AV254" t="s">
        <v>237</v>
      </c>
      <c r="AW254" s="3" t="s">
        <v>238</v>
      </c>
      <c r="AX254" s="3">
        <f t="shared" si="54"/>
        <v>100</v>
      </c>
      <c r="AY254" s="3" t="str">
        <f t="shared" si="55"/>
        <v>A</v>
      </c>
      <c r="AZ254" s="3" t="s">
        <v>386</v>
      </c>
      <c r="BA254" s="3"/>
    </row>
    <row r="255" spans="1:53" ht="27.6">
      <c r="A255" t="s">
        <v>555</v>
      </c>
      <c r="B255" t="s">
        <v>231</v>
      </c>
      <c r="C255" s="14">
        <v>795635</v>
      </c>
      <c r="D255" s="15">
        <f t="shared" si="42"/>
        <v>795.63499999999999</v>
      </c>
      <c r="E255" t="s">
        <v>232</v>
      </c>
      <c r="G255" t="s">
        <v>234</v>
      </c>
      <c r="H255" t="s">
        <v>235</v>
      </c>
      <c r="I255" s="3"/>
      <c r="J255" s="3"/>
      <c r="L255" t="s">
        <v>385</v>
      </c>
      <c r="M255">
        <f t="shared" si="43"/>
        <v>0</v>
      </c>
      <c r="N255">
        <v>0</v>
      </c>
      <c r="O255" s="16">
        <v>27.4</v>
      </c>
      <c r="P255" s="16">
        <f>IF(AND(ISNUMBER(O255),O255&lt;&gt;-1,O255&gt;='02_Parameters'!$B$18,O255&lt;='02_Parameters'!$B$19),O255,"")</f>
        <v>27.4</v>
      </c>
      <c r="Q255" s="16">
        <v>27.4</v>
      </c>
      <c r="R255" t="str">
        <f>IF(B255&lt;&gt;"Sensor Snapshot","",IF(O255="","Missing",IF(O255=-1,"Sensor failure sentinel (-1)",IF(OR(O255&lt;'02_Parameters'!$B$18,O255&gt;'02_Parameters'!$B$19),"Out of accepted range","Valid"))))</f>
        <v>Valid</v>
      </c>
      <c r="S255" s="16">
        <v>81.099999999999994</v>
      </c>
      <c r="T255" s="16">
        <f>IF(AND(ISNUMBER(S255),S255&lt;&gt;-1,S255&gt;='02_Parameters'!$B$20,S255&lt;='02_Parameters'!$B$21),S255,"")</f>
        <v>81.099999999999994</v>
      </c>
      <c r="U255" s="16">
        <v>81.099999999999994</v>
      </c>
      <c r="V255" t="str">
        <f>IF(B255&lt;&gt;"Sensor Snapshot","",IF(S255="","Missing",IF(S255=-1,"Sensor failure sentinel (-1)",IF(OR(S255&lt;'02_Parameters'!$B$20,S255&gt;'02_Parameters'!$B$21),"Out of accepted range","Valid"))))</f>
        <v>Valid</v>
      </c>
      <c r="W255" s="16">
        <v>-2.2999999999999998</v>
      </c>
      <c r="X255" s="16">
        <f t="shared" si="44"/>
        <v>2.2999999999999998</v>
      </c>
      <c r="Y255" t="str">
        <f t="shared" si="45"/>
        <v>Sign corrected to positive</v>
      </c>
      <c r="Z255" s="16"/>
      <c r="AA255">
        <v>1</v>
      </c>
      <c r="AB255">
        <f>IF(B255&lt;&gt;"Sensor Snapshot","",IF(ISNUMBER(AA255),--(AA255&lt;&gt;0),IF(ISNUMBER(Z255),--(Z255&lt;'02_Parameters'!$B$15),"")))</f>
        <v>1</v>
      </c>
      <c r="AC255">
        <f>IF(B255&lt;&gt;"Sensor Snapshot","",IF(ISNUMBER(X255),--(X255&gt;='02_Parameters'!$B$16),""))</f>
        <v>0</v>
      </c>
      <c r="AD255">
        <v>0</v>
      </c>
      <c r="AE255">
        <f t="shared" si="46"/>
        <v>0</v>
      </c>
      <c r="AF255" s="3" t="str">
        <f t="shared" si="47"/>
        <v>Partial detection only</v>
      </c>
      <c r="AG255" s="16">
        <v>0</v>
      </c>
      <c r="AH255" s="16">
        <f>IF(B255&lt;&gt;"Sensor Snapshot","",IF(ISNUMBER(AG255),IF(AG255&lt;0,"",IF(AG255&gt;10,AG255/'02_Parameters'!$B$17,AG255)),""))</f>
        <v>0</v>
      </c>
      <c r="AI255" t="str">
        <f t="shared" si="48"/>
        <v>Valid</v>
      </c>
      <c r="AJ255">
        <f t="shared" si="49"/>
        <v>0</v>
      </c>
      <c r="AK255">
        <f t="shared" si="50"/>
        <v>0</v>
      </c>
      <c r="AM255">
        <f t="shared" si="51"/>
        <v>0</v>
      </c>
      <c r="AN255">
        <f>IF(B255&lt;&gt;"Sensor Snapshot","",--(N255&gt;='02_Parameters'!$B$13))</f>
        <v>0</v>
      </c>
      <c r="AO255">
        <f>IF(B255&lt;&gt;"Sensor Snapshot","",--(AND(L255="PUMPING",ISNUMBER(AH255),AH255&lt;='02_Parameters'!$B$10)))</f>
        <v>0</v>
      </c>
      <c r="AP255" s="16"/>
      <c r="AQ255" s="16" t="str">
        <f t="shared" si="52"/>
        <v/>
      </c>
      <c r="AR255" s="16" t="str">
        <f t="shared" si="53"/>
        <v/>
      </c>
      <c r="AU255" t="s">
        <v>236</v>
      </c>
      <c r="AV255" t="s">
        <v>237</v>
      </c>
      <c r="AW255" s="3" t="s">
        <v>238</v>
      </c>
      <c r="AX255" s="3">
        <f t="shared" si="54"/>
        <v>100</v>
      </c>
      <c r="AY255" s="3" t="str">
        <f t="shared" si="55"/>
        <v>A</v>
      </c>
      <c r="AZ255" s="3" t="s">
        <v>386</v>
      </c>
      <c r="BA255" s="3"/>
    </row>
    <row r="256" spans="1:53" ht="27.6">
      <c r="A256" t="s">
        <v>556</v>
      </c>
      <c r="B256" t="s">
        <v>231</v>
      </c>
      <c r="C256" s="14">
        <v>800652</v>
      </c>
      <c r="D256" s="15">
        <f t="shared" si="42"/>
        <v>800.65200000000004</v>
      </c>
      <c r="E256" t="s">
        <v>232</v>
      </c>
      <c r="G256" t="s">
        <v>234</v>
      </c>
      <c r="H256" t="s">
        <v>235</v>
      </c>
      <c r="I256" s="3"/>
      <c r="J256" s="3"/>
      <c r="L256" t="s">
        <v>385</v>
      </c>
      <c r="M256">
        <f t="shared" si="43"/>
        <v>0</v>
      </c>
      <c r="N256">
        <v>0</v>
      </c>
      <c r="O256" s="16">
        <v>27.4</v>
      </c>
      <c r="P256" s="16">
        <f>IF(AND(ISNUMBER(O256),O256&lt;&gt;-1,O256&gt;='02_Parameters'!$B$18,O256&lt;='02_Parameters'!$B$19),O256,"")</f>
        <v>27.4</v>
      </c>
      <c r="Q256" s="16">
        <v>27.4</v>
      </c>
      <c r="R256" t="str">
        <f>IF(B256&lt;&gt;"Sensor Snapshot","",IF(O256="","Missing",IF(O256=-1,"Sensor failure sentinel (-1)",IF(OR(O256&lt;'02_Parameters'!$B$18,O256&gt;'02_Parameters'!$B$19),"Out of accepted range","Valid"))))</f>
        <v>Valid</v>
      </c>
      <c r="S256" s="16">
        <v>81.099999999999994</v>
      </c>
      <c r="T256" s="16">
        <f>IF(AND(ISNUMBER(S256),S256&lt;&gt;-1,S256&gt;='02_Parameters'!$B$20,S256&lt;='02_Parameters'!$B$21),S256,"")</f>
        <v>81.099999999999994</v>
      </c>
      <c r="U256" s="16">
        <v>81.099999999999994</v>
      </c>
      <c r="V256" t="str">
        <f>IF(B256&lt;&gt;"Sensor Snapshot","",IF(S256="","Missing",IF(S256=-1,"Sensor failure sentinel (-1)",IF(OR(S256&lt;'02_Parameters'!$B$20,S256&gt;'02_Parameters'!$B$21),"Out of accepted range","Valid"))))</f>
        <v>Valid</v>
      </c>
      <c r="W256" s="16">
        <v>-2.2999999999999998</v>
      </c>
      <c r="X256" s="16">
        <f t="shared" si="44"/>
        <v>2.2999999999999998</v>
      </c>
      <c r="Y256" t="str">
        <f t="shared" si="45"/>
        <v>Sign corrected to positive</v>
      </c>
      <c r="Z256" s="16"/>
      <c r="AA256">
        <v>1</v>
      </c>
      <c r="AB256">
        <f>IF(B256&lt;&gt;"Sensor Snapshot","",IF(ISNUMBER(AA256),--(AA256&lt;&gt;0),IF(ISNUMBER(Z256),--(Z256&lt;'02_Parameters'!$B$15),"")))</f>
        <v>1</v>
      </c>
      <c r="AC256">
        <f>IF(B256&lt;&gt;"Sensor Snapshot","",IF(ISNUMBER(X256),--(X256&gt;='02_Parameters'!$B$16),""))</f>
        <v>0</v>
      </c>
      <c r="AD256">
        <v>0</v>
      </c>
      <c r="AE256">
        <f t="shared" si="46"/>
        <v>0</v>
      </c>
      <c r="AF256" s="3" t="str">
        <f t="shared" si="47"/>
        <v>Partial detection only</v>
      </c>
      <c r="AG256" s="16">
        <v>0</v>
      </c>
      <c r="AH256" s="16">
        <f>IF(B256&lt;&gt;"Sensor Snapshot","",IF(ISNUMBER(AG256),IF(AG256&lt;0,"",IF(AG256&gt;10,AG256/'02_Parameters'!$B$17,AG256)),""))</f>
        <v>0</v>
      </c>
      <c r="AI256" t="str">
        <f t="shared" si="48"/>
        <v>Valid</v>
      </c>
      <c r="AJ256">
        <f t="shared" si="49"/>
        <v>0</v>
      </c>
      <c r="AK256">
        <f t="shared" si="50"/>
        <v>0</v>
      </c>
      <c r="AM256">
        <f t="shared" si="51"/>
        <v>0</v>
      </c>
      <c r="AN256">
        <f>IF(B256&lt;&gt;"Sensor Snapshot","",--(N256&gt;='02_Parameters'!$B$13))</f>
        <v>0</v>
      </c>
      <c r="AO256">
        <f>IF(B256&lt;&gt;"Sensor Snapshot","",--(AND(L256="PUMPING",ISNUMBER(AH256),AH256&lt;='02_Parameters'!$B$10)))</f>
        <v>0</v>
      </c>
      <c r="AP256" s="16"/>
      <c r="AQ256" s="16" t="str">
        <f t="shared" si="52"/>
        <v/>
      </c>
      <c r="AR256" s="16" t="str">
        <f t="shared" si="53"/>
        <v/>
      </c>
      <c r="AU256" t="s">
        <v>236</v>
      </c>
      <c r="AV256" t="s">
        <v>237</v>
      </c>
      <c r="AW256" s="3" t="s">
        <v>238</v>
      </c>
      <c r="AX256" s="3">
        <f t="shared" si="54"/>
        <v>100</v>
      </c>
      <c r="AY256" s="3" t="str">
        <f t="shared" si="55"/>
        <v>A</v>
      </c>
      <c r="AZ256" s="3" t="s">
        <v>386</v>
      </c>
      <c r="BA256" s="3"/>
    </row>
    <row r="257" spans="1:53" ht="27.6">
      <c r="A257" t="s">
        <v>557</v>
      </c>
      <c r="B257" t="s">
        <v>231</v>
      </c>
      <c r="C257" s="14">
        <v>805668</v>
      </c>
      <c r="D257" s="15">
        <f t="shared" si="42"/>
        <v>805.66800000000001</v>
      </c>
      <c r="E257" t="s">
        <v>232</v>
      </c>
      <c r="G257" t="s">
        <v>234</v>
      </c>
      <c r="H257" t="s">
        <v>235</v>
      </c>
      <c r="I257" s="3"/>
      <c r="J257" s="3"/>
      <c r="L257" t="s">
        <v>385</v>
      </c>
      <c r="M257">
        <f t="shared" si="43"/>
        <v>0</v>
      </c>
      <c r="N257">
        <v>0</v>
      </c>
      <c r="O257" s="16">
        <v>27.4</v>
      </c>
      <c r="P257" s="16">
        <f>IF(AND(ISNUMBER(O257),O257&lt;&gt;-1,O257&gt;='02_Parameters'!$B$18,O257&lt;='02_Parameters'!$B$19),O257,"")</f>
        <v>27.4</v>
      </c>
      <c r="Q257" s="16">
        <v>27.4</v>
      </c>
      <c r="R257" t="str">
        <f>IF(B257&lt;&gt;"Sensor Snapshot","",IF(O257="","Missing",IF(O257=-1,"Sensor failure sentinel (-1)",IF(OR(O257&lt;'02_Parameters'!$B$18,O257&gt;'02_Parameters'!$B$19),"Out of accepted range","Valid"))))</f>
        <v>Valid</v>
      </c>
      <c r="S257" s="16">
        <v>81</v>
      </c>
      <c r="T257" s="16">
        <f>IF(AND(ISNUMBER(S257),S257&lt;&gt;-1,S257&gt;='02_Parameters'!$B$20,S257&lt;='02_Parameters'!$B$21),S257,"")</f>
        <v>81</v>
      </c>
      <c r="U257" s="16">
        <v>81</v>
      </c>
      <c r="V257" t="str">
        <f>IF(B257&lt;&gt;"Sensor Snapshot","",IF(S257="","Missing",IF(S257=-1,"Sensor failure sentinel (-1)",IF(OR(S257&lt;'02_Parameters'!$B$20,S257&gt;'02_Parameters'!$B$21),"Out of accepted range","Valid"))))</f>
        <v>Valid</v>
      </c>
      <c r="W257" s="16">
        <v>-2.2999999999999998</v>
      </c>
      <c r="X257" s="16">
        <f t="shared" si="44"/>
        <v>2.2999999999999998</v>
      </c>
      <c r="Y257" t="str">
        <f t="shared" si="45"/>
        <v>Sign corrected to positive</v>
      </c>
      <c r="Z257" s="16"/>
      <c r="AA257">
        <v>1</v>
      </c>
      <c r="AB257">
        <f>IF(B257&lt;&gt;"Sensor Snapshot","",IF(ISNUMBER(AA257),--(AA257&lt;&gt;0),IF(ISNUMBER(Z257),--(Z257&lt;'02_Parameters'!$B$15),"")))</f>
        <v>1</v>
      </c>
      <c r="AC257">
        <f>IF(B257&lt;&gt;"Sensor Snapshot","",IF(ISNUMBER(X257),--(X257&gt;='02_Parameters'!$B$16),""))</f>
        <v>0</v>
      </c>
      <c r="AD257">
        <v>0</v>
      </c>
      <c r="AE257">
        <f t="shared" si="46"/>
        <v>0</v>
      </c>
      <c r="AF257" s="3" t="str">
        <f t="shared" si="47"/>
        <v>Partial detection only</v>
      </c>
      <c r="AG257" s="16">
        <v>0</v>
      </c>
      <c r="AH257" s="16">
        <f>IF(B257&lt;&gt;"Sensor Snapshot","",IF(ISNUMBER(AG257),IF(AG257&lt;0,"",IF(AG257&gt;10,AG257/'02_Parameters'!$B$17,AG257)),""))</f>
        <v>0</v>
      </c>
      <c r="AI257" t="str">
        <f t="shared" si="48"/>
        <v>Valid</v>
      </c>
      <c r="AJ257">
        <f t="shared" si="49"/>
        <v>0</v>
      </c>
      <c r="AK257">
        <f t="shared" si="50"/>
        <v>0</v>
      </c>
      <c r="AM257">
        <f t="shared" si="51"/>
        <v>0</v>
      </c>
      <c r="AN257">
        <f>IF(B257&lt;&gt;"Sensor Snapshot","",--(N257&gt;='02_Parameters'!$B$13))</f>
        <v>0</v>
      </c>
      <c r="AO257">
        <f>IF(B257&lt;&gt;"Sensor Snapshot","",--(AND(L257="PUMPING",ISNUMBER(AH257),AH257&lt;='02_Parameters'!$B$10)))</f>
        <v>0</v>
      </c>
      <c r="AP257" s="16"/>
      <c r="AQ257" s="16" t="str">
        <f t="shared" si="52"/>
        <v/>
      </c>
      <c r="AR257" s="16" t="str">
        <f t="shared" si="53"/>
        <v/>
      </c>
      <c r="AU257" t="s">
        <v>236</v>
      </c>
      <c r="AV257" t="s">
        <v>237</v>
      </c>
      <c r="AW257" s="3" t="s">
        <v>238</v>
      </c>
      <c r="AX257" s="3">
        <f t="shared" si="54"/>
        <v>100</v>
      </c>
      <c r="AY257" s="3" t="str">
        <f t="shared" si="55"/>
        <v>A</v>
      </c>
      <c r="AZ257" s="3" t="s">
        <v>386</v>
      </c>
      <c r="BA257" s="3"/>
    </row>
    <row r="258" spans="1:53" ht="27.6">
      <c r="A258" t="s">
        <v>558</v>
      </c>
      <c r="B258" t="s">
        <v>231</v>
      </c>
      <c r="C258" s="14">
        <v>810687</v>
      </c>
      <c r="D258" s="15">
        <f t="shared" si="42"/>
        <v>810.68700000000001</v>
      </c>
      <c r="E258" t="s">
        <v>232</v>
      </c>
      <c r="G258" t="s">
        <v>234</v>
      </c>
      <c r="H258" t="s">
        <v>235</v>
      </c>
      <c r="I258" s="3"/>
      <c r="J258" s="3"/>
      <c r="L258" t="s">
        <v>385</v>
      </c>
      <c r="M258">
        <f t="shared" si="43"/>
        <v>0</v>
      </c>
      <c r="N258">
        <v>0</v>
      </c>
      <c r="O258" s="16">
        <v>27.4</v>
      </c>
      <c r="P258" s="16">
        <f>IF(AND(ISNUMBER(O258),O258&lt;&gt;-1,O258&gt;='02_Parameters'!$B$18,O258&lt;='02_Parameters'!$B$19),O258,"")</f>
        <v>27.4</v>
      </c>
      <c r="Q258" s="16">
        <v>27.4</v>
      </c>
      <c r="R258" t="str">
        <f>IF(B258&lt;&gt;"Sensor Snapshot","",IF(O258="","Missing",IF(O258=-1,"Sensor failure sentinel (-1)",IF(OR(O258&lt;'02_Parameters'!$B$18,O258&gt;'02_Parameters'!$B$19),"Out of accepted range","Valid"))))</f>
        <v>Valid</v>
      </c>
      <c r="S258" s="16">
        <v>81</v>
      </c>
      <c r="T258" s="16">
        <f>IF(AND(ISNUMBER(S258),S258&lt;&gt;-1,S258&gt;='02_Parameters'!$B$20,S258&lt;='02_Parameters'!$B$21),S258,"")</f>
        <v>81</v>
      </c>
      <c r="U258" s="16">
        <v>81</v>
      </c>
      <c r="V258" t="str">
        <f>IF(B258&lt;&gt;"Sensor Snapshot","",IF(S258="","Missing",IF(S258=-1,"Sensor failure sentinel (-1)",IF(OR(S258&lt;'02_Parameters'!$B$20,S258&gt;'02_Parameters'!$B$21),"Out of accepted range","Valid"))))</f>
        <v>Valid</v>
      </c>
      <c r="W258" s="16">
        <v>-2.2999999999999998</v>
      </c>
      <c r="X258" s="16">
        <f t="shared" si="44"/>
        <v>2.2999999999999998</v>
      </c>
      <c r="Y258" t="str">
        <f t="shared" si="45"/>
        <v>Sign corrected to positive</v>
      </c>
      <c r="Z258" s="16"/>
      <c r="AA258">
        <v>1</v>
      </c>
      <c r="AB258">
        <f>IF(B258&lt;&gt;"Sensor Snapshot","",IF(ISNUMBER(AA258),--(AA258&lt;&gt;0),IF(ISNUMBER(Z258),--(Z258&lt;'02_Parameters'!$B$15),"")))</f>
        <v>1</v>
      </c>
      <c r="AC258">
        <f>IF(B258&lt;&gt;"Sensor Snapshot","",IF(ISNUMBER(X258),--(X258&gt;='02_Parameters'!$B$16),""))</f>
        <v>0</v>
      </c>
      <c r="AD258">
        <v>0</v>
      </c>
      <c r="AE258">
        <f t="shared" si="46"/>
        <v>0</v>
      </c>
      <c r="AF258" s="3" t="str">
        <f t="shared" si="47"/>
        <v>Partial detection only</v>
      </c>
      <c r="AG258" s="16">
        <v>0</v>
      </c>
      <c r="AH258" s="16">
        <f>IF(B258&lt;&gt;"Sensor Snapshot","",IF(ISNUMBER(AG258),IF(AG258&lt;0,"",IF(AG258&gt;10,AG258/'02_Parameters'!$B$17,AG258)),""))</f>
        <v>0</v>
      </c>
      <c r="AI258" t="str">
        <f t="shared" si="48"/>
        <v>Valid</v>
      </c>
      <c r="AJ258">
        <f t="shared" si="49"/>
        <v>0</v>
      </c>
      <c r="AK258">
        <f t="shared" si="50"/>
        <v>0</v>
      </c>
      <c r="AM258">
        <f t="shared" si="51"/>
        <v>0</v>
      </c>
      <c r="AN258">
        <f>IF(B258&lt;&gt;"Sensor Snapshot","",--(N258&gt;='02_Parameters'!$B$13))</f>
        <v>0</v>
      </c>
      <c r="AO258">
        <f>IF(B258&lt;&gt;"Sensor Snapshot","",--(AND(L258="PUMPING",ISNUMBER(AH258),AH258&lt;='02_Parameters'!$B$10)))</f>
        <v>0</v>
      </c>
      <c r="AP258" s="16"/>
      <c r="AQ258" s="16" t="str">
        <f t="shared" si="52"/>
        <v/>
      </c>
      <c r="AR258" s="16" t="str">
        <f t="shared" si="53"/>
        <v/>
      </c>
      <c r="AU258" t="s">
        <v>236</v>
      </c>
      <c r="AV258" t="s">
        <v>237</v>
      </c>
      <c r="AW258" s="3" t="s">
        <v>238</v>
      </c>
      <c r="AX258" s="3">
        <f t="shared" si="54"/>
        <v>100</v>
      </c>
      <c r="AY258" s="3" t="str">
        <f t="shared" si="55"/>
        <v>A</v>
      </c>
      <c r="AZ258" s="3" t="s">
        <v>386</v>
      </c>
      <c r="BA258" s="3"/>
    </row>
    <row r="259" spans="1:53" ht="27.6">
      <c r="A259" t="s">
        <v>559</v>
      </c>
      <c r="B259" t="s">
        <v>231</v>
      </c>
      <c r="C259" s="14">
        <v>815704</v>
      </c>
      <c r="D259" s="15">
        <f t="shared" ref="D259:D322" si="56">IF(ISNUMBER(C259),C259/1000,"")</f>
        <v>815.70399999999995</v>
      </c>
      <c r="E259" t="s">
        <v>232</v>
      </c>
      <c r="G259" t="s">
        <v>234</v>
      </c>
      <c r="H259" t="s">
        <v>235</v>
      </c>
      <c r="I259" s="3"/>
      <c r="J259" s="3"/>
      <c r="L259" t="s">
        <v>385</v>
      </c>
      <c r="M259">
        <f t="shared" ref="M259:M322" si="57">IF(L259="IDLE",0,IF(L259="FIRE_DETECTED",1,IF(L259="PUMPING",2,IF(L259="BLOCKED",3,IF(L259="HUMIDIFYING",4,IF(L259="STABLE",5,""))))))</f>
        <v>0</v>
      </c>
      <c r="N259">
        <v>0</v>
      </c>
      <c r="O259" s="16">
        <v>27.5</v>
      </c>
      <c r="P259" s="16">
        <f>IF(AND(ISNUMBER(O259),O259&lt;&gt;-1,O259&gt;='02_Parameters'!$B$18,O259&lt;='02_Parameters'!$B$19),O259,"")</f>
        <v>27.5</v>
      </c>
      <c r="Q259" s="16">
        <v>27.5</v>
      </c>
      <c r="R259" t="str">
        <f>IF(B259&lt;&gt;"Sensor Snapshot","",IF(O259="","Missing",IF(O259=-1,"Sensor failure sentinel (-1)",IF(OR(O259&lt;'02_Parameters'!$B$18,O259&gt;'02_Parameters'!$B$19),"Out of accepted range","Valid"))))</f>
        <v>Valid</v>
      </c>
      <c r="S259" s="16">
        <v>81.900000000000006</v>
      </c>
      <c r="T259" s="16">
        <f>IF(AND(ISNUMBER(S259),S259&lt;&gt;-1,S259&gt;='02_Parameters'!$B$20,S259&lt;='02_Parameters'!$B$21),S259,"")</f>
        <v>81.900000000000006</v>
      </c>
      <c r="U259" s="16">
        <v>81.900000000000006</v>
      </c>
      <c r="V259" t="str">
        <f>IF(B259&lt;&gt;"Sensor Snapshot","",IF(S259="","Missing",IF(S259=-1,"Sensor failure sentinel (-1)",IF(OR(S259&lt;'02_Parameters'!$B$20,S259&gt;'02_Parameters'!$B$21),"Out of accepted range","Valid"))))</f>
        <v>Valid</v>
      </c>
      <c r="W259" s="16">
        <v>-2.2999999999999998</v>
      </c>
      <c r="X259" s="16">
        <f t="shared" ref="X259:X322" si="58">IF(ISNUMBER(W259),ABS(W259),"")</f>
        <v>2.2999999999999998</v>
      </c>
      <c r="Y259" t="str">
        <f t="shared" ref="Y259:Y322" si="59">IF(B259="Calibration Trial","Calibration magnitude",IF(B259&lt;&gt;"Sensor Snapshot","",IF(W259="","Missing",IF(W259&lt;0,"Sign corrected to positive","Valid"))))</f>
        <v>Sign corrected to positive</v>
      </c>
      <c r="Z259" s="16"/>
      <c r="AA259">
        <v>1</v>
      </c>
      <c r="AB259">
        <f>IF(B259&lt;&gt;"Sensor Snapshot","",IF(ISNUMBER(AA259),--(AA259&lt;&gt;0),IF(ISNUMBER(Z259),--(Z259&lt;'02_Parameters'!$B$15),"")))</f>
        <v>1</v>
      </c>
      <c r="AC259">
        <f>IF(B259&lt;&gt;"Sensor Snapshot","",IF(ISNUMBER(X259),--(X259&gt;='02_Parameters'!$B$16),""))</f>
        <v>0</v>
      </c>
      <c r="AD259">
        <v>0</v>
      </c>
      <c r="AE259">
        <f t="shared" ref="AE259:AE322" si="60">IF(B259&lt;&gt;"Sensor Snapshot","",IF(AD259=1,1,IF(AND(AB259=1,AC259=1),1,0)))</f>
        <v>0</v>
      </c>
      <c r="AF259" s="3" t="str">
        <f t="shared" ref="AF259:AF322" si="61">IF(B259&lt;&gt;"Sensor Snapshot","",IF(AD259=1,"Logged dual-sensor event",IF(AE259=1,"Derived: optical AND weight",IF(OR(AB259=1,AC259=1),"Partial detection only","No detection"))))</f>
        <v>Partial detection only</v>
      </c>
      <c r="AG259" s="16">
        <v>0</v>
      </c>
      <c r="AH259" s="16">
        <f>IF(B259&lt;&gt;"Sensor Snapshot","",IF(ISNUMBER(AG259),IF(AG259&lt;0,"",IF(AG259&gt;10,AG259/'02_Parameters'!$B$17,AG259)),""))</f>
        <v>0</v>
      </c>
      <c r="AI259" t="str">
        <f t="shared" ref="AI259:AI322" si="62">IF(B259&lt;&gt;"Sensor Snapshot","",IF(AG259="","Missing",IF(AG259&lt;0,"Invalid negative flow",IF(AG259&gt;10,"Normalized from high-scale log","Valid"))))</f>
        <v>Valid</v>
      </c>
      <c r="AJ259">
        <f t="shared" ref="AJ259:AJ322" si="63">IF(B259&lt;&gt;"Sensor Snapshot","",--(L259="PUMPING"))</f>
        <v>0</v>
      </c>
      <c r="AK259">
        <f t="shared" ref="AK259:AK322" si="64">IF(B259&lt;&gt;"Sensor Snapshot","",--(L259="HUMIDIFYING"))</f>
        <v>0</v>
      </c>
      <c r="AM259">
        <f t="shared" ref="AM259:AM322" si="65">IF(B259&lt;&gt;"Sensor Snapshot","",--(OR(L259="FIRE_DETECTED",L259="BLOCKED")))</f>
        <v>0</v>
      </c>
      <c r="AN259">
        <f>IF(B259&lt;&gt;"Sensor Snapshot","",--(N259&gt;='02_Parameters'!$B$13))</f>
        <v>0</v>
      </c>
      <c r="AO259">
        <f>IF(B259&lt;&gt;"Sensor Snapshot","",--(AND(L259="PUMPING",ISNUMBER(AH259),AH259&lt;='02_Parameters'!$B$10)))</f>
        <v>0</v>
      </c>
      <c r="AP259" s="16"/>
      <c r="AQ259" s="16" t="str">
        <f t="shared" ref="AQ259:AQ322" si="66">IF(B259="Calibration Trial",X259-AP259,"")</f>
        <v/>
      </c>
      <c r="AR259" s="16" t="str">
        <f t="shared" ref="AR259:AR322" si="67">IF(AND(B259="Calibration Trial",AP259&lt;&gt;0),AQ259/AP259*100,"")</f>
        <v/>
      </c>
      <c r="AU259" t="s">
        <v>236</v>
      </c>
      <c r="AV259" t="s">
        <v>237</v>
      </c>
      <c r="AW259" s="3" t="s">
        <v>238</v>
      </c>
      <c r="AX259" s="3">
        <f t="shared" ref="AX259:AX322" si="68">IF(B259&lt;&gt;"Sensor Snapshot","",IF(P259&lt;&gt;"",20,0)+IF(T259&lt;&gt;"",20,0)+IF(X259&lt;&gt;"",20,0)+IF(AB259&lt;&gt;"",20,0)+IF(AH259&lt;&gt;"",20,0))</f>
        <v>100</v>
      </c>
      <c r="AY259" s="3" t="str">
        <f t="shared" ref="AY259:AY322" si="69">IF(AX259="","",IF(AX259&gt;=90,"A",IF(AX259&gt;=75,"B",IF(AX259&gt;=60,"C","D"))))</f>
        <v>A</v>
      </c>
      <c r="AZ259" s="3" t="s">
        <v>386</v>
      </c>
      <c r="BA259" s="3"/>
    </row>
    <row r="260" spans="1:53" ht="27.6">
      <c r="A260" t="s">
        <v>560</v>
      </c>
      <c r="B260" t="s">
        <v>231</v>
      </c>
      <c r="C260" s="14">
        <v>820720</v>
      </c>
      <c r="D260" s="15">
        <f t="shared" si="56"/>
        <v>820.72</v>
      </c>
      <c r="E260" t="s">
        <v>232</v>
      </c>
      <c r="G260" t="s">
        <v>234</v>
      </c>
      <c r="H260" t="s">
        <v>235</v>
      </c>
      <c r="I260" s="3"/>
      <c r="J260" s="3"/>
      <c r="K260">
        <v>1</v>
      </c>
      <c r="L260" t="s">
        <v>385</v>
      </c>
      <c r="M260">
        <f t="shared" si="57"/>
        <v>0</v>
      </c>
      <c r="N260">
        <v>0</v>
      </c>
      <c r="O260" s="16">
        <v>27.7</v>
      </c>
      <c r="P260" s="16">
        <f>IF(AND(ISNUMBER(O260),O260&lt;&gt;-1,O260&gt;='02_Parameters'!$B$18,O260&lt;='02_Parameters'!$B$19),O260,"")</f>
        <v>27.7</v>
      </c>
      <c r="Q260" s="16">
        <v>27.7</v>
      </c>
      <c r="R260" t="str">
        <f>IF(B260&lt;&gt;"Sensor Snapshot","",IF(O260="","Missing",IF(O260=-1,"Sensor failure sentinel (-1)",IF(OR(O260&lt;'02_Parameters'!$B$18,O260&gt;'02_Parameters'!$B$19),"Out of accepted range","Valid"))))</f>
        <v>Valid</v>
      </c>
      <c r="S260" s="16">
        <v>83</v>
      </c>
      <c r="T260" s="16">
        <f>IF(AND(ISNUMBER(S260),S260&lt;&gt;-1,S260&gt;='02_Parameters'!$B$20,S260&lt;='02_Parameters'!$B$21),S260,"")</f>
        <v>83</v>
      </c>
      <c r="U260" s="16">
        <v>83</v>
      </c>
      <c r="V260" t="str">
        <f>IF(B260&lt;&gt;"Sensor Snapshot","",IF(S260="","Missing",IF(S260=-1,"Sensor failure sentinel (-1)",IF(OR(S260&lt;'02_Parameters'!$B$20,S260&gt;'02_Parameters'!$B$21),"Out of accepted range","Valid"))))</f>
        <v>Valid</v>
      </c>
      <c r="W260" s="16">
        <v>-2.4</v>
      </c>
      <c r="X260" s="16">
        <f t="shared" si="58"/>
        <v>2.4</v>
      </c>
      <c r="Y260" t="str">
        <f t="shared" si="59"/>
        <v>Sign corrected to positive</v>
      </c>
      <c r="Z260" s="16"/>
      <c r="AA260">
        <v>1</v>
      </c>
      <c r="AB260">
        <f>IF(B260&lt;&gt;"Sensor Snapshot","",IF(ISNUMBER(AA260),--(AA260&lt;&gt;0),IF(ISNUMBER(Z260),--(Z260&lt;'02_Parameters'!$B$15),"")))</f>
        <v>1</v>
      </c>
      <c r="AC260">
        <f>IF(B260&lt;&gt;"Sensor Snapshot","",IF(ISNUMBER(X260),--(X260&gt;='02_Parameters'!$B$16),""))</f>
        <v>0</v>
      </c>
      <c r="AD260">
        <v>0</v>
      </c>
      <c r="AE260">
        <f t="shared" si="60"/>
        <v>0</v>
      </c>
      <c r="AF260" s="3" t="str">
        <f t="shared" si="61"/>
        <v>Partial detection only</v>
      </c>
      <c r="AG260" s="16">
        <v>0</v>
      </c>
      <c r="AH260" s="16">
        <f>IF(B260&lt;&gt;"Sensor Snapshot","",IF(ISNUMBER(AG260),IF(AG260&lt;0,"",IF(AG260&gt;10,AG260/'02_Parameters'!$B$17,AG260)),""))</f>
        <v>0</v>
      </c>
      <c r="AI260" t="str">
        <f t="shared" si="62"/>
        <v>Valid</v>
      </c>
      <c r="AJ260">
        <f t="shared" si="63"/>
        <v>0</v>
      </c>
      <c r="AK260">
        <f t="shared" si="64"/>
        <v>0</v>
      </c>
      <c r="AL260">
        <v>1</v>
      </c>
      <c r="AM260">
        <f t="shared" si="65"/>
        <v>0</v>
      </c>
      <c r="AN260">
        <f>IF(B260&lt;&gt;"Sensor Snapshot","",--(N260&gt;='02_Parameters'!$B$13))</f>
        <v>0</v>
      </c>
      <c r="AO260">
        <f>IF(B260&lt;&gt;"Sensor Snapshot","",--(AND(L260="PUMPING",ISNUMBER(AH260),AH260&lt;='02_Parameters'!$B$10)))</f>
        <v>0</v>
      </c>
      <c r="AP260" s="16"/>
      <c r="AQ260" s="16" t="str">
        <f t="shared" si="66"/>
        <v/>
      </c>
      <c r="AR260" s="16" t="str">
        <f t="shared" si="67"/>
        <v/>
      </c>
      <c r="AU260" t="s">
        <v>236</v>
      </c>
      <c r="AV260" t="s">
        <v>237</v>
      </c>
      <c r="AW260" s="3" t="s">
        <v>238</v>
      </c>
      <c r="AX260" s="3">
        <f t="shared" si="68"/>
        <v>100</v>
      </c>
      <c r="AY260" s="3" t="str">
        <f t="shared" si="69"/>
        <v>A</v>
      </c>
      <c r="AZ260" s="3" t="s">
        <v>386</v>
      </c>
      <c r="BA260" s="3" t="s">
        <v>561</v>
      </c>
    </row>
    <row r="261" spans="1:53" ht="27.6">
      <c r="A261" t="s">
        <v>562</v>
      </c>
      <c r="B261" t="s">
        <v>242</v>
      </c>
      <c r="C261" s="14">
        <v>820720</v>
      </c>
      <c r="D261" s="15">
        <f t="shared" si="56"/>
        <v>820.72</v>
      </c>
      <c r="E261" t="s">
        <v>232</v>
      </c>
      <c r="G261" t="s">
        <v>157</v>
      </c>
      <c r="H261" t="s">
        <v>374</v>
      </c>
      <c r="I261" s="3" t="s">
        <v>244</v>
      </c>
      <c r="J261" s="3" t="s">
        <v>563</v>
      </c>
      <c r="L261" t="s">
        <v>385</v>
      </c>
      <c r="M261">
        <f t="shared" si="57"/>
        <v>0</v>
      </c>
      <c r="O261" s="16"/>
      <c r="P261" s="16" t="str">
        <f>IF(AND(ISNUMBER(O261),O261&lt;&gt;-1,O261&gt;='02_Parameters'!$B$18,O261&lt;='02_Parameters'!$B$19),O261,"")</f>
        <v/>
      </c>
      <c r="Q261" s="16"/>
      <c r="R261" t="str">
        <f>IF(B261&lt;&gt;"Sensor Snapshot","",IF(O261="","Missing",IF(O261=-1,"Sensor failure sentinel (-1)",IF(OR(O261&lt;'02_Parameters'!$B$18,O261&gt;'02_Parameters'!$B$19),"Out of accepted range","Valid"))))</f>
        <v/>
      </c>
      <c r="S261" s="16"/>
      <c r="T261" s="16" t="str">
        <f>IF(AND(ISNUMBER(S261),S261&lt;&gt;-1,S261&gt;='02_Parameters'!$B$20,S261&lt;='02_Parameters'!$B$21),S261,"")</f>
        <v/>
      </c>
      <c r="U261" s="16"/>
      <c r="V261" t="str">
        <f>IF(B261&lt;&gt;"Sensor Snapshot","",IF(S261="","Missing",IF(S261=-1,"Sensor failure sentinel (-1)",IF(OR(S261&lt;'02_Parameters'!$B$20,S261&gt;'02_Parameters'!$B$21),"Out of accepted range","Valid"))))</f>
        <v/>
      </c>
      <c r="W261" s="16"/>
      <c r="X261" s="16" t="str">
        <f t="shared" si="58"/>
        <v/>
      </c>
      <c r="Y261" t="str">
        <f t="shared" si="59"/>
        <v/>
      </c>
      <c r="Z261" s="16"/>
      <c r="AB261" t="str">
        <f>IF(B261&lt;&gt;"Sensor Snapshot","",IF(ISNUMBER(AA261),--(AA261&lt;&gt;0),IF(ISNUMBER(Z261),--(Z261&lt;'02_Parameters'!$B$15),"")))</f>
        <v/>
      </c>
      <c r="AC261" t="str">
        <f>IF(B261&lt;&gt;"Sensor Snapshot","",IF(ISNUMBER(X261),--(X261&gt;='02_Parameters'!$B$16),""))</f>
        <v/>
      </c>
      <c r="AD261">
        <v>0</v>
      </c>
      <c r="AE261" t="str">
        <f t="shared" si="60"/>
        <v/>
      </c>
      <c r="AF261" s="3" t="str">
        <f t="shared" si="61"/>
        <v/>
      </c>
      <c r="AG261" s="16"/>
      <c r="AH261" s="16" t="str">
        <f>IF(B261&lt;&gt;"Sensor Snapshot","",IF(ISNUMBER(AG261),IF(AG261&lt;0,"",IF(AG261&gt;10,AG261/'02_Parameters'!$B$17,AG261)),""))</f>
        <v/>
      </c>
      <c r="AI261" t="str">
        <f t="shared" si="62"/>
        <v/>
      </c>
      <c r="AJ261" t="str">
        <f t="shared" si="63"/>
        <v/>
      </c>
      <c r="AK261" t="str">
        <f t="shared" si="64"/>
        <v/>
      </c>
      <c r="AL261">
        <v>1</v>
      </c>
      <c r="AM261" t="str">
        <f t="shared" si="65"/>
        <v/>
      </c>
      <c r="AN261" t="str">
        <f>IF(B261&lt;&gt;"Sensor Snapshot","",--(N261&gt;='02_Parameters'!$B$13))</f>
        <v/>
      </c>
      <c r="AO261" t="str">
        <f>IF(B261&lt;&gt;"Sensor Snapshot","",--(AND(L261="PUMPING",ISNUMBER(AH261),AH261&lt;='02_Parameters'!$B$10)))</f>
        <v/>
      </c>
      <c r="AP261" s="16"/>
      <c r="AQ261" s="16" t="str">
        <f t="shared" si="66"/>
        <v/>
      </c>
      <c r="AR261" s="16" t="str">
        <f t="shared" si="67"/>
        <v/>
      </c>
      <c r="AW261" s="3" t="s">
        <v>377</v>
      </c>
      <c r="AX261" s="3" t="str">
        <f t="shared" si="68"/>
        <v/>
      </c>
      <c r="AY261" s="3" t="str">
        <f t="shared" si="69"/>
        <v/>
      </c>
      <c r="AZ261" s="3" t="s">
        <v>247</v>
      </c>
      <c r="BA261" s="3"/>
    </row>
    <row r="262" spans="1:53" ht="27.6">
      <c r="A262" t="s">
        <v>564</v>
      </c>
      <c r="B262" t="s">
        <v>242</v>
      </c>
      <c r="C262" s="14">
        <v>820720</v>
      </c>
      <c r="D262" s="15">
        <f t="shared" si="56"/>
        <v>820.72</v>
      </c>
      <c r="E262" t="s">
        <v>232</v>
      </c>
      <c r="G262" t="s">
        <v>157</v>
      </c>
      <c r="H262" t="s">
        <v>374</v>
      </c>
      <c r="I262" s="3" t="s">
        <v>305</v>
      </c>
      <c r="J262" s="3" t="s">
        <v>565</v>
      </c>
      <c r="K262">
        <v>1</v>
      </c>
      <c r="L262" t="s">
        <v>385</v>
      </c>
      <c r="M262">
        <f t="shared" si="57"/>
        <v>0</v>
      </c>
      <c r="O262" s="16"/>
      <c r="P262" s="16" t="str">
        <f>IF(AND(ISNUMBER(O262),O262&lt;&gt;-1,O262&gt;='02_Parameters'!$B$18,O262&lt;='02_Parameters'!$B$19),O262,"")</f>
        <v/>
      </c>
      <c r="Q262" s="16"/>
      <c r="R262" t="str">
        <f>IF(B262&lt;&gt;"Sensor Snapshot","",IF(O262="","Missing",IF(O262=-1,"Sensor failure sentinel (-1)",IF(OR(O262&lt;'02_Parameters'!$B$18,O262&gt;'02_Parameters'!$B$19),"Out of accepted range","Valid"))))</f>
        <v/>
      </c>
      <c r="S262" s="16"/>
      <c r="T262" s="16" t="str">
        <f>IF(AND(ISNUMBER(S262),S262&lt;&gt;-1,S262&gt;='02_Parameters'!$B$20,S262&lt;='02_Parameters'!$B$21),S262,"")</f>
        <v/>
      </c>
      <c r="U262" s="16"/>
      <c r="V262" t="str">
        <f>IF(B262&lt;&gt;"Sensor Snapshot","",IF(S262="","Missing",IF(S262=-1,"Sensor failure sentinel (-1)",IF(OR(S262&lt;'02_Parameters'!$B$20,S262&gt;'02_Parameters'!$B$21),"Out of accepted range","Valid"))))</f>
        <v/>
      </c>
      <c r="W262" s="16"/>
      <c r="X262" s="16" t="str">
        <f t="shared" si="58"/>
        <v/>
      </c>
      <c r="Y262" t="str">
        <f t="shared" si="59"/>
        <v/>
      </c>
      <c r="Z262" s="16"/>
      <c r="AB262" t="str">
        <f>IF(B262&lt;&gt;"Sensor Snapshot","",IF(ISNUMBER(AA262),--(AA262&lt;&gt;0),IF(ISNUMBER(Z262),--(Z262&lt;'02_Parameters'!$B$15),"")))</f>
        <v/>
      </c>
      <c r="AC262" t="str">
        <f>IF(B262&lt;&gt;"Sensor Snapshot","",IF(ISNUMBER(X262),--(X262&gt;='02_Parameters'!$B$16),""))</f>
        <v/>
      </c>
      <c r="AD262">
        <v>0</v>
      </c>
      <c r="AE262" t="str">
        <f t="shared" si="60"/>
        <v/>
      </c>
      <c r="AF262" s="3" t="str">
        <f t="shared" si="61"/>
        <v/>
      </c>
      <c r="AG262" s="16"/>
      <c r="AH262" s="16" t="str">
        <f>IF(B262&lt;&gt;"Sensor Snapshot","",IF(ISNUMBER(AG262),IF(AG262&lt;0,"",IF(AG262&gt;10,AG262/'02_Parameters'!$B$17,AG262)),""))</f>
        <v/>
      </c>
      <c r="AI262" t="str">
        <f t="shared" si="62"/>
        <v/>
      </c>
      <c r="AJ262" t="str">
        <f t="shared" si="63"/>
        <v/>
      </c>
      <c r="AK262" t="str">
        <f t="shared" si="64"/>
        <v/>
      </c>
      <c r="AM262" t="str">
        <f t="shared" si="65"/>
        <v/>
      </c>
      <c r="AN262" t="str">
        <f>IF(B262&lt;&gt;"Sensor Snapshot","",--(N262&gt;='02_Parameters'!$B$13))</f>
        <v/>
      </c>
      <c r="AO262" t="str">
        <f>IF(B262&lt;&gt;"Sensor Snapshot","",--(AND(L262="PUMPING",ISNUMBER(AH262),AH262&lt;='02_Parameters'!$B$10)))</f>
        <v/>
      </c>
      <c r="AP262" s="16"/>
      <c r="AQ262" s="16" t="str">
        <f t="shared" si="66"/>
        <v/>
      </c>
      <c r="AR262" s="16" t="str">
        <f t="shared" si="67"/>
        <v/>
      </c>
      <c r="AW262" s="3" t="s">
        <v>377</v>
      </c>
      <c r="AX262" s="3" t="str">
        <f t="shared" si="68"/>
        <v/>
      </c>
      <c r="AY262" s="3" t="str">
        <f t="shared" si="69"/>
        <v/>
      </c>
      <c r="AZ262" s="3" t="s">
        <v>247</v>
      </c>
      <c r="BA262" s="3"/>
    </row>
    <row r="263" spans="1:53" ht="27.6">
      <c r="A263" t="s">
        <v>566</v>
      </c>
      <c r="B263" t="s">
        <v>231</v>
      </c>
      <c r="C263" s="14">
        <v>825795</v>
      </c>
      <c r="D263" s="15">
        <f t="shared" si="56"/>
        <v>825.79499999999996</v>
      </c>
      <c r="E263" t="s">
        <v>232</v>
      </c>
      <c r="G263" t="s">
        <v>234</v>
      </c>
      <c r="H263" t="s">
        <v>235</v>
      </c>
      <c r="I263" s="3"/>
      <c r="J263" s="3"/>
      <c r="K263">
        <v>1</v>
      </c>
      <c r="L263" t="s">
        <v>567</v>
      </c>
      <c r="M263">
        <f t="shared" si="57"/>
        <v>1</v>
      </c>
      <c r="N263">
        <v>0</v>
      </c>
      <c r="O263" s="16">
        <v>28.1</v>
      </c>
      <c r="P263" s="16">
        <f>IF(AND(ISNUMBER(O263),O263&lt;&gt;-1,O263&gt;='02_Parameters'!$B$18,O263&lt;='02_Parameters'!$B$19),O263,"")</f>
        <v>28.1</v>
      </c>
      <c r="Q263" s="16">
        <v>28.1</v>
      </c>
      <c r="R263" t="str">
        <f>IF(B263&lt;&gt;"Sensor Snapshot","",IF(O263="","Missing",IF(O263=-1,"Sensor failure sentinel (-1)",IF(OR(O263&lt;'02_Parameters'!$B$18,O263&gt;'02_Parameters'!$B$19),"Out of accepted range","Valid"))))</f>
        <v>Valid</v>
      </c>
      <c r="S263" s="16">
        <v>84.3</v>
      </c>
      <c r="T263" s="16">
        <f>IF(AND(ISNUMBER(S263),S263&lt;&gt;-1,S263&gt;='02_Parameters'!$B$20,S263&lt;='02_Parameters'!$B$21),S263,"")</f>
        <v>84.3</v>
      </c>
      <c r="U263" s="16">
        <v>84.3</v>
      </c>
      <c r="V263" t="str">
        <f>IF(B263&lt;&gt;"Sensor Snapshot","",IF(S263="","Missing",IF(S263=-1,"Sensor failure sentinel (-1)",IF(OR(S263&lt;'02_Parameters'!$B$20,S263&gt;'02_Parameters'!$B$21),"Out of accepted range","Valid"))))</f>
        <v>Valid</v>
      </c>
      <c r="W263" s="16">
        <v>-2.5</v>
      </c>
      <c r="X263" s="16">
        <f t="shared" si="58"/>
        <v>2.5</v>
      </c>
      <c r="Y263" t="str">
        <f t="shared" si="59"/>
        <v>Sign corrected to positive</v>
      </c>
      <c r="Z263" s="16"/>
      <c r="AA263">
        <v>1</v>
      </c>
      <c r="AB263">
        <f>IF(B263&lt;&gt;"Sensor Snapshot","",IF(ISNUMBER(AA263),--(AA263&lt;&gt;0),IF(ISNUMBER(Z263),--(Z263&lt;'02_Parameters'!$B$15),"")))</f>
        <v>1</v>
      </c>
      <c r="AC263">
        <f>IF(B263&lt;&gt;"Sensor Snapshot","",IF(ISNUMBER(X263),--(X263&gt;='02_Parameters'!$B$16),""))</f>
        <v>0</v>
      </c>
      <c r="AD263">
        <v>0</v>
      </c>
      <c r="AE263">
        <f t="shared" si="60"/>
        <v>0</v>
      </c>
      <c r="AF263" s="3" t="str">
        <f t="shared" si="61"/>
        <v>Partial detection only</v>
      </c>
      <c r="AG263" s="16">
        <v>0</v>
      </c>
      <c r="AH263" s="16">
        <f>IF(B263&lt;&gt;"Sensor Snapshot","",IF(ISNUMBER(AG263),IF(AG263&lt;0,"",IF(AG263&gt;10,AG263/'02_Parameters'!$B$17,AG263)),""))</f>
        <v>0</v>
      </c>
      <c r="AI263" t="str">
        <f t="shared" si="62"/>
        <v>Valid</v>
      </c>
      <c r="AJ263">
        <f t="shared" si="63"/>
        <v>0</v>
      </c>
      <c r="AK263">
        <f t="shared" si="64"/>
        <v>0</v>
      </c>
      <c r="AL263">
        <v>0</v>
      </c>
      <c r="AM263">
        <f t="shared" si="65"/>
        <v>1</v>
      </c>
      <c r="AN263">
        <f>IF(B263&lt;&gt;"Sensor Snapshot","",--(N263&gt;='02_Parameters'!$B$13))</f>
        <v>0</v>
      </c>
      <c r="AO263">
        <f>IF(B263&lt;&gt;"Sensor Snapshot","",--(AND(L263="PUMPING",ISNUMBER(AH263),AH263&lt;='02_Parameters'!$B$10)))</f>
        <v>0</v>
      </c>
      <c r="AP263" s="16"/>
      <c r="AQ263" s="16" t="str">
        <f t="shared" si="66"/>
        <v/>
      </c>
      <c r="AR263" s="16" t="str">
        <f t="shared" si="67"/>
        <v/>
      </c>
      <c r="AU263" t="s">
        <v>236</v>
      </c>
      <c r="AV263" t="s">
        <v>237</v>
      </c>
      <c r="AW263" s="3" t="s">
        <v>238</v>
      </c>
      <c r="AX263" s="3">
        <f t="shared" si="68"/>
        <v>100</v>
      </c>
      <c r="AY263" s="3" t="str">
        <f t="shared" si="69"/>
        <v>A</v>
      </c>
      <c r="AZ263" s="3" t="s">
        <v>386</v>
      </c>
      <c r="BA263" s="3"/>
    </row>
    <row r="264" spans="1:53" ht="27.6">
      <c r="A264" t="s">
        <v>568</v>
      </c>
      <c r="B264" t="s">
        <v>242</v>
      </c>
      <c r="C264" s="14">
        <v>825795</v>
      </c>
      <c r="D264" s="15">
        <f t="shared" si="56"/>
        <v>825.79499999999996</v>
      </c>
      <c r="E264" t="s">
        <v>232</v>
      </c>
      <c r="G264" t="s">
        <v>157</v>
      </c>
      <c r="H264" t="s">
        <v>374</v>
      </c>
      <c r="I264" s="3" t="s">
        <v>259</v>
      </c>
      <c r="J264" s="3" t="s">
        <v>569</v>
      </c>
      <c r="K264">
        <v>1</v>
      </c>
      <c r="L264" t="s">
        <v>567</v>
      </c>
      <c r="M264">
        <f t="shared" si="57"/>
        <v>1</v>
      </c>
      <c r="O264" s="16"/>
      <c r="P264" s="16" t="str">
        <f>IF(AND(ISNUMBER(O264),O264&lt;&gt;-1,O264&gt;='02_Parameters'!$B$18,O264&lt;='02_Parameters'!$B$19),O264,"")</f>
        <v/>
      </c>
      <c r="Q264" s="16"/>
      <c r="R264" t="str">
        <f>IF(B264&lt;&gt;"Sensor Snapshot","",IF(O264="","Missing",IF(O264=-1,"Sensor failure sentinel (-1)",IF(OR(O264&lt;'02_Parameters'!$B$18,O264&gt;'02_Parameters'!$B$19),"Out of accepted range","Valid"))))</f>
        <v/>
      </c>
      <c r="S264" s="16"/>
      <c r="T264" s="16" t="str">
        <f>IF(AND(ISNUMBER(S264),S264&lt;&gt;-1,S264&gt;='02_Parameters'!$B$20,S264&lt;='02_Parameters'!$B$21),S264,"")</f>
        <v/>
      </c>
      <c r="U264" s="16"/>
      <c r="V264" t="str">
        <f>IF(B264&lt;&gt;"Sensor Snapshot","",IF(S264="","Missing",IF(S264=-1,"Sensor failure sentinel (-1)",IF(OR(S264&lt;'02_Parameters'!$B$20,S264&gt;'02_Parameters'!$B$21),"Out of accepted range","Valid"))))</f>
        <v/>
      </c>
      <c r="W264" s="16"/>
      <c r="X264" s="16" t="str">
        <f t="shared" si="58"/>
        <v/>
      </c>
      <c r="Y264" t="str">
        <f t="shared" si="59"/>
        <v/>
      </c>
      <c r="Z264" s="16"/>
      <c r="AB264" t="str">
        <f>IF(B264&lt;&gt;"Sensor Snapshot","",IF(ISNUMBER(AA264),--(AA264&lt;&gt;0),IF(ISNUMBER(Z264),--(Z264&lt;'02_Parameters'!$B$15),"")))</f>
        <v/>
      </c>
      <c r="AC264" t="str">
        <f>IF(B264&lt;&gt;"Sensor Snapshot","",IF(ISNUMBER(X264),--(X264&gt;='02_Parameters'!$B$16),""))</f>
        <v/>
      </c>
      <c r="AD264">
        <v>0</v>
      </c>
      <c r="AE264" t="str">
        <f t="shared" si="60"/>
        <v/>
      </c>
      <c r="AF264" s="3" t="str">
        <f t="shared" si="61"/>
        <v/>
      </c>
      <c r="AG264" s="16"/>
      <c r="AH264" s="16" t="str">
        <f>IF(B264&lt;&gt;"Sensor Snapshot","",IF(ISNUMBER(AG264),IF(AG264&lt;0,"",IF(AG264&gt;10,AG264/'02_Parameters'!$B$17,AG264)),""))</f>
        <v/>
      </c>
      <c r="AI264" t="str">
        <f t="shared" si="62"/>
        <v/>
      </c>
      <c r="AJ264" t="str">
        <f t="shared" si="63"/>
        <v/>
      </c>
      <c r="AK264" t="str">
        <f t="shared" si="64"/>
        <v/>
      </c>
      <c r="AL264">
        <v>0</v>
      </c>
      <c r="AM264" t="str">
        <f t="shared" si="65"/>
        <v/>
      </c>
      <c r="AN264" t="str">
        <f>IF(B264&lt;&gt;"Sensor Snapshot","",--(N264&gt;='02_Parameters'!$B$13))</f>
        <v/>
      </c>
      <c r="AO264" t="str">
        <f>IF(B264&lt;&gt;"Sensor Snapshot","",--(AND(L264="PUMPING",ISNUMBER(AH264),AH264&lt;='02_Parameters'!$B$10)))</f>
        <v/>
      </c>
      <c r="AP264" s="16"/>
      <c r="AQ264" s="16" t="str">
        <f t="shared" si="66"/>
        <v/>
      </c>
      <c r="AR264" s="16" t="str">
        <f t="shared" si="67"/>
        <v/>
      </c>
      <c r="AW264" s="3" t="s">
        <v>377</v>
      </c>
      <c r="AX264" s="3" t="str">
        <f t="shared" si="68"/>
        <v/>
      </c>
      <c r="AY264" s="3" t="str">
        <f t="shared" si="69"/>
        <v/>
      </c>
      <c r="AZ264" s="3" t="s">
        <v>247</v>
      </c>
      <c r="BA264" s="3"/>
    </row>
    <row r="265" spans="1:53" ht="27.6">
      <c r="A265" t="s">
        <v>570</v>
      </c>
      <c r="B265" t="s">
        <v>231</v>
      </c>
      <c r="C265" s="14">
        <v>830752</v>
      </c>
      <c r="D265" s="15">
        <f t="shared" si="56"/>
        <v>830.75199999999995</v>
      </c>
      <c r="E265" t="s">
        <v>232</v>
      </c>
      <c r="G265" t="s">
        <v>234</v>
      </c>
      <c r="H265" t="s">
        <v>235</v>
      </c>
      <c r="I265" s="3"/>
      <c r="J265" s="3"/>
      <c r="K265">
        <v>1</v>
      </c>
      <c r="L265" t="s">
        <v>571</v>
      </c>
      <c r="M265">
        <f t="shared" si="57"/>
        <v>2</v>
      </c>
      <c r="N265">
        <v>0</v>
      </c>
      <c r="O265" s="16">
        <v>28.6</v>
      </c>
      <c r="P265" s="16">
        <f>IF(AND(ISNUMBER(O265),O265&lt;&gt;-1,O265&gt;='02_Parameters'!$B$18,O265&lt;='02_Parameters'!$B$19),O265,"")</f>
        <v>28.6</v>
      </c>
      <c r="Q265" s="16">
        <v>28.6</v>
      </c>
      <c r="R265" t="str">
        <f>IF(B265&lt;&gt;"Sensor Snapshot","",IF(O265="","Missing",IF(O265=-1,"Sensor failure sentinel (-1)",IF(OR(O265&lt;'02_Parameters'!$B$18,O265&gt;'02_Parameters'!$B$19),"Out of accepted range","Valid"))))</f>
        <v>Valid</v>
      </c>
      <c r="S265" s="16">
        <v>83.8</v>
      </c>
      <c r="T265" s="16">
        <f>IF(AND(ISNUMBER(S265),S265&lt;&gt;-1,S265&gt;='02_Parameters'!$B$20,S265&lt;='02_Parameters'!$B$21),S265,"")</f>
        <v>83.8</v>
      </c>
      <c r="U265" s="16">
        <v>83.8</v>
      </c>
      <c r="V265" t="str">
        <f>IF(B265&lt;&gt;"Sensor Snapshot","",IF(S265="","Missing",IF(S265=-1,"Sensor failure sentinel (-1)",IF(OR(S265&lt;'02_Parameters'!$B$20,S265&gt;'02_Parameters'!$B$21),"Out of accepted range","Valid"))))</f>
        <v>Valid</v>
      </c>
      <c r="W265" s="16">
        <v>-1.9</v>
      </c>
      <c r="X265" s="16">
        <f t="shared" si="58"/>
        <v>1.9</v>
      </c>
      <c r="Y265" t="str">
        <f t="shared" si="59"/>
        <v>Sign corrected to positive</v>
      </c>
      <c r="Z265" s="16"/>
      <c r="AA265">
        <v>1</v>
      </c>
      <c r="AB265">
        <f>IF(B265&lt;&gt;"Sensor Snapshot","",IF(ISNUMBER(AA265),--(AA265&lt;&gt;0),IF(ISNUMBER(Z265),--(Z265&lt;'02_Parameters'!$B$15),"")))</f>
        <v>1</v>
      </c>
      <c r="AC265">
        <f>IF(B265&lt;&gt;"Sensor Snapshot","",IF(ISNUMBER(X265),--(X265&gt;='02_Parameters'!$B$16),""))</f>
        <v>0</v>
      </c>
      <c r="AD265">
        <v>0</v>
      </c>
      <c r="AE265">
        <f t="shared" si="60"/>
        <v>0</v>
      </c>
      <c r="AF265" s="3" t="str">
        <f t="shared" si="61"/>
        <v>Partial detection only</v>
      </c>
      <c r="AG265" s="16">
        <v>0</v>
      </c>
      <c r="AH265" s="16">
        <f>IF(B265&lt;&gt;"Sensor Snapshot","",IF(ISNUMBER(AG265),IF(AG265&lt;0,"",IF(AG265&gt;10,AG265/'02_Parameters'!$B$17,AG265)),""))</f>
        <v>0</v>
      </c>
      <c r="AI265" t="str">
        <f t="shared" si="62"/>
        <v>Valid</v>
      </c>
      <c r="AJ265">
        <f t="shared" si="63"/>
        <v>1</v>
      </c>
      <c r="AK265">
        <f t="shared" si="64"/>
        <v>0</v>
      </c>
      <c r="AL265">
        <v>0</v>
      </c>
      <c r="AM265">
        <f t="shared" si="65"/>
        <v>0</v>
      </c>
      <c r="AN265">
        <f>IF(B265&lt;&gt;"Sensor Snapshot","",--(N265&gt;='02_Parameters'!$B$13))</f>
        <v>0</v>
      </c>
      <c r="AO265">
        <f>IF(B265&lt;&gt;"Sensor Snapshot","",--(AND(L265="PUMPING",ISNUMBER(AH265),AH265&lt;='02_Parameters'!$B$10)))</f>
        <v>1</v>
      </c>
      <c r="AP265" s="16"/>
      <c r="AQ265" s="16" t="str">
        <f t="shared" si="66"/>
        <v/>
      </c>
      <c r="AR265" s="16" t="str">
        <f t="shared" si="67"/>
        <v/>
      </c>
      <c r="AU265" t="s">
        <v>236</v>
      </c>
      <c r="AV265" t="s">
        <v>237</v>
      </c>
      <c r="AW265" s="3" t="s">
        <v>238</v>
      </c>
      <c r="AX265" s="3">
        <f t="shared" si="68"/>
        <v>100</v>
      </c>
      <c r="AY265" s="3" t="str">
        <f t="shared" si="69"/>
        <v>A</v>
      </c>
      <c r="AZ265" s="3" t="s">
        <v>386</v>
      </c>
      <c r="BA265" s="3"/>
    </row>
    <row r="266" spans="1:53" ht="27.6">
      <c r="A266" t="s">
        <v>572</v>
      </c>
      <c r="B266" t="s">
        <v>231</v>
      </c>
      <c r="C266" s="14">
        <v>835763</v>
      </c>
      <c r="D266" s="15">
        <f t="shared" si="56"/>
        <v>835.76300000000003</v>
      </c>
      <c r="E266" t="s">
        <v>232</v>
      </c>
      <c r="G266" t="s">
        <v>234</v>
      </c>
      <c r="H266" t="s">
        <v>235</v>
      </c>
      <c r="I266" s="3"/>
      <c r="J266" s="3"/>
      <c r="K266">
        <v>1</v>
      </c>
      <c r="L266" t="s">
        <v>571</v>
      </c>
      <c r="M266">
        <f t="shared" si="57"/>
        <v>2</v>
      </c>
      <c r="N266">
        <v>0</v>
      </c>
      <c r="O266" s="16">
        <v>29</v>
      </c>
      <c r="P266" s="16">
        <f>IF(AND(ISNUMBER(O266),O266&lt;&gt;-1,O266&gt;='02_Parameters'!$B$18,O266&lt;='02_Parameters'!$B$19),O266,"")</f>
        <v>29</v>
      </c>
      <c r="Q266" s="16">
        <v>29</v>
      </c>
      <c r="R266" t="str">
        <f>IF(B266&lt;&gt;"Sensor Snapshot","",IF(O266="","Missing",IF(O266=-1,"Sensor failure sentinel (-1)",IF(OR(O266&lt;'02_Parameters'!$B$18,O266&gt;'02_Parameters'!$B$19),"Out of accepted range","Valid"))))</f>
        <v>Valid</v>
      </c>
      <c r="S266" s="16">
        <v>72.2</v>
      </c>
      <c r="T266" s="16">
        <f>IF(AND(ISNUMBER(S266),S266&lt;&gt;-1,S266&gt;='02_Parameters'!$B$20,S266&lt;='02_Parameters'!$B$21),S266,"")</f>
        <v>72.2</v>
      </c>
      <c r="U266" s="16">
        <v>72.2</v>
      </c>
      <c r="V266" t="str">
        <f>IF(B266&lt;&gt;"Sensor Snapshot","",IF(S266="","Missing",IF(S266=-1,"Sensor failure sentinel (-1)",IF(OR(S266&lt;'02_Parameters'!$B$20,S266&gt;'02_Parameters'!$B$21),"Out of accepted range","Valid"))))</f>
        <v>Valid</v>
      </c>
      <c r="W266" s="16">
        <v>-1.8</v>
      </c>
      <c r="X266" s="16">
        <f t="shared" si="58"/>
        <v>1.8</v>
      </c>
      <c r="Y266" t="str">
        <f t="shared" si="59"/>
        <v>Sign corrected to positive</v>
      </c>
      <c r="Z266" s="16"/>
      <c r="AA266">
        <v>1</v>
      </c>
      <c r="AB266">
        <f>IF(B266&lt;&gt;"Sensor Snapshot","",IF(ISNUMBER(AA266),--(AA266&lt;&gt;0),IF(ISNUMBER(Z266),--(Z266&lt;'02_Parameters'!$B$15),"")))</f>
        <v>1</v>
      </c>
      <c r="AC266">
        <f>IF(B266&lt;&gt;"Sensor Snapshot","",IF(ISNUMBER(X266),--(X266&gt;='02_Parameters'!$B$16),""))</f>
        <v>0</v>
      </c>
      <c r="AD266">
        <v>0</v>
      </c>
      <c r="AE266">
        <f t="shared" si="60"/>
        <v>0</v>
      </c>
      <c r="AF266" s="3" t="str">
        <f t="shared" si="61"/>
        <v>Partial detection only</v>
      </c>
      <c r="AG266" s="16">
        <v>69.787000000000006</v>
      </c>
      <c r="AH266" s="16">
        <f>IF(B266&lt;&gt;"Sensor Snapshot","",IF(ISNUMBER(AG266),IF(AG266&lt;0,"",IF(AG266&gt;10,AG266/'02_Parameters'!$B$17,AG266)),""))</f>
        <v>0.6978700000000001</v>
      </c>
      <c r="AI266" t="str">
        <f t="shared" si="62"/>
        <v>Normalized from high-scale log</v>
      </c>
      <c r="AJ266">
        <f t="shared" si="63"/>
        <v>1</v>
      </c>
      <c r="AK266">
        <f t="shared" si="64"/>
        <v>0</v>
      </c>
      <c r="AL266">
        <v>0</v>
      </c>
      <c r="AM266">
        <f t="shared" si="65"/>
        <v>0</v>
      </c>
      <c r="AN266">
        <f>IF(B266&lt;&gt;"Sensor Snapshot","",--(N266&gt;='02_Parameters'!$B$13))</f>
        <v>0</v>
      </c>
      <c r="AO266">
        <f>IF(B266&lt;&gt;"Sensor Snapshot","",--(AND(L266="PUMPING",ISNUMBER(AH266),AH266&lt;='02_Parameters'!$B$10)))</f>
        <v>0</v>
      </c>
      <c r="AP266" s="16"/>
      <c r="AQ266" s="16" t="str">
        <f t="shared" si="66"/>
        <v/>
      </c>
      <c r="AR266" s="16" t="str">
        <f t="shared" si="67"/>
        <v/>
      </c>
      <c r="AU266" t="s">
        <v>236</v>
      </c>
      <c r="AV266" t="s">
        <v>237</v>
      </c>
      <c r="AW266" s="3" t="s">
        <v>325</v>
      </c>
      <c r="AX266" s="3">
        <f t="shared" si="68"/>
        <v>100</v>
      </c>
      <c r="AY266" s="3" t="str">
        <f t="shared" si="69"/>
        <v>A</v>
      </c>
      <c r="AZ266" s="3" t="s">
        <v>386</v>
      </c>
      <c r="BA266" s="3"/>
    </row>
    <row r="267" spans="1:53" ht="27.6">
      <c r="A267" t="s">
        <v>573</v>
      </c>
      <c r="B267" t="s">
        <v>231</v>
      </c>
      <c r="C267" s="14">
        <v>841183</v>
      </c>
      <c r="D267" s="15">
        <f t="shared" si="56"/>
        <v>841.18299999999999</v>
      </c>
      <c r="E267" t="s">
        <v>232</v>
      </c>
      <c r="G267" t="s">
        <v>234</v>
      </c>
      <c r="H267" t="s">
        <v>235</v>
      </c>
      <c r="I267" s="3"/>
      <c r="J267" s="3"/>
      <c r="K267">
        <v>1</v>
      </c>
      <c r="L267" t="s">
        <v>571</v>
      </c>
      <c r="M267">
        <f t="shared" si="57"/>
        <v>2</v>
      </c>
      <c r="N267">
        <v>0</v>
      </c>
      <c r="O267" s="16">
        <v>29.1</v>
      </c>
      <c r="P267" s="16">
        <f>IF(AND(ISNUMBER(O267),O267&lt;&gt;-1,O267&gt;='02_Parameters'!$B$18,O267&lt;='02_Parameters'!$B$19),O267,"")</f>
        <v>29.1</v>
      </c>
      <c r="Q267" s="16">
        <v>29.1</v>
      </c>
      <c r="R267" t="str">
        <f>IF(B267&lt;&gt;"Sensor Snapshot","",IF(O267="","Missing",IF(O267=-1,"Sensor failure sentinel (-1)",IF(OR(O267&lt;'02_Parameters'!$B$18,O267&gt;'02_Parameters'!$B$19),"Out of accepted range","Valid"))))</f>
        <v>Valid</v>
      </c>
      <c r="S267" s="16">
        <v>71.3</v>
      </c>
      <c r="T267" s="16">
        <f>IF(AND(ISNUMBER(S267),S267&lt;&gt;-1,S267&gt;='02_Parameters'!$B$20,S267&lt;='02_Parameters'!$B$21),S267,"")</f>
        <v>71.3</v>
      </c>
      <c r="U267" s="16">
        <v>71.3</v>
      </c>
      <c r="V267" t="str">
        <f>IF(B267&lt;&gt;"Sensor Snapshot","",IF(S267="","Missing",IF(S267=-1,"Sensor failure sentinel (-1)",IF(OR(S267&lt;'02_Parameters'!$B$20,S267&gt;'02_Parameters'!$B$21),"Out of accepted range","Valid"))))</f>
        <v>Valid</v>
      </c>
      <c r="W267" s="16">
        <v>-70.5</v>
      </c>
      <c r="X267" s="16">
        <f t="shared" si="58"/>
        <v>70.5</v>
      </c>
      <c r="Y267" t="str">
        <f t="shared" si="59"/>
        <v>Sign corrected to positive</v>
      </c>
      <c r="Z267" s="16"/>
      <c r="AA267">
        <v>1</v>
      </c>
      <c r="AB267">
        <f>IF(B267&lt;&gt;"Sensor Snapshot","",IF(ISNUMBER(AA267),--(AA267&lt;&gt;0),IF(ISNUMBER(Z267),--(Z267&lt;'02_Parameters'!$B$15),"")))</f>
        <v>1</v>
      </c>
      <c r="AC267">
        <f>IF(B267&lt;&gt;"Sensor Snapshot","",IF(ISNUMBER(X267),--(X267&gt;='02_Parameters'!$B$16),""))</f>
        <v>1</v>
      </c>
      <c r="AD267">
        <v>0</v>
      </c>
      <c r="AE267">
        <f t="shared" si="60"/>
        <v>1</v>
      </c>
      <c r="AF267" s="3" t="str">
        <f t="shared" si="61"/>
        <v>Derived: optical AND weight</v>
      </c>
      <c r="AG267" s="16">
        <v>67.227000000000004</v>
      </c>
      <c r="AH267" s="16">
        <f>IF(B267&lt;&gt;"Sensor Snapshot","",IF(ISNUMBER(AG267),IF(AG267&lt;0,"",IF(AG267&gt;10,AG267/'02_Parameters'!$B$17,AG267)),""))</f>
        <v>0.67227000000000003</v>
      </c>
      <c r="AI267" t="str">
        <f t="shared" si="62"/>
        <v>Normalized from high-scale log</v>
      </c>
      <c r="AJ267">
        <f t="shared" si="63"/>
        <v>1</v>
      </c>
      <c r="AK267">
        <f t="shared" si="64"/>
        <v>0</v>
      </c>
      <c r="AL267">
        <v>0</v>
      </c>
      <c r="AM267">
        <f t="shared" si="65"/>
        <v>0</v>
      </c>
      <c r="AN267">
        <f>IF(B267&lt;&gt;"Sensor Snapshot","",--(N267&gt;='02_Parameters'!$B$13))</f>
        <v>0</v>
      </c>
      <c r="AO267">
        <f>IF(B267&lt;&gt;"Sensor Snapshot","",--(AND(L267="PUMPING",ISNUMBER(AH267),AH267&lt;='02_Parameters'!$B$10)))</f>
        <v>0</v>
      </c>
      <c r="AP267" s="16"/>
      <c r="AQ267" s="16" t="str">
        <f t="shared" si="66"/>
        <v/>
      </c>
      <c r="AR267" s="16" t="str">
        <f t="shared" si="67"/>
        <v/>
      </c>
      <c r="AU267" t="s">
        <v>236</v>
      </c>
      <c r="AV267" t="s">
        <v>237</v>
      </c>
      <c r="AW267" s="3" t="s">
        <v>325</v>
      </c>
      <c r="AX267" s="3">
        <f t="shared" si="68"/>
        <v>100</v>
      </c>
      <c r="AY267" s="3" t="str">
        <f t="shared" si="69"/>
        <v>A</v>
      </c>
      <c r="AZ267" s="3" t="s">
        <v>386</v>
      </c>
      <c r="BA267" s="3"/>
    </row>
    <row r="268" spans="1:53" ht="27.6">
      <c r="A268" t="s">
        <v>574</v>
      </c>
      <c r="B268" t="s">
        <v>242</v>
      </c>
      <c r="C268" s="14">
        <v>841183</v>
      </c>
      <c r="D268" s="15">
        <f t="shared" si="56"/>
        <v>841.18299999999999</v>
      </c>
      <c r="E268" t="s">
        <v>232</v>
      </c>
      <c r="G268" t="s">
        <v>157</v>
      </c>
      <c r="H268" t="s">
        <v>374</v>
      </c>
      <c r="I268" s="3" t="s">
        <v>575</v>
      </c>
      <c r="J268" s="3" t="s">
        <v>576</v>
      </c>
      <c r="K268">
        <v>1</v>
      </c>
      <c r="L268" t="s">
        <v>571</v>
      </c>
      <c r="M268">
        <f t="shared" si="57"/>
        <v>2</v>
      </c>
      <c r="O268" s="16"/>
      <c r="P268" s="16" t="str">
        <f>IF(AND(ISNUMBER(O268),O268&lt;&gt;-1,O268&gt;='02_Parameters'!$B$18,O268&lt;='02_Parameters'!$B$19),O268,"")</f>
        <v/>
      </c>
      <c r="Q268" s="16"/>
      <c r="R268" t="str">
        <f>IF(B268&lt;&gt;"Sensor Snapshot","",IF(O268="","Missing",IF(O268=-1,"Sensor failure sentinel (-1)",IF(OR(O268&lt;'02_Parameters'!$B$18,O268&gt;'02_Parameters'!$B$19),"Out of accepted range","Valid"))))</f>
        <v/>
      </c>
      <c r="S268" s="16"/>
      <c r="T268" s="16" t="str">
        <f>IF(AND(ISNUMBER(S268),S268&lt;&gt;-1,S268&gt;='02_Parameters'!$B$20,S268&lt;='02_Parameters'!$B$21),S268,"")</f>
        <v/>
      </c>
      <c r="U268" s="16"/>
      <c r="V268" t="str">
        <f>IF(B268&lt;&gt;"Sensor Snapshot","",IF(S268="","Missing",IF(S268=-1,"Sensor failure sentinel (-1)",IF(OR(S268&lt;'02_Parameters'!$B$20,S268&gt;'02_Parameters'!$B$21),"Out of accepted range","Valid"))))</f>
        <v/>
      </c>
      <c r="W268" s="16"/>
      <c r="X268" s="16" t="str">
        <f t="shared" si="58"/>
        <v/>
      </c>
      <c r="Y268" t="str">
        <f t="shared" si="59"/>
        <v/>
      </c>
      <c r="Z268" s="16"/>
      <c r="AB268" t="str">
        <f>IF(B268&lt;&gt;"Sensor Snapshot","",IF(ISNUMBER(AA268),--(AA268&lt;&gt;0),IF(ISNUMBER(Z268),--(Z268&lt;'02_Parameters'!$B$15),"")))</f>
        <v/>
      </c>
      <c r="AC268" t="str">
        <f>IF(B268&lt;&gt;"Sensor Snapshot","",IF(ISNUMBER(X268),--(X268&gt;='02_Parameters'!$B$16),""))</f>
        <v/>
      </c>
      <c r="AD268">
        <v>0</v>
      </c>
      <c r="AE268" t="str">
        <f t="shared" si="60"/>
        <v/>
      </c>
      <c r="AF268" s="3" t="str">
        <f t="shared" si="61"/>
        <v/>
      </c>
      <c r="AG268" s="16"/>
      <c r="AH268" s="16" t="str">
        <f>IF(B268&lt;&gt;"Sensor Snapshot","",IF(ISNUMBER(AG268),IF(AG268&lt;0,"",IF(AG268&gt;10,AG268/'02_Parameters'!$B$17,AG268)),""))</f>
        <v/>
      </c>
      <c r="AI268" t="str">
        <f t="shared" si="62"/>
        <v/>
      </c>
      <c r="AJ268" t="str">
        <f t="shared" si="63"/>
        <v/>
      </c>
      <c r="AK268" t="str">
        <f t="shared" si="64"/>
        <v/>
      </c>
      <c r="AM268" t="str">
        <f t="shared" si="65"/>
        <v/>
      </c>
      <c r="AN268" t="str">
        <f>IF(B268&lt;&gt;"Sensor Snapshot","",--(N268&gt;='02_Parameters'!$B$13))</f>
        <v/>
      </c>
      <c r="AO268" t="str">
        <f>IF(B268&lt;&gt;"Sensor Snapshot","",--(AND(L268="PUMPING",ISNUMBER(AH268),AH268&lt;='02_Parameters'!$B$10)))</f>
        <v/>
      </c>
      <c r="AP268" s="16"/>
      <c r="AQ268" s="16" t="str">
        <f t="shared" si="66"/>
        <v/>
      </c>
      <c r="AR268" s="16" t="str">
        <f t="shared" si="67"/>
        <v/>
      </c>
      <c r="AW268" s="3" t="s">
        <v>377</v>
      </c>
      <c r="AX268" s="3" t="str">
        <f t="shared" si="68"/>
        <v/>
      </c>
      <c r="AY268" s="3" t="str">
        <f t="shared" si="69"/>
        <v/>
      </c>
      <c r="AZ268" s="3" t="s">
        <v>247</v>
      </c>
      <c r="BA268" s="3"/>
    </row>
    <row r="269" spans="1:53" ht="55.2">
      <c r="A269" t="s">
        <v>577</v>
      </c>
      <c r="B269" t="s">
        <v>231</v>
      </c>
      <c r="C269" s="14">
        <v>846615</v>
      </c>
      <c r="D269" s="15">
        <f t="shared" si="56"/>
        <v>846.61500000000001</v>
      </c>
      <c r="E269" t="s">
        <v>232</v>
      </c>
      <c r="G269" t="s">
        <v>234</v>
      </c>
      <c r="H269" t="s">
        <v>235</v>
      </c>
      <c r="I269" s="3"/>
      <c r="J269" s="3"/>
      <c r="K269">
        <v>1</v>
      </c>
      <c r="L269" t="s">
        <v>571</v>
      </c>
      <c r="M269">
        <f t="shared" si="57"/>
        <v>2</v>
      </c>
      <c r="N269">
        <v>0</v>
      </c>
      <c r="O269" s="16">
        <v>-1</v>
      </c>
      <c r="P269" s="16" t="str">
        <f>IF(AND(ISNUMBER(O269),O269&lt;&gt;-1,O269&gt;='02_Parameters'!$B$18,O269&lt;='02_Parameters'!$B$19),O269,"")</f>
        <v/>
      </c>
      <c r="Q269" s="16">
        <v>29.1</v>
      </c>
      <c r="R269" t="str">
        <f>IF(B269&lt;&gt;"Sensor Snapshot","",IF(O269="","Missing",IF(O269=-1,"Sensor failure sentinel (-1)",IF(OR(O269&lt;'02_Parameters'!$B$18,O269&gt;'02_Parameters'!$B$19),"Out of accepted range","Valid"))))</f>
        <v>Sensor failure sentinel (-1)</v>
      </c>
      <c r="S269" s="16">
        <v>-1</v>
      </c>
      <c r="T269" s="16" t="str">
        <f>IF(AND(ISNUMBER(S269),S269&lt;&gt;-1,S269&gt;='02_Parameters'!$B$20,S269&lt;='02_Parameters'!$B$21),S269,"")</f>
        <v/>
      </c>
      <c r="U269" s="16">
        <v>71.3</v>
      </c>
      <c r="V269" t="str">
        <f>IF(B269&lt;&gt;"Sensor Snapshot","",IF(S269="","Missing",IF(S269=-1,"Sensor failure sentinel (-1)",IF(OR(S269&lt;'02_Parameters'!$B$20,S269&gt;'02_Parameters'!$B$21),"Out of accepted range","Valid"))))</f>
        <v>Sensor failure sentinel (-1)</v>
      </c>
      <c r="W269" s="16">
        <v>-136.30000000000001</v>
      </c>
      <c r="X269" s="16">
        <f t="shared" si="58"/>
        <v>136.30000000000001</v>
      </c>
      <c r="Y269" t="str">
        <f t="shared" si="59"/>
        <v>Sign corrected to positive</v>
      </c>
      <c r="Z269" s="16"/>
      <c r="AA269">
        <v>1</v>
      </c>
      <c r="AB269">
        <f>IF(B269&lt;&gt;"Sensor Snapshot","",IF(ISNUMBER(AA269),--(AA269&lt;&gt;0),IF(ISNUMBER(Z269),--(Z269&lt;'02_Parameters'!$B$15),"")))</f>
        <v>1</v>
      </c>
      <c r="AC269">
        <f>IF(B269&lt;&gt;"Sensor Snapshot","",IF(ISNUMBER(X269),--(X269&gt;='02_Parameters'!$B$16),""))</f>
        <v>1</v>
      </c>
      <c r="AD269">
        <v>0</v>
      </c>
      <c r="AE269">
        <f t="shared" si="60"/>
        <v>1</v>
      </c>
      <c r="AF269" s="3" t="str">
        <f t="shared" si="61"/>
        <v>Derived: optical AND weight</v>
      </c>
      <c r="AG269" s="16">
        <v>71.492999999999995</v>
      </c>
      <c r="AH269" s="16">
        <f>IF(B269&lt;&gt;"Sensor Snapshot","",IF(ISNUMBER(AG269),IF(AG269&lt;0,"",IF(AG269&gt;10,AG269/'02_Parameters'!$B$17,AG269)),""))</f>
        <v>0.71492999999999995</v>
      </c>
      <c r="AI269" t="str">
        <f t="shared" si="62"/>
        <v>Normalized from high-scale log</v>
      </c>
      <c r="AJ269">
        <f t="shared" si="63"/>
        <v>1</v>
      </c>
      <c r="AK269">
        <f t="shared" si="64"/>
        <v>0</v>
      </c>
      <c r="AL269">
        <v>0</v>
      </c>
      <c r="AM269">
        <f t="shared" si="65"/>
        <v>0</v>
      </c>
      <c r="AN269">
        <f>IF(B269&lt;&gt;"Sensor Snapshot","",--(N269&gt;='02_Parameters'!$B$13))</f>
        <v>0</v>
      </c>
      <c r="AO269">
        <f>IF(B269&lt;&gt;"Sensor Snapshot","",--(AND(L269="PUMPING",ISNUMBER(AH269),AH269&lt;='02_Parameters'!$B$10)))</f>
        <v>0</v>
      </c>
      <c r="AP269" s="16"/>
      <c r="AQ269" s="16" t="str">
        <f t="shared" si="66"/>
        <v/>
      </c>
      <c r="AR269" s="16" t="str">
        <f t="shared" si="67"/>
        <v/>
      </c>
      <c r="AU269" t="s">
        <v>236</v>
      </c>
      <c r="AV269" t="s">
        <v>237</v>
      </c>
      <c r="AW269" s="3" t="s">
        <v>330</v>
      </c>
      <c r="AX269" s="3">
        <f t="shared" si="68"/>
        <v>60</v>
      </c>
      <c r="AY269" s="3" t="str">
        <f t="shared" si="69"/>
        <v>C</v>
      </c>
      <c r="AZ269" s="3" t="s">
        <v>386</v>
      </c>
      <c r="BA269" s="3"/>
    </row>
    <row r="270" spans="1:53" ht="27.6">
      <c r="A270" t="s">
        <v>578</v>
      </c>
      <c r="B270" t="s">
        <v>242</v>
      </c>
      <c r="C270" s="14">
        <v>846615</v>
      </c>
      <c r="D270" s="15">
        <f t="shared" si="56"/>
        <v>846.61500000000001</v>
      </c>
      <c r="E270" t="s">
        <v>232</v>
      </c>
      <c r="G270" t="s">
        <v>157</v>
      </c>
      <c r="H270" t="s">
        <v>374</v>
      </c>
      <c r="I270" s="3" t="s">
        <v>575</v>
      </c>
      <c r="J270" s="3" t="s">
        <v>576</v>
      </c>
      <c r="K270">
        <v>1</v>
      </c>
      <c r="L270" t="s">
        <v>571</v>
      </c>
      <c r="M270">
        <f t="shared" si="57"/>
        <v>2</v>
      </c>
      <c r="O270" s="16"/>
      <c r="P270" s="16" t="str">
        <f>IF(AND(ISNUMBER(O270),O270&lt;&gt;-1,O270&gt;='02_Parameters'!$B$18,O270&lt;='02_Parameters'!$B$19),O270,"")</f>
        <v/>
      </c>
      <c r="Q270" s="16"/>
      <c r="R270" t="str">
        <f>IF(B270&lt;&gt;"Sensor Snapshot","",IF(O270="","Missing",IF(O270=-1,"Sensor failure sentinel (-1)",IF(OR(O270&lt;'02_Parameters'!$B$18,O270&gt;'02_Parameters'!$B$19),"Out of accepted range","Valid"))))</f>
        <v/>
      </c>
      <c r="S270" s="16"/>
      <c r="T270" s="16" t="str">
        <f>IF(AND(ISNUMBER(S270),S270&lt;&gt;-1,S270&gt;='02_Parameters'!$B$20,S270&lt;='02_Parameters'!$B$21),S270,"")</f>
        <v/>
      </c>
      <c r="U270" s="16"/>
      <c r="V270" t="str">
        <f>IF(B270&lt;&gt;"Sensor Snapshot","",IF(S270="","Missing",IF(S270=-1,"Sensor failure sentinel (-1)",IF(OR(S270&lt;'02_Parameters'!$B$20,S270&gt;'02_Parameters'!$B$21),"Out of accepted range","Valid"))))</f>
        <v/>
      </c>
      <c r="W270" s="16"/>
      <c r="X270" s="16" t="str">
        <f t="shared" si="58"/>
        <v/>
      </c>
      <c r="Y270" t="str">
        <f t="shared" si="59"/>
        <v/>
      </c>
      <c r="Z270" s="16"/>
      <c r="AB270" t="str">
        <f>IF(B270&lt;&gt;"Sensor Snapshot","",IF(ISNUMBER(AA270),--(AA270&lt;&gt;0),IF(ISNUMBER(Z270),--(Z270&lt;'02_Parameters'!$B$15),"")))</f>
        <v/>
      </c>
      <c r="AC270" t="str">
        <f>IF(B270&lt;&gt;"Sensor Snapshot","",IF(ISNUMBER(X270),--(X270&gt;='02_Parameters'!$B$16),""))</f>
        <v/>
      </c>
      <c r="AD270">
        <v>0</v>
      </c>
      <c r="AE270" t="str">
        <f t="shared" si="60"/>
        <v/>
      </c>
      <c r="AF270" s="3" t="str">
        <f t="shared" si="61"/>
        <v/>
      </c>
      <c r="AG270" s="16"/>
      <c r="AH270" s="16" t="str">
        <f>IF(B270&lt;&gt;"Sensor Snapshot","",IF(ISNUMBER(AG270),IF(AG270&lt;0,"",IF(AG270&gt;10,AG270/'02_Parameters'!$B$17,AG270)),""))</f>
        <v/>
      </c>
      <c r="AI270" t="str">
        <f t="shared" si="62"/>
        <v/>
      </c>
      <c r="AJ270" t="str">
        <f t="shared" si="63"/>
        <v/>
      </c>
      <c r="AK270" t="str">
        <f t="shared" si="64"/>
        <v/>
      </c>
      <c r="AM270" t="str">
        <f t="shared" si="65"/>
        <v/>
      </c>
      <c r="AN270" t="str">
        <f>IF(B270&lt;&gt;"Sensor Snapshot","",--(N270&gt;='02_Parameters'!$B$13))</f>
        <v/>
      </c>
      <c r="AO270" t="str">
        <f>IF(B270&lt;&gt;"Sensor Snapshot","",--(AND(L270="PUMPING",ISNUMBER(AH270),AH270&lt;='02_Parameters'!$B$10)))</f>
        <v/>
      </c>
      <c r="AP270" s="16"/>
      <c r="AQ270" s="16" t="str">
        <f t="shared" si="66"/>
        <v/>
      </c>
      <c r="AR270" s="16" t="str">
        <f t="shared" si="67"/>
        <v/>
      </c>
      <c r="AW270" s="3" t="s">
        <v>377</v>
      </c>
      <c r="AX270" s="3" t="str">
        <f t="shared" si="68"/>
        <v/>
      </c>
      <c r="AY270" s="3" t="str">
        <f t="shared" si="69"/>
        <v/>
      </c>
      <c r="AZ270" s="3" t="s">
        <v>247</v>
      </c>
      <c r="BA270" s="3"/>
    </row>
    <row r="271" spans="1:53" ht="55.2">
      <c r="A271" t="s">
        <v>579</v>
      </c>
      <c r="B271" t="s">
        <v>231</v>
      </c>
      <c r="C271" s="14">
        <v>851615</v>
      </c>
      <c r="D271" s="15">
        <f t="shared" si="56"/>
        <v>851.61500000000001</v>
      </c>
      <c r="E271" t="s">
        <v>232</v>
      </c>
      <c r="G271" t="s">
        <v>234</v>
      </c>
      <c r="H271" t="s">
        <v>235</v>
      </c>
      <c r="I271" s="3"/>
      <c r="J271" s="3"/>
      <c r="K271">
        <v>1</v>
      </c>
      <c r="L271" t="s">
        <v>571</v>
      </c>
      <c r="M271">
        <f t="shared" si="57"/>
        <v>2</v>
      </c>
      <c r="N271">
        <v>0</v>
      </c>
      <c r="O271" s="16">
        <v>-1</v>
      </c>
      <c r="P271" s="16" t="str">
        <f>IF(AND(ISNUMBER(O271),O271&lt;&gt;-1,O271&gt;='02_Parameters'!$B$18,O271&lt;='02_Parameters'!$B$19),O271,"")</f>
        <v/>
      </c>
      <c r="Q271" s="16">
        <v>29.1</v>
      </c>
      <c r="R271" t="str">
        <f>IF(B271&lt;&gt;"Sensor Snapshot","",IF(O271="","Missing",IF(O271=-1,"Sensor failure sentinel (-1)",IF(OR(O271&lt;'02_Parameters'!$B$18,O271&gt;'02_Parameters'!$B$19),"Out of accepted range","Valid"))))</f>
        <v>Sensor failure sentinel (-1)</v>
      </c>
      <c r="S271" s="16">
        <v>-1</v>
      </c>
      <c r="T271" s="16" t="str">
        <f>IF(AND(ISNUMBER(S271),S271&lt;&gt;-1,S271&gt;='02_Parameters'!$B$20,S271&lt;='02_Parameters'!$B$21),S271,"")</f>
        <v/>
      </c>
      <c r="U271" s="16">
        <v>71.3</v>
      </c>
      <c r="V271" t="str">
        <f>IF(B271&lt;&gt;"Sensor Snapshot","",IF(S271="","Missing",IF(S271=-1,"Sensor failure sentinel (-1)",IF(OR(S271&lt;'02_Parameters'!$B$20,S271&gt;'02_Parameters'!$B$21),"Out of accepted range","Valid"))))</f>
        <v>Sensor failure sentinel (-1)</v>
      </c>
      <c r="W271" s="16">
        <v>-1.7</v>
      </c>
      <c r="X271" s="16">
        <f t="shared" si="58"/>
        <v>1.7</v>
      </c>
      <c r="Y271" t="str">
        <f t="shared" si="59"/>
        <v>Sign corrected to positive</v>
      </c>
      <c r="Z271" s="16"/>
      <c r="AA271">
        <v>1</v>
      </c>
      <c r="AB271">
        <f>IF(B271&lt;&gt;"Sensor Snapshot","",IF(ISNUMBER(AA271),--(AA271&lt;&gt;0),IF(ISNUMBER(Z271),--(Z271&lt;'02_Parameters'!$B$15),"")))</f>
        <v>1</v>
      </c>
      <c r="AC271">
        <f>IF(B271&lt;&gt;"Sensor Snapshot","",IF(ISNUMBER(X271),--(X271&gt;='02_Parameters'!$B$16),""))</f>
        <v>0</v>
      </c>
      <c r="AD271">
        <v>0</v>
      </c>
      <c r="AE271">
        <f t="shared" si="60"/>
        <v>0</v>
      </c>
      <c r="AF271" s="3" t="str">
        <f t="shared" si="61"/>
        <v>Partial detection only</v>
      </c>
      <c r="AG271" s="16">
        <v>66.052999999999997</v>
      </c>
      <c r="AH271" s="16">
        <f>IF(B271&lt;&gt;"Sensor Snapshot","",IF(ISNUMBER(AG271),IF(AG271&lt;0,"",IF(AG271&gt;10,AG271/'02_Parameters'!$B$17,AG271)),""))</f>
        <v>0.66052999999999995</v>
      </c>
      <c r="AI271" t="str">
        <f t="shared" si="62"/>
        <v>Normalized from high-scale log</v>
      </c>
      <c r="AJ271">
        <f t="shared" si="63"/>
        <v>1</v>
      </c>
      <c r="AK271">
        <f t="shared" si="64"/>
        <v>0</v>
      </c>
      <c r="AL271">
        <v>0</v>
      </c>
      <c r="AM271">
        <f t="shared" si="65"/>
        <v>0</v>
      </c>
      <c r="AN271">
        <f>IF(B271&lt;&gt;"Sensor Snapshot","",--(N271&gt;='02_Parameters'!$B$13))</f>
        <v>0</v>
      </c>
      <c r="AO271">
        <f>IF(B271&lt;&gt;"Sensor Snapshot","",--(AND(L271="PUMPING",ISNUMBER(AH271),AH271&lt;='02_Parameters'!$B$10)))</f>
        <v>0</v>
      </c>
      <c r="AP271" s="16"/>
      <c r="AQ271" s="16" t="str">
        <f t="shared" si="66"/>
        <v/>
      </c>
      <c r="AR271" s="16" t="str">
        <f t="shared" si="67"/>
        <v/>
      </c>
      <c r="AU271" t="s">
        <v>236</v>
      </c>
      <c r="AV271" t="s">
        <v>237</v>
      </c>
      <c r="AW271" s="3" t="s">
        <v>330</v>
      </c>
      <c r="AX271" s="3">
        <f t="shared" si="68"/>
        <v>60</v>
      </c>
      <c r="AY271" s="3" t="str">
        <f t="shared" si="69"/>
        <v>C</v>
      </c>
      <c r="AZ271" s="3" t="s">
        <v>386</v>
      </c>
      <c r="BA271" s="3"/>
    </row>
    <row r="272" spans="1:53" ht="27.6">
      <c r="A272" t="s">
        <v>580</v>
      </c>
      <c r="B272" t="s">
        <v>231</v>
      </c>
      <c r="C272" s="14">
        <v>856585</v>
      </c>
      <c r="D272" s="15">
        <f t="shared" si="56"/>
        <v>856.58500000000004</v>
      </c>
      <c r="E272" t="s">
        <v>232</v>
      </c>
      <c r="G272" t="s">
        <v>234</v>
      </c>
      <c r="H272" t="s">
        <v>235</v>
      </c>
      <c r="I272" s="3"/>
      <c r="J272" s="3"/>
      <c r="K272">
        <v>1</v>
      </c>
      <c r="L272" t="s">
        <v>571</v>
      </c>
      <c r="M272">
        <f t="shared" si="57"/>
        <v>2</v>
      </c>
      <c r="N272">
        <v>0</v>
      </c>
      <c r="O272" s="16">
        <v>29.1</v>
      </c>
      <c r="P272" s="16">
        <f>IF(AND(ISNUMBER(O272),O272&lt;&gt;-1,O272&gt;='02_Parameters'!$B$18,O272&lt;='02_Parameters'!$B$19),O272,"")</f>
        <v>29.1</v>
      </c>
      <c r="Q272" s="16">
        <v>29.1</v>
      </c>
      <c r="R272" t="str">
        <f>IF(B272&lt;&gt;"Sensor Snapshot","",IF(O272="","Missing",IF(O272=-1,"Sensor failure sentinel (-1)",IF(OR(O272&lt;'02_Parameters'!$B$18,O272&gt;'02_Parameters'!$B$19),"Out of accepted range","Valid"))))</f>
        <v>Valid</v>
      </c>
      <c r="S272" s="16">
        <v>69.900000000000006</v>
      </c>
      <c r="T272" s="16">
        <f>IF(AND(ISNUMBER(S272),S272&lt;&gt;-1,S272&gt;='02_Parameters'!$B$20,S272&lt;='02_Parameters'!$B$21),S272,"")</f>
        <v>69.900000000000006</v>
      </c>
      <c r="U272" s="16">
        <v>69.900000000000006</v>
      </c>
      <c r="V272" t="str">
        <f>IF(B272&lt;&gt;"Sensor Snapshot","",IF(S272="","Missing",IF(S272=-1,"Sensor failure sentinel (-1)",IF(OR(S272&lt;'02_Parameters'!$B$20,S272&gt;'02_Parameters'!$B$21),"Out of accepted range","Valid"))))</f>
        <v>Valid</v>
      </c>
      <c r="W272" s="16">
        <v>-1.9</v>
      </c>
      <c r="X272" s="16">
        <f t="shared" si="58"/>
        <v>1.9</v>
      </c>
      <c r="Y272" t="str">
        <f t="shared" si="59"/>
        <v>Sign corrected to positive</v>
      </c>
      <c r="Z272" s="16"/>
      <c r="AA272">
        <v>1</v>
      </c>
      <c r="AB272">
        <f>IF(B272&lt;&gt;"Sensor Snapshot","",IF(ISNUMBER(AA272),--(AA272&lt;&gt;0),IF(ISNUMBER(Z272),--(Z272&lt;'02_Parameters'!$B$15),"")))</f>
        <v>1</v>
      </c>
      <c r="AC272">
        <f>IF(B272&lt;&gt;"Sensor Snapshot","",IF(ISNUMBER(X272),--(X272&gt;='02_Parameters'!$B$16),""))</f>
        <v>0</v>
      </c>
      <c r="AD272">
        <v>0</v>
      </c>
      <c r="AE272">
        <f t="shared" si="60"/>
        <v>0</v>
      </c>
      <c r="AF272" s="3" t="str">
        <f t="shared" si="61"/>
        <v>Partial detection only</v>
      </c>
      <c r="AG272" s="16">
        <v>65.733000000000004</v>
      </c>
      <c r="AH272" s="16">
        <f>IF(B272&lt;&gt;"Sensor Snapshot","",IF(ISNUMBER(AG272),IF(AG272&lt;0,"",IF(AG272&gt;10,AG272/'02_Parameters'!$B$17,AG272)),""))</f>
        <v>0.65733000000000008</v>
      </c>
      <c r="AI272" t="str">
        <f t="shared" si="62"/>
        <v>Normalized from high-scale log</v>
      </c>
      <c r="AJ272">
        <f t="shared" si="63"/>
        <v>1</v>
      </c>
      <c r="AK272">
        <f t="shared" si="64"/>
        <v>0</v>
      </c>
      <c r="AL272">
        <v>0</v>
      </c>
      <c r="AM272">
        <f t="shared" si="65"/>
        <v>0</v>
      </c>
      <c r="AN272">
        <f>IF(B272&lt;&gt;"Sensor Snapshot","",--(N272&gt;='02_Parameters'!$B$13))</f>
        <v>0</v>
      </c>
      <c r="AO272">
        <f>IF(B272&lt;&gt;"Sensor Snapshot","",--(AND(L272="PUMPING",ISNUMBER(AH272),AH272&lt;='02_Parameters'!$B$10)))</f>
        <v>0</v>
      </c>
      <c r="AP272" s="16"/>
      <c r="AQ272" s="16" t="str">
        <f t="shared" si="66"/>
        <v/>
      </c>
      <c r="AR272" s="16" t="str">
        <f t="shared" si="67"/>
        <v/>
      </c>
      <c r="AU272" t="s">
        <v>236</v>
      </c>
      <c r="AV272" t="s">
        <v>237</v>
      </c>
      <c r="AW272" s="3" t="s">
        <v>325</v>
      </c>
      <c r="AX272" s="3">
        <f t="shared" si="68"/>
        <v>100</v>
      </c>
      <c r="AY272" s="3" t="str">
        <f t="shared" si="69"/>
        <v>A</v>
      </c>
      <c r="AZ272" s="3" t="s">
        <v>386</v>
      </c>
      <c r="BA272" s="3"/>
    </row>
    <row r="273" spans="1:53" ht="27.6">
      <c r="A273" t="s">
        <v>581</v>
      </c>
      <c r="B273" t="s">
        <v>242</v>
      </c>
      <c r="C273" s="14">
        <v>856585</v>
      </c>
      <c r="D273" s="15">
        <f t="shared" si="56"/>
        <v>856.58500000000004</v>
      </c>
      <c r="E273" t="s">
        <v>232</v>
      </c>
      <c r="G273" t="s">
        <v>157</v>
      </c>
      <c r="H273" t="s">
        <v>374</v>
      </c>
      <c r="I273" s="3" t="s">
        <v>575</v>
      </c>
      <c r="J273" s="3" t="s">
        <v>576</v>
      </c>
      <c r="K273">
        <v>1</v>
      </c>
      <c r="L273" t="s">
        <v>571</v>
      </c>
      <c r="M273">
        <f t="shared" si="57"/>
        <v>2</v>
      </c>
      <c r="O273" s="16"/>
      <c r="P273" s="16" t="str">
        <f>IF(AND(ISNUMBER(O273),O273&lt;&gt;-1,O273&gt;='02_Parameters'!$B$18,O273&lt;='02_Parameters'!$B$19),O273,"")</f>
        <v/>
      </c>
      <c r="Q273" s="16"/>
      <c r="R273" t="str">
        <f>IF(B273&lt;&gt;"Sensor Snapshot","",IF(O273="","Missing",IF(O273=-1,"Sensor failure sentinel (-1)",IF(OR(O273&lt;'02_Parameters'!$B$18,O273&gt;'02_Parameters'!$B$19),"Out of accepted range","Valid"))))</f>
        <v/>
      </c>
      <c r="S273" s="16"/>
      <c r="T273" s="16" t="str">
        <f>IF(AND(ISNUMBER(S273),S273&lt;&gt;-1,S273&gt;='02_Parameters'!$B$20,S273&lt;='02_Parameters'!$B$21),S273,"")</f>
        <v/>
      </c>
      <c r="U273" s="16"/>
      <c r="V273" t="str">
        <f>IF(B273&lt;&gt;"Sensor Snapshot","",IF(S273="","Missing",IF(S273=-1,"Sensor failure sentinel (-1)",IF(OR(S273&lt;'02_Parameters'!$B$20,S273&gt;'02_Parameters'!$B$21),"Out of accepted range","Valid"))))</f>
        <v/>
      </c>
      <c r="W273" s="16"/>
      <c r="X273" s="16" t="str">
        <f t="shared" si="58"/>
        <v/>
      </c>
      <c r="Y273" t="str">
        <f t="shared" si="59"/>
        <v/>
      </c>
      <c r="Z273" s="16"/>
      <c r="AB273" t="str">
        <f>IF(B273&lt;&gt;"Sensor Snapshot","",IF(ISNUMBER(AA273),--(AA273&lt;&gt;0),IF(ISNUMBER(Z273),--(Z273&lt;'02_Parameters'!$B$15),"")))</f>
        <v/>
      </c>
      <c r="AC273" t="str">
        <f>IF(B273&lt;&gt;"Sensor Snapshot","",IF(ISNUMBER(X273),--(X273&gt;='02_Parameters'!$B$16),""))</f>
        <v/>
      </c>
      <c r="AD273">
        <v>0</v>
      </c>
      <c r="AE273" t="str">
        <f t="shared" si="60"/>
        <v/>
      </c>
      <c r="AF273" s="3" t="str">
        <f t="shared" si="61"/>
        <v/>
      </c>
      <c r="AG273" s="16"/>
      <c r="AH273" s="16" t="str">
        <f>IF(B273&lt;&gt;"Sensor Snapshot","",IF(ISNUMBER(AG273),IF(AG273&lt;0,"",IF(AG273&gt;10,AG273/'02_Parameters'!$B$17,AG273)),""))</f>
        <v/>
      </c>
      <c r="AI273" t="str">
        <f t="shared" si="62"/>
        <v/>
      </c>
      <c r="AJ273" t="str">
        <f t="shared" si="63"/>
        <v/>
      </c>
      <c r="AK273" t="str">
        <f t="shared" si="64"/>
        <v/>
      </c>
      <c r="AM273" t="str">
        <f t="shared" si="65"/>
        <v/>
      </c>
      <c r="AN273" t="str">
        <f>IF(B273&lt;&gt;"Sensor Snapshot","",--(N273&gt;='02_Parameters'!$B$13))</f>
        <v/>
      </c>
      <c r="AO273" t="str">
        <f>IF(B273&lt;&gt;"Sensor Snapshot","",--(AND(L273="PUMPING",ISNUMBER(AH273),AH273&lt;='02_Parameters'!$B$10)))</f>
        <v/>
      </c>
      <c r="AP273" s="16"/>
      <c r="AQ273" s="16" t="str">
        <f t="shared" si="66"/>
        <v/>
      </c>
      <c r="AR273" s="16" t="str">
        <f t="shared" si="67"/>
        <v/>
      </c>
      <c r="AW273" s="3" t="s">
        <v>377</v>
      </c>
      <c r="AX273" s="3" t="str">
        <f t="shared" si="68"/>
        <v/>
      </c>
      <c r="AY273" s="3" t="str">
        <f t="shared" si="69"/>
        <v/>
      </c>
      <c r="AZ273" s="3" t="s">
        <v>247</v>
      </c>
      <c r="BA273" s="3"/>
    </row>
    <row r="274" spans="1:53" ht="55.2">
      <c r="A274" t="s">
        <v>582</v>
      </c>
      <c r="B274" t="s">
        <v>231</v>
      </c>
      <c r="C274" s="14">
        <v>861617</v>
      </c>
      <c r="D274" s="15">
        <f t="shared" si="56"/>
        <v>861.61699999999996</v>
      </c>
      <c r="E274" t="s">
        <v>232</v>
      </c>
      <c r="G274" t="s">
        <v>234</v>
      </c>
      <c r="H274" t="s">
        <v>235</v>
      </c>
      <c r="I274" s="3"/>
      <c r="J274" s="3"/>
      <c r="K274">
        <v>1</v>
      </c>
      <c r="L274" t="s">
        <v>571</v>
      </c>
      <c r="M274">
        <f t="shared" si="57"/>
        <v>2</v>
      </c>
      <c r="N274">
        <v>0</v>
      </c>
      <c r="O274" s="16">
        <v>-1</v>
      </c>
      <c r="P274" s="16" t="str">
        <f>IF(AND(ISNUMBER(O274),O274&lt;&gt;-1,O274&gt;='02_Parameters'!$B$18,O274&lt;='02_Parameters'!$B$19),O274,"")</f>
        <v/>
      </c>
      <c r="Q274" s="16">
        <v>29.1</v>
      </c>
      <c r="R274" t="str">
        <f>IF(B274&lt;&gt;"Sensor Snapshot","",IF(O274="","Missing",IF(O274=-1,"Sensor failure sentinel (-1)",IF(OR(O274&lt;'02_Parameters'!$B$18,O274&gt;'02_Parameters'!$B$19),"Out of accepted range","Valid"))))</f>
        <v>Sensor failure sentinel (-1)</v>
      </c>
      <c r="S274" s="16">
        <v>-1</v>
      </c>
      <c r="T274" s="16" t="str">
        <f>IF(AND(ISNUMBER(S274),S274&lt;&gt;-1,S274&gt;='02_Parameters'!$B$20,S274&lt;='02_Parameters'!$B$21),S274,"")</f>
        <v/>
      </c>
      <c r="U274" s="16">
        <v>69.900000000000006</v>
      </c>
      <c r="V274" t="str">
        <f>IF(B274&lt;&gt;"Sensor Snapshot","",IF(S274="","Missing",IF(S274=-1,"Sensor failure sentinel (-1)",IF(OR(S274&lt;'02_Parameters'!$B$20,S274&gt;'02_Parameters'!$B$21),"Out of accepted range","Valid"))))</f>
        <v>Sensor failure sentinel (-1)</v>
      </c>
      <c r="W274" s="16">
        <v>-1.7</v>
      </c>
      <c r="X274" s="16">
        <f t="shared" si="58"/>
        <v>1.7</v>
      </c>
      <c r="Y274" t="str">
        <f t="shared" si="59"/>
        <v>Sign corrected to positive</v>
      </c>
      <c r="Z274" s="16"/>
      <c r="AA274">
        <v>1</v>
      </c>
      <c r="AB274">
        <f>IF(B274&lt;&gt;"Sensor Snapshot","",IF(ISNUMBER(AA274),--(AA274&lt;&gt;0),IF(ISNUMBER(Z274),--(Z274&lt;'02_Parameters'!$B$15),"")))</f>
        <v>1</v>
      </c>
      <c r="AC274">
        <f>IF(B274&lt;&gt;"Sensor Snapshot","",IF(ISNUMBER(X274),--(X274&gt;='02_Parameters'!$B$16),""))</f>
        <v>0</v>
      </c>
      <c r="AD274">
        <v>0</v>
      </c>
      <c r="AE274">
        <f t="shared" si="60"/>
        <v>0</v>
      </c>
      <c r="AF274" s="3" t="str">
        <f t="shared" si="61"/>
        <v>Partial detection only</v>
      </c>
      <c r="AG274" s="16">
        <v>65.332999999999998</v>
      </c>
      <c r="AH274" s="16">
        <f>IF(B274&lt;&gt;"Sensor Snapshot","",IF(ISNUMBER(AG274),IF(AG274&lt;0,"",IF(AG274&gt;10,AG274/'02_Parameters'!$B$17,AG274)),""))</f>
        <v>0.65332999999999997</v>
      </c>
      <c r="AI274" t="str">
        <f t="shared" si="62"/>
        <v>Normalized from high-scale log</v>
      </c>
      <c r="AJ274">
        <f t="shared" si="63"/>
        <v>1</v>
      </c>
      <c r="AK274">
        <f t="shared" si="64"/>
        <v>0</v>
      </c>
      <c r="AL274">
        <v>0</v>
      </c>
      <c r="AM274">
        <f t="shared" si="65"/>
        <v>0</v>
      </c>
      <c r="AN274">
        <f>IF(B274&lt;&gt;"Sensor Snapshot","",--(N274&gt;='02_Parameters'!$B$13))</f>
        <v>0</v>
      </c>
      <c r="AO274">
        <f>IF(B274&lt;&gt;"Sensor Snapshot","",--(AND(L274="PUMPING",ISNUMBER(AH274),AH274&lt;='02_Parameters'!$B$10)))</f>
        <v>0</v>
      </c>
      <c r="AP274" s="16"/>
      <c r="AQ274" s="16" t="str">
        <f t="shared" si="66"/>
        <v/>
      </c>
      <c r="AR274" s="16" t="str">
        <f t="shared" si="67"/>
        <v/>
      </c>
      <c r="AU274" t="s">
        <v>236</v>
      </c>
      <c r="AV274" t="s">
        <v>237</v>
      </c>
      <c r="AW274" s="3" t="s">
        <v>330</v>
      </c>
      <c r="AX274" s="3">
        <f t="shared" si="68"/>
        <v>60</v>
      </c>
      <c r="AY274" s="3" t="str">
        <f t="shared" si="69"/>
        <v>C</v>
      </c>
      <c r="AZ274" s="3" t="s">
        <v>386</v>
      </c>
      <c r="BA274" s="3"/>
    </row>
    <row r="275" spans="1:53" ht="27.6">
      <c r="A275" t="s">
        <v>583</v>
      </c>
      <c r="B275" t="s">
        <v>231</v>
      </c>
      <c r="C275" s="14">
        <v>866584</v>
      </c>
      <c r="D275" s="15">
        <f t="shared" si="56"/>
        <v>866.58399999999995</v>
      </c>
      <c r="E275" t="s">
        <v>232</v>
      </c>
      <c r="G275" t="s">
        <v>234</v>
      </c>
      <c r="H275" t="s">
        <v>235</v>
      </c>
      <c r="I275" s="3"/>
      <c r="J275" s="3"/>
      <c r="K275">
        <v>1</v>
      </c>
      <c r="L275" t="s">
        <v>571</v>
      </c>
      <c r="M275">
        <f t="shared" si="57"/>
        <v>2</v>
      </c>
      <c r="N275">
        <v>0</v>
      </c>
      <c r="O275" s="16">
        <v>29</v>
      </c>
      <c r="P275" s="16">
        <f>IF(AND(ISNUMBER(O275),O275&lt;&gt;-1,O275&gt;='02_Parameters'!$B$18,O275&lt;='02_Parameters'!$B$19),O275,"")</f>
        <v>29</v>
      </c>
      <c r="Q275" s="16">
        <v>29</v>
      </c>
      <c r="R275" t="str">
        <f>IF(B275&lt;&gt;"Sensor Snapshot","",IF(O275="","Missing",IF(O275=-1,"Sensor failure sentinel (-1)",IF(OR(O275&lt;'02_Parameters'!$B$18,O275&gt;'02_Parameters'!$B$19),"Out of accepted range","Valid"))))</f>
        <v>Valid</v>
      </c>
      <c r="S275" s="16">
        <v>69.099999999999994</v>
      </c>
      <c r="T275" s="16">
        <f>IF(AND(ISNUMBER(S275),S275&lt;&gt;-1,S275&gt;='02_Parameters'!$B$20,S275&lt;='02_Parameters'!$B$21),S275,"")</f>
        <v>69.099999999999994</v>
      </c>
      <c r="U275" s="16">
        <v>69.099999999999994</v>
      </c>
      <c r="V275" t="str">
        <f>IF(B275&lt;&gt;"Sensor Snapshot","",IF(S275="","Missing",IF(S275=-1,"Sensor failure sentinel (-1)",IF(OR(S275&lt;'02_Parameters'!$B$20,S275&gt;'02_Parameters'!$B$21),"Out of accepted range","Valid"))))</f>
        <v>Valid</v>
      </c>
      <c r="W275" s="16">
        <v>-1.8</v>
      </c>
      <c r="X275" s="16">
        <f t="shared" si="58"/>
        <v>1.8</v>
      </c>
      <c r="Y275" t="str">
        <f t="shared" si="59"/>
        <v>Sign corrected to positive</v>
      </c>
      <c r="Z275" s="16"/>
      <c r="AA275">
        <v>1</v>
      </c>
      <c r="AB275">
        <f>IF(B275&lt;&gt;"Sensor Snapshot","",IF(ISNUMBER(AA275),--(AA275&lt;&gt;0),IF(ISNUMBER(Z275),--(Z275&lt;'02_Parameters'!$B$15),"")))</f>
        <v>1</v>
      </c>
      <c r="AC275">
        <f>IF(B275&lt;&gt;"Sensor Snapshot","",IF(ISNUMBER(X275),--(X275&gt;='02_Parameters'!$B$16),""))</f>
        <v>0</v>
      </c>
      <c r="AD275">
        <v>0</v>
      </c>
      <c r="AE275">
        <f t="shared" si="60"/>
        <v>0</v>
      </c>
      <c r="AF275" s="3" t="str">
        <f t="shared" si="61"/>
        <v>Partial detection only</v>
      </c>
      <c r="AG275" s="16">
        <v>63.226999999999997</v>
      </c>
      <c r="AH275" s="16">
        <f>IF(B275&lt;&gt;"Sensor Snapshot","",IF(ISNUMBER(AG275),IF(AG275&lt;0,"",IF(AG275&gt;10,AG275/'02_Parameters'!$B$17,AG275)),""))</f>
        <v>0.63227</v>
      </c>
      <c r="AI275" t="str">
        <f t="shared" si="62"/>
        <v>Normalized from high-scale log</v>
      </c>
      <c r="AJ275">
        <f t="shared" si="63"/>
        <v>1</v>
      </c>
      <c r="AK275">
        <f t="shared" si="64"/>
        <v>0</v>
      </c>
      <c r="AL275">
        <v>0</v>
      </c>
      <c r="AM275">
        <f t="shared" si="65"/>
        <v>0</v>
      </c>
      <c r="AN275">
        <f>IF(B275&lt;&gt;"Sensor Snapshot","",--(N275&gt;='02_Parameters'!$B$13))</f>
        <v>0</v>
      </c>
      <c r="AO275">
        <f>IF(B275&lt;&gt;"Sensor Snapshot","",--(AND(L275="PUMPING",ISNUMBER(AH275),AH275&lt;='02_Parameters'!$B$10)))</f>
        <v>0</v>
      </c>
      <c r="AP275" s="16"/>
      <c r="AQ275" s="16" t="str">
        <f t="shared" si="66"/>
        <v/>
      </c>
      <c r="AR275" s="16" t="str">
        <f t="shared" si="67"/>
        <v/>
      </c>
      <c r="AU275" t="s">
        <v>236</v>
      </c>
      <c r="AV275" t="s">
        <v>237</v>
      </c>
      <c r="AW275" s="3" t="s">
        <v>325</v>
      </c>
      <c r="AX275" s="3">
        <f t="shared" si="68"/>
        <v>100</v>
      </c>
      <c r="AY275" s="3" t="str">
        <f t="shared" si="69"/>
        <v>A</v>
      </c>
      <c r="AZ275" s="3" t="s">
        <v>386</v>
      </c>
      <c r="BA275" s="3"/>
    </row>
    <row r="276" spans="1:53" ht="27.6">
      <c r="A276" t="s">
        <v>584</v>
      </c>
      <c r="B276" t="s">
        <v>242</v>
      </c>
      <c r="C276" s="14">
        <v>866584</v>
      </c>
      <c r="D276" s="15">
        <f t="shared" si="56"/>
        <v>866.58399999999995</v>
      </c>
      <c r="E276" t="s">
        <v>232</v>
      </c>
      <c r="G276" t="s">
        <v>157</v>
      </c>
      <c r="H276" t="s">
        <v>374</v>
      </c>
      <c r="I276" s="3" t="s">
        <v>575</v>
      </c>
      <c r="J276" s="3" t="s">
        <v>576</v>
      </c>
      <c r="K276">
        <v>1</v>
      </c>
      <c r="L276" t="s">
        <v>571</v>
      </c>
      <c r="M276">
        <f t="shared" si="57"/>
        <v>2</v>
      </c>
      <c r="O276" s="16"/>
      <c r="P276" s="16" t="str">
        <f>IF(AND(ISNUMBER(O276),O276&lt;&gt;-1,O276&gt;='02_Parameters'!$B$18,O276&lt;='02_Parameters'!$B$19),O276,"")</f>
        <v/>
      </c>
      <c r="Q276" s="16"/>
      <c r="R276" t="str">
        <f>IF(B276&lt;&gt;"Sensor Snapshot","",IF(O276="","Missing",IF(O276=-1,"Sensor failure sentinel (-1)",IF(OR(O276&lt;'02_Parameters'!$B$18,O276&gt;'02_Parameters'!$B$19),"Out of accepted range","Valid"))))</f>
        <v/>
      </c>
      <c r="S276" s="16"/>
      <c r="T276" s="16" t="str">
        <f>IF(AND(ISNUMBER(S276),S276&lt;&gt;-1,S276&gt;='02_Parameters'!$B$20,S276&lt;='02_Parameters'!$B$21),S276,"")</f>
        <v/>
      </c>
      <c r="U276" s="16"/>
      <c r="V276" t="str">
        <f>IF(B276&lt;&gt;"Sensor Snapshot","",IF(S276="","Missing",IF(S276=-1,"Sensor failure sentinel (-1)",IF(OR(S276&lt;'02_Parameters'!$B$20,S276&gt;'02_Parameters'!$B$21),"Out of accepted range","Valid"))))</f>
        <v/>
      </c>
      <c r="W276" s="16"/>
      <c r="X276" s="16" t="str">
        <f t="shared" si="58"/>
        <v/>
      </c>
      <c r="Y276" t="str">
        <f t="shared" si="59"/>
        <v/>
      </c>
      <c r="Z276" s="16"/>
      <c r="AB276" t="str">
        <f>IF(B276&lt;&gt;"Sensor Snapshot","",IF(ISNUMBER(AA276),--(AA276&lt;&gt;0),IF(ISNUMBER(Z276),--(Z276&lt;'02_Parameters'!$B$15),"")))</f>
        <v/>
      </c>
      <c r="AC276" t="str">
        <f>IF(B276&lt;&gt;"Sensor Snapshot","",IF(ISNUMBER(X276),--(X276&gt;='02_Parameters'!$B$16),""))</f>
        <v/>
      </c>
      <c r="AD276">
        <v>0</v>
      </c>
      <c r="AE276" t="str">
        <f t="shared" si="60"/>
        <v/>
      </c>
      <c r="AF276" s="3" t="str">
        <f t="shared" si="61"/>
        <v/>
      </c>
      <c r="AG276" s="16"/>
      <c r="AH276" s="16" t="str">
        <f>IF(B276&lt;&gt;"Sensor Snapshot","",IF(ISNUMBER(AG276),IF(AG276&lt;0,"",IF(AG276&gt;10,AG276/'02_Parameters'!$B$17,AG276)),""))</f>
        <v/>
      </c>
      <c r="AI276" t="str">
        <f t="shared" si="62"/>
        <v/>
      </c>
      <c r="AJ276" t="str">
        <f t="shared" si="63"/>
        <v/>
      </c>
      <c r="AK276" t="str">
        <f t="shared" si="64"/>
        <v/>
      </c>
      <c r="AM276" t="str">
        <f t="shared" si="65"/>
        <v/>
      </c>
      <c r="AN276" t="str">
        <f>IF(B276&lt;&gt;"Sensor Snapshot","",--(N276&gt;='02_Parameters'!$B$13))</f>
        <v/>
      </c>
      <c r="AO276" t="str">
        <f>IF(B276&lt;&gt;"Sensor Snapshot","",--(AND(L276="PUMPING",ISNUMBER(AH276),AH276&lt;='02_Parameters'!$B$10)))</f>
        <v/>
      </c>
      <c r="AP276" s="16"/>
      <c r="AQ276" s="16" t="str">
        <f t="shared" si="66"/>
        <v/>
      </c>
      <c r="AR276" s="16" t="str">
        <f t="shared" si="67"/>
        <v/>
      </c>
      <c r="AW276" s="3" t="s">
        <v>377</v>
      </c>
      <c r="AX276" s="3" t="str">
        <f t="shared" si="68"/>
        <v/>
      </c>
      <c r="AY276" s="3" t="str">
        <f t="shared" si="69"/>
        <v/>
      </c>
      <c r="AZ276" s="3" t="s">
        <v>247</v>
      </c>
      <c r="BA276" s="3"/>
    </row>
    <row r="277" spans="1:53" ht="55.2">
      <c r="A277" t="s">
        <v>585</v>
      </c>
      <c r="B277" t="s">
        <v>231</v>
      </c>
      <c r="C277" s="14">
        <v>871616</v>
      </c>
      <c r="D277" s="15">
        <f t="shared" si="56"/>
        <v>871.61599999999999</v>
      </c>
      <c r="E277" t="s">
        <v>232</v>
      </c>
      <c r="G277" t="s">
        <v>234</v>
      </c>
      <c r="H277" t="s">
        <v>235</v>
      </c>
      <c r="I277" s="3"/>
      <c r="J277" s="3"/>
      <c r="K277">
        <v>1</v>
      </c>
      <c r="L277" t="s">
        <v>571</v>
      </c>
      <c r="M277">
        <f t="shared" si="57"/>
        <v>2</v>
      </c>
      <c r="N277">
        <v>0</v>
      </c>
      <c r="O277" s="16">
        <v>-1</v>
      </c>
      <c r="P277" s="16" t="str">
        <f>IF(AND(ISNUMBER(O277),O277&lt;&gt;-1,O277&gt;='02_Parameters'!$B$18,O277&lt;='02_Parameters'!$B$19),O277,"")</f>
        <v/>
      </c>
      <c r="Q277" s="16">
        <v>29</v>
      </c>
      <c r="R277" t="str">
        <f>IF(B277&lt;&gt;"Sensor Snapshot","",IF(O277="","Missing",IF(O277=-1,"Sensor failure sentinel (-1)",IF(OR(O277&lt;'02_Parameters'!$B$18,O277&gt;'02_Parameters'!$B$19),"Out of accepted range","Valid"))))</f>
        <v>Sensor failure sentinel (-1)</v>
      </c>
      <c r="S277" s="16">
        <v>-1</v>
      </c>
      <c r="T277" s="16" t="str">
        <f>IF(AND(ISNUMBER(S277),S277&lt;&gt;-1,S277&gt;='02_Parameters'!$B$20,S277&lt;='02_Parameters'!$B$21),S277,"")</f>
        <v/>
      </c>
      <c r="U277" s="16">
        <v>69.099999999999994</v>
      </c>
      <c r="V277" t="str">
        <f>IF(B277&lt;&gt;"Sensor Snapshot","",IF(S277="","Missing",IF(S277=-1,"Sensor failure sentinel (-1)",IF(OR(S277&lt;'02_Parameters'!$B$20,S277&gt;'02_Parameters'!$B$21),"Out of accepted range","Valid"))))</f>
        <v>Sensor failure sentinel (-1)</v>
      </c>
      <c r="W277" s="16">
        <v>-1.9</v>
      </c>
      <c r="X277" s="16">
        <f t="shared" si="58"/>
        <v>1.9</v>
      </c>
      <c r="Y277" t="str">
        <f t="shared" si="59"/>
        <v>Sign corrected to positive</v>
      </c>
      <c r="Z277" s="16"/>
      <c r="AA277">
        <v>1</v>
      </c>
      <c r="AB277">
        <f>IF(B277&lt;&gt;"Sensor Snapshot","",IF(ISNUMBER(AA277),--(AA277&lt;&gt;0),IF(ISNUMBER(Z277),--(Z277&lt;'02_Parameters'!$B$15),"")))</f>
        <v>1</v>
      </c>
      <c r="AC277">
        <f>IF(B277&lt;&gt;"Sensor Snapshot","",IF(ISNUMBER(X277),--(X277&gt;='02_Parameters'!$B$16),""))</f>
        <v>0</v>
      </c>
      <c r="AD277">
        <v>0</v>
      </c>
      <c r="AE277">
        <f t="shared" si="60"/>
        <v>0</v>
      </c>
      <c r="AF277" s="3" t="str">
        <f t="shared" si="61"/>
        <v>Partial detection only</v>
      </c>
      <c r="AG277" s="16">
        <v>66.933000000000007</v>
      </c>
      <c r="AH277" s="16">
        <f>IF(B277&lt;&gt;"Sensor Snapshot","",IF(ISNUMBER(AG277),IF(AG277&lt;0,"",IF(AG277&gt;10,AG277/'02_Parameters'!$B$17,AG277)),""))</f>
        <v>0.66933000000000009</v>
      </c>
      <c r="AI277" t="str">
        <f t="shared" si="62"/>
        <v>Normalized from high-scale log</v>
      </c>
      <c r="AJ277">
        <f t="shared" si="63"/>
        <v>1</v>
      </c>
      <c r="AK277">
        <f t="shared" si="64"/>
        <v>0</v>
      </c>
      <c r="AL277">
        <v>0</v>
      </c>
      <c r="AM277">
        <f t="shared" si="65"/>
        <v>0</v>
      </c>
      <c r="AN277">
        <f>IF(B277&lt;&gt;"Sensor Snapshot","",--(N277&gt;='02_Parameters'!$B$13))</f>
        <v>0</v>
      </c>
      <c r="AO277">
        <f>IF(B277&lt;&gt;"Sensor Snapshot","",--(AND(L277="PUMPING",ISNUMBER(AH277),AH277&lt;='02_Parameters'!$B$10)))</f>
        <v>0</v>
      </c>
      <c r="AP277" s="16"/>
      <c r="AQ277" s="16" t="str">
        <f t="shared" si="66"/>
        <v/>
      </c>
      <c r="AR277" s="16" t="str">
        <f t="shared" si="67"/>
        <v/>
      </c>
      <c r="AU277" t="s">
        <v>236</v>
      </c>
      <c r="AV277" t="s">
        <v>237</v>
      </c>
      <c r="AW277" s="3" t="s">
        <v>330</v>
      </c>
      <c r="AX277" s="3">
        <f t="shared" si="68"/>
        <v>60</v>
      </c>
      <c r="AY277" s="3" t="str">
        <f t="shared" si="69"/>
        <v>C</v>
      </c>
      <c r="AZ277" s="3" t="s">
        <v>386</v>
      </c>
      <c r="BA277" s="3"/>
    </row>
    <row r="278" spans="1:53" ht="27.6">
      <c r="A278" t="s">
        <v>586</v>
      </c>
      <c r="B278" t="s">
        <v>231</v>
      </c>
      <c r="C278" s="14">
        <v>876584</v>
      </c>
      <c r="D278" s="15">
        <f t="shared" si="56"/>
        <v>876.58399999999995</v>
      </c>
      <c r="E278" t="s">
        <v>232</v>
      </c>
      <c r="G278" t="s">
        <v>234</v>
      </c>
      <c r="H278" t="s">
        <v>235</v>
      </c>
      <c r="I278" s="3"/>
      <c r="J278" s="3"/>
      <c r="K278">
        <v>1</v>
      </c>
      <c r="L278" t="s">
        <v>571</v>
      </c>
      <c r="M278">
        <f t="shared" si="57"/>
        <v>2</v>
      </c>
      <c r="N278">
        <v>0</v>
      </c>
      <c r="O278" s="16">
        <v>28.8</v>
      </c>
      <c r="P278" s="16">
        <f>IF(AND(ISNUMBER(O278),O278&lt;&gt;-1,O278&gt;='02_Parameters'!$B$18,O278&lt;='02_Parameters'!$B$19),O278,"")</f>
        <v>28.8</v>
      </c>
      <c r="Q278" s="16">
        <v>28.8</v>
      </c>
      <c r="R278" t="str">
        <f>IF(B278&lt;&gt;"Sensor Snapshot","",IF(O278="","Missing",IF(O278=-1,"Sensor failure sentinel (-1)",IF(OR(O278&lt;'02_Parameters'!$B$18,O278&gt;'02_Parameters'!$B$19),"Out of accepted range","Valid"))))</f>
        <v>Valid</v>
      </c>
      <c r="S278" s="16">
        <v>68.7</v>
      </c>
      <c r="T278" s="16">
        <f>IF(AND(ISNUMBER(S278),S278&lt;&gt;-1,S278&gt;='02_Parameters'!$B$20,S278&lt;='02_Parameters'!$B$21),S278,"")</f>
        <v>68.7</v>
      </c>
      <c r="U278" s="16">
        <v>68.7</v>
      </c>
      <c r="V278" t="str">
        <f>IF(B278&lt;&gt;"Sensor Snapshot","",IF(S278="","Missing",IF(S278=-1,"Sensor failure sentinel (-1)",IF(OR(S278&lt;'02_Parameters'!$B$20,S278&gt;'02_Parameters'!$B$21),"Out of accepted range","Valid"))))</f>
        <v>Valid</v>
      </c>
      <c r="W278" s="16">
        <v>-135.1</v>
      </c>
      <c r="X278" s="16">
        <f t="shared" si="58"/>
        <v>135.1</v>
      </c>
      <c r="Y278" t="str">
        <f t="shared" si="59"/>
        <v>Sign corrected to positive</v>
      </c>
      <c r="Z278" s="16"/>
      <c r="AA278">
        <v>1</v>
      </c>
      <c r="AB278">
        <f>IF(B278&lt;&gt;"Sensor Snapshot","",IF(ISNUMBER(AA278),--(AA278&lt;&gt;0),IF(ISNUMBER(Z278),--(Z278&lt;'02_Parameters'!$B$15),"")))</f>
        <v>1</v>
      </c>
      <c r="AC278">
        <f>IF(B278&lt;&gt;"Sensor Snapshot","",IF(ISNUMBER(X278),--(X278&gt;='02_Parameters'!$B$16),""))</f>
        <v>1</v>
      </c>
      <c r="AD278">
        <v>0</v>
      </c>
      <c r="AE278">
        <f t="shared" si="60"/>
        <v>1</v>
      </c>
      <c r="AF278" s="3" t="str">
        <f t="shared" si="61"/>
        <v>Derived: optical AND weight</v>
      </c>
      <c r="AG278" s="16">
        <v>72.027000000000001</v>
      </c>
      <c r="AH278" s="16">
        <f>IF(B278&lt;&gt;"Sensor Snapshot","",IF(ISNUMBER(AG278),IF(AG278&lt;0,"",IF(AG278&gt;10,AG278/'02_Parameters'!$B$17,AG278)),""))</f>
        <v>0.72026999999999997</v>
      </c>
      <c r="AI278" t="str">
        <f t="shared" si="62"/>
        <v>Normalized from high-scale log</v>
      </c>
      <c r="AJ278">
        <f t="shared" si="63"/>
        <v>1</v>
      </c>
      <c r="AK278">
        <f t="shared" si="64"/>
        <v>0</v>
      </c>
      <c r="AL278">
        <v>0</v>
      </c>
      <c r="AM278">
        <f t="shared" si="65"/>
        <v>0</v>
      </c>
      <c r="AN278">
        <f>IF(B278&lt;&gt;"Sensor Snapshot","",--(N278&gt;='02_Parameters'!$B$13))</f>
        <v>0</v>
      </c>
      <c r="AO278">
        <f>IF(B278&lt;&gt;"Sensor Snapshot","",--(AND(L278="PUMPING",ISNUMBER(AH278),AH278&lt;='02_Parameters'!$B$10)))</f>
        <v>0</v>
      </c>
      <c r="AP278" s="16"/>
      <c r="AQ278" s="16" t="str">
        <f t="shared" si="66"/>
        <v/>
      </c>
      <c r="AR278" s="16" t="str">
        <f t="shared" si="67"/>
        <v/>
      </c>
      <c r="AU278" t="s">
        <v>236</v>
      </c>
      <c r="AV278" t="s">
        <v>237</v>
      </c>
      <c r="AW278" s="3" t="s">
        <v>325</v>
      </c>
      <c r="AX278" s="3">
        <f t="shared" si="68"/>
        <v>100</v>
      </c>
      <c r="AY278" s="3" t="str">
        <f t="shared" si="69"/>
        <v>A</v>
      </c>
      <c r="AZ278" s="3" t="s">
        <v>386</v>
      </c>
      <c r="BA278" s="3"/>
    </row>
    <row r="279" spans="1:53" ht="27.6">
      <c r="A279" t="s">
        <v>587</v>
      </c>
      <c r="B279" t="s">
        <v>242</v>
      </c>
      <c r="C279" s="14">
        <v>876584</v>
      </c>
      <c r="D279" s="15">
        <f t="shared" si="56"/>
        <v>876.58399999999995</v>
      </c>
      <c r="E279" t="s">
        <v>232</v>
      </c>
      <c r="G279" t="s">
        <v>157</v>
      </c>
      <c r="H279" t="s">
        <v>374</v>
      </c>
      <c r="I279" s="3" t="s">
        <v>575</v>
      </c>
      <c r="J279" s="3" t="s">
        <v>576</v>
      </c>
      <c r="K279">
        <v>1</v>
      </c>
      <c r="L279" t="s">
        <v>571</v>
      </c>
      <c r="M279">
        <f t="shared" si="57"/>
        <v>2</v>
      </c>
      <c r="O279" s="16"/>
      <c r="P279" s="16" t="str">
        <f>IF(AND(ISNUMBER(O279),O279&lt;&gt;-1,O279&gt;='02_Parameters'!$B$18,O279&lt;='02_Parameters'!$B$19),O279,"")</f>
        <v/>
      </c>
      <c r="Q279" s="16"/>
      <c r="R279" t="str">
        <f>IF(B279&lt;&gt;"Sensor Snapshot","",IF(O279="","Missing",IF(O279=-1,"Sensor failure sentinel (-1)",IF(OR(O279&lt;'02_Parameters'!$B$18,O279&gt;'02_Parameters'!$B$19),"Out of accepted range","Valid"))))</f>
        <v/>
      </c>
      <c r="S279" s="16"/>
      <c r="T279" s="16" t="str">
        <f>IF(AND(ISNUMBER(S279),S279&lt;&gt;-1,S279&gt;='02_Parameters'!$B$20,S279&lt;='02_Parameters'!$B$21),S279,"")</f>
        <v/>
      </c>
      <c r="U279" s="16"/>
      <c r="V279" t="str">
        <f>IF(B279&lt;&gt;"Sensor Snapshot","",IF(S279="","Missing",IF(S279=-1,"Sensor failure sentinel (-1)",IF(OR(S279&lt;'02_Parameters'!$B$20,S279&gt;'02_Parameters'!$B$21),"Out of accepted range","Valid"))))</f>
        <v/>
      </c>
      <c r="W279" s="16"/>
      <c r="X279" s="16" t="str">
        <f t="shared" si="58"/>
        <v/>
      </c>
      <c r="Y279" t="str">
        <f t="shared" si="59"/>
        <v/>
      </c>
      <c r="Z279" s="16"/>
      <c r="AB279" t="str">
        <f>IF(B279&lt;&gt;"Sensor Snapshot","",IF(ISNUMBER(AA279),--(AA279&lt;&gt;0),IF(ISNUMBER(Z279),--(Z279&lt;'02_Parameters'!$B$15),"")))</f>
        <v/>
      </c>
      <c r="AC279" t="str">
        <f>IF(B279&lt;&gt;"Sensor Snapshot","",IF(ISNUMBER(X279),--(X279&gt;='02_Parameters'!$B$16),""))</f>
        <v/>
      </c>
      <c r="AD279">
        <v>0</v>
      </c>
      <c r="AE279" t="str">
        <f t="shared" si="60"/>
        <v/>
      </c>
      <c r="AF279" s="3" t="str">
        <f t="shared" si="61"/>
        <v/>
      </c>
      <c r="AG279" s="16"/>
      <c r="AH279" s="16" t="str">
        <f>IF(B279&lt;&gt;"Sensor Snapshot","",IF(ISNUMBER(AG279),IF(AG279&lt;0,"",IF(AG279&gt;10,AG279/'02_Parameters'!$B$17,AG279)),""))</f>
        <v/>
      </c>
      <c r="AI279" t="str">
        <f t="shared" si="62"/>
        <v/>
      </c>
      <c r="AJ279" t="str">
        <f t="shared" si="63"/>
        <v/>
      </c>
      <c r="AK279" t="str">
        <f t="shared" si="64"/>
        <v/>
      </c>
      <c r="AM279" t="str">
        <f t="shared" si="65"/>
        <v/>
      </c>
      <c r="AN279" t="str">
        <f>IF(B279&lt;&gt;"Sensor Snapshot","",--(N279&gt;='02_Parameters'!$B$13))</f>
        <v/>
      </c>
      <c r="AO279" t="str">
        <f>IF(B279&lt;&gt;"Sensor Snapshot","",--(AND(L279="PUMPING",ISNUMBER(AH279),AH279&lt;='02_Parameters'!$B$10)))</f>
        <v/>
      </c>
      <c r="AP279" s="16"/>
      <c r="AQ279" s="16" t="str">
        <f t="shared" si="66"/>
        <v/>
      </c>
      <c r="AR279" s="16" t="str">
        <f t="shared" si="67"/>
        <v/>
      </c>
      <c r="AW279" s="3" t="s">
        <v>377</v>
      </c>
      <c r="AX279" s="3" t="str">
        <f t="shared" si="68"/>
        <v/>
      </c>
      <c r="AY279" s="3" t="str">
        <f t="shared" si="69"/>
        <v/>
      </c>
      <c r="AZ279" s="3" t="s">
        <v>247</v>
      </c>
      <c r="BA279" s="3"/>
    </row>
    <row r="280" spans="1:53" ht="55.2">
      <c r="A280" t="s">
        <v>588</v>
      </c>
      <c r="B280" t="s">
        <v>231</v>
      </c>
      <c r="C280" s="14">
        <v>881616</v>
      </c>
      <c r="D280" s="15">
        <f t="shared" si="56"/>
        <v>881.61599999999999</v>
      </c>
      <c r="E280" t="s">
        <v>232</v>
      </c>
      <c r="G280" t="s">
        <v>234</v>
      </c>
      <c r="H280" t="s">
        <v>235</v>
      </c>
      <c r="I280" s="3"/>
      <c r="J280" s="3"/>
      <c r="K280">
        <v>1</v>
      </c>
      <c r="L280" t="s">
        <v>571</v>
      </c>
      <c r="M280">
        <f t="shared" si="57"/>
        <v>2</v>
      </c>
      <c r="N280">
        <v>0</v>
      </c>
      <c r="O280" s="16">
        <v>-1</v>
      </c>
      <c r="P280" s="16" t="str">
        <f>IF(AND(ISNUMBER(O280),O280&lt;&gt;-1,O280&gt;='02_Parameters'!$B$18,O280&lt;='02_Parameters'!$B$19),O280,"")</f>
        <v/>
      </c>
      <c r="Q280" s="16">
        <v>28.8</v>
      </c>
      <c r="R280" t="str">
        <f>IF(B280&lt;&gt;"Sensor Snapshot","",IF(O280="","Missing",IF(O280=-1,"Sensor failure sentinel (-1)",IF(OR(O280&lt;'02_Parameters'!$B$18,O280&gt;'02_Parameters'!$B$19),"Out of accepted range","Valid"))))</f>
        <v>Sensor failure sentinel (-1)</v>
      </c>
      <c r="S280" s="16">
        <v>-1</v>
      </c>
      <c r="T280" s="16" t="str">
        <f>IF(AND(ISNUMBER(S280),S280&lt;&gt;-1,S280&gt;='02_Parameters'!$B$20,S280&lt;='02_Parameters'!$B$21),S280,"")</f>
        <v/>
      </c>
      <c r="U280" s="16">
        <v>68.7</v>
      </c>
      <c r="V280" t="str">
        <f>IF(B280&lt;&gt;"Sensor Snapshot","",IF(S280="","Missing",IF(S280=-1,"Sensor failure sentinel (-1)",IF(OR(S280&lt;'02_Parameters'!$B$20,S280&gt;'02_Parameters'!$B$21),"Out of accepted range","Valid"))))</f>
        <v>Sensor failure sentinel (-1)</v>
      </c>
      <c r="W280" s="16">
        <v>-2.2000000000000002</v>
      </c>
      <c r="X280" s="16">
        <f t="shared" si="58"/>
        <v>2.2000000000000002</v>
      </c>
      <c r="Y280" t="str">
        <f t="shared" si="59"/>
        <v>Sign corrected to positive</v>
      </c>
      <c r="Z280" s="16"/>
      <c r="AA280">
        <v>1</v>
      </c>
      <c r="AB280">
        <f>IF(B280&lt;&gt;"Sensor Snapshot","",IF(ISNUMBER(AA280),--(AA280&lt;&gt;0),IF(ISNUMBER(Z280),--(Z280&lt;'02_Parameters'!$B$15),"")))</f>
        <v>1</v>
      </c>
      <c r="AC280">
        <f>IF(B280&lt;&gt;"Sensor Snapshot","",IF(ISNUMBER(X280),--(X280&gt;='02_Parameters'!$B$16),""))</f>
        <v>0</v>
      </c>
      <c r="AD280">
        <v>0</v>
      </c>
      <c r="AE280">
        <f t="shared" si="60"/>
        <v>0</v>
      </c>
      <c r="AF280" s="3" t="str">
        <f t="shared" si="61"/>
        <v>Partial detection only</v>
      </c>
      <c r="AG280" s="16">
        <v>74.239999999999995</v>
      </c>
      <c r="AH280" s="16">
        <f>IF(B280&lt;&gt;"Sensor Snapshot","",IF(ISNUMBER(AG280),IF(AG280&lt;0,"",IF(AG280&gt;10,AG280/'02_Parameters'!$B$17,AG280)),""))</f>
        <v>0.74239999999999995</v>
      </c>
      <c r="AI280" t="str">
        <f t="shared" si="62"/>
        <v>Normalized from high-scale log</v>
      </c>
      <c r="AJ280">
        <f t="shared" si="63"/>
        <v>1</v>
      </c>
      <c r="AK280">
        <f t="shared" si="64"/>
        <v>0</v>
      </c>
      <c r="AL280">
        <v>0</v>
      </c>
      <c r="AM280">
        <f t="shared" si="65"/>
        <v>0</v>
      </c>
      <c r="AN280">
        <f>IF(B280&lt;&gt;"Sensor Snapshot","",--(N280&gt;='02_Parameters'!$B$13))</f>
        <v>0</v>
      </c>
      <c r="AO280">
        <f>IF(B280&lt;&gt;"Sensor Snapshot","",--(AND(L280="PUMPING",ISNUMBER(AH280),AH280&lt;='02_Parameters'!$B$10)))</f>
        <v>0</v>
      </c>
      <c r="AP280" s="16"/>
      <c r="AQ280" s="16" t="str">
        <f t="shared" si="66"/>
        <v/>
      </c>
      <c r="AR280" s="16" t="str">
        <f t="shared" si="67"/>
        <v/>
      </c>
      <c r="AU280" t="s">
        <v>236</v>
      </c>
      <c r="AV280" t="s">
        <v>237</v>
      </c>
      <c r="AW280" s="3" t="s">
        <v>330</v>
      </c>
      <c r="AX280" s="3">
        <f t="shared" si="68"/>
        <v>60</v>
      </c>
      <c r="AY280" s="3" t="str">
        <f t="shared" si="69"/>
        <v>C</v>
      </c>
      <c r="AZ280" s="3" t="s">
        <v>386</v>
      </c>
      <c r="BA280" s="3"/>
    </row>
    <row r="281" spans="1:53" ht="27.6">
      <c r="A281" t="s">
        <v>589</v>
      </c>
      <c r="B281" t="s">
        <v>242</v>
      </c>
      <c r="C281" s="14">
        <v>881616</v>
      </c>
      <c r="D281" s="15">
        <f t="shared" si="56"/>
        <v>881.61599999999999</v>
      </c>
      <c r="E281" t="s">
        <v>232</v>
      </c>
      <c r="G281" t="s">
        <v>157</v>
      </c>
      <c r="H281" t="s">
        <v>374</v>
      </c>
      <c r="I281" s="3" t="s">
        <v>575</v>
      </c>
      <c r="J281" s="3" t="s">
        <v>576</v>
      </c>
      <c r="K281">
        <v>1</v>
      </c>
      <c r="L281" t="s">
        <v>571</v>
      </c>
      <c r="M281">
        <f t="shared" si="57"/>
        <v>2</v>
      </c>
      <c r="O281" s="16"/>
      <c r="P281" s="16" t="str">
        <f>IF(AND(ISNUMBER(O281),O281&lt;&gt;-1,O281&gt;='02_Parameters'!$B$18,O281&lt;='02_Parameters'!$B$19),O281,"")</f>
        <v/>
      </c>
      <c r="Q281" s="16"/>
      <c r="R281" t="str">
        <f>IF(B281&lt;&gt;"Sensor Snapshot","",IF(O281="","Missing",IF(O281=-1,"Sensor failure sentinel (-1)",IF(OR(O281&lt;'02_Parameters'!$B$18,O281&gt;'02_Parameters'!$B$19),"Out of accepted range","Valid"))))</f>
        <v/>
      </c>
      <c r="S281" s="16"/>
      <c r="T281" s="16" t="str">
        <f>IF(AND(ISNUMBER(S281),S281&lt;&gt;-1,S281&gt;='02_Parameters'!$B$20,S281&lt;='02_Parameters'!$B$21),S281,"")</f>
        <v/>
      </c>
      <c r="U281" s="16"/>
      <c r="V281" t="str">
        <f>IF(B281&lt;&gt;"Sensor Snapshot","",IF(S281="","Missing",IF(S281=-1,"Sensor failure sentinel (-1)",IF(OR(S281&lt;'02_Parameters'!$B$20,S281&gt;'02_Parameters'!$B$21),"Out of accepted range","Valid"))))</f>
        <v/>
      </c>
      <c r="W281" s="16"/>
      <c r="X281" s="16" t="str">
        <f t="shared" si="58"/>
        <v/>
      </c>
      <c r="Y281" t="str">
        <f t="shared" si="59"/>
        <v/>
      </c>
      <c r="Z281" s="16"/>
      <c r="AB281" t="str">
        <f>IF(B281&lt;&gt;"Sensor Snapshot","",IF(ISNUMBER(AA281),--(AA281&lt;&gt;0),IF(ISNUMBER(Z281),--(Z281&lt;'02_Parameters'!$B$15),"")))</f>
        <v/>
      </c>
      <c r="AC281" t="str">
        <f>IF(B281&lt;&gt;"Sensor Snapshot","",IF(ISNUMBER(X281),--(X281&gt;='02_Parameters'!$B$16),""))</f>
        <v/>
      </c>
      <c r="AD281">
        <v>0</v>
      </c>
      <c r="AE281" t="str">
        <f t="shared" si="60"/>
        <v/>
      </c>
      <c r="AF281" s="3" t="str">
        <f t="shared" si="61"/>
        <v/>
      </c>
      <c r="AG281" s="16"/>
      <c r="AH281" s="16" t="str">
        <f>IF(B281&lt;&gt;"Sensor Snapshot","",IF(ISNUMBER(AG281),IF(AG281&lt;0,"",IF(AG281&gt;10,AG281/'02_Parameters'!$B$17,AG281)),""))</f>
        <v/>
      </c>
      <c r="AI281" t="str">
        <f t="shared" si="62"/>
        <v/>
      </c>
      <c r="AJ281" t="str">
        <f t="shared" si="63"/>
        <v/>
      </c>
      <c r="AK281" t="str">
        <f t="shared" si="64"/>
        <v/>
      </c>
      <c r="AM281" t="str">
        <f t="shared" si="65"/>
        <v/>
      </c>
      <c r="AN281" t="str">
        <f>IF(B281&lt;&gt;"Sensor Snapshot","",--(N281&gt;='02_Parameters'!$B$13))</f>
        <v/>
      </c>
      <c r="AO281" t="str">
        <f>IF(B281&lt;&gt;"Sensor Snapshot","",--(AND(L281="PUMPING",ISNUMBER(AH281),AH281&lt;='02_Parameters'!$B$10)))</f>
        <v/>
      </c>
      <c r="AP281" s="16"/>
      <c r="AQ281" s="16" t="str">
        <f t="shared" si="66"/>
        <v/>
      </c>
      <c r="AR281" s="16" t="str">
        <f t="shared" si="67"/>
        <v/>
      </c>
      <c r="AW281" s="3" t="s">
        <v>377</v>
      </c>
      <c r="AX281" s="3" t="str">
        <f t="shared" si="68"/>
        <v/>
      </c>
      <c r="AY281" s="3" t="str">
        <f t="shared" si="69"/>
        <v/>
      </c>
      <c r="AZ281" s="3" t="s">
        <v>247</v>
      </c>
      <c r="BA281" s="3"/>
    </row>
    <row r="282" spans="1:53" ht="55.2">
      <c r="A282" t="s">
        <v>590</v>
      </c>
      <c r="B282" t="s">
        <v>231</v>
      </c>
      <c r="C282" s="14">
        <v>886616</v>
      </c>
      <c r="D282" s="15">
        <f t="shared" si="56"/>
        <v>886.61599999999999</v>
      </c>
      <c r="E282" t="s">
        <v>232</v>
      </c>
      <c r="G282" t="s">
        <v>234</v>
      </c>
      <c r="H282" t="s">
        <v>235</v>
      </c>
      <c r="I282" s="3"/>
      <c r="J282" s="3"/>
      <c r="K282">
        <v>1</v>
      </c>
      <c r="L282" t="s">
        <v>571</v>
      </c>
      <c r="M282">
        <f t="shared" si="57"/>
        <v>2</v>
      </c>
      <c r="N282">
        <v>0</v>
      </c>
      <c r="O282" s="16">
        <v>-1</v>
      </c>
      <c r="P282" s="16" t="str">
        <f>IF(AND(ISNUMBER(O282),O282&lt;&gt;-1,O282&gt;='02_Parameters'!$B$18,O282&lt;='02_Parameters'!$B$19),O282,"")</f>
        <v/>
      </c>
      <c r="Q282" s="16">
        <v>28.8</v>
      </c>
      <c r="R282" t="str">
        <f>IF(B282&lt;&gt;"Sensor Snapshot","",IF(O282="","Missing",IF(O282=-1,"Sensor failure sentinel (-1)",IF(OR(O282&lt;'02_Parameters'!$B$18,O282&gt;'02_Parameters'!$B$19),"Out of accepted range","Valid"))))</f>
        <v>Sensor failure sentinel (-1)</v>
      </c>
      <c r="S282" s="16">
        <v>-1</v>
      </c>
      <c r="T282" s="16" t="str">
        <f>IF(AND(ISNUMBER(S282),S282&lt;&gt;-1,S282&gt;='02_Parameters'!$B$20,S282&lt;='02_Parameters'!$B$21),S282,"")</f>
        <v/>
      </c>
      <c r="U282" s="16">
        <v>68.7</v>
      </c>
      <c r="V282" t="str">
        <f>IF(B282&lt;&gt;"Sensor Snapshot","",IF(S282="","Missing",IF(S282=-1,"Sensor failure sentinel (-1)",IF(OR(S282&lt;'02_Parameters'!$B$20,S282&gt;'02_Parameters'!$B$21),"Out of accepted range","Valid"))))</f>
        <v>Sensor failure sentinel (-1)</v>
      </c>
      <c r="W282" s="16">
        <v>-2.1</v>
      </c>
      <c r="X282" s="16">
        <f t="shared" si="58"/>
        <v>2.1</v>
      </c>
      <c r="Y282" t="str">
        <f t="shared" si="59"/>
        <v>Sign corrected to positive</v>
      </c>
      <c r="Z282" s="16"/>
      <c r="AA282">
        <v>1</v>
      </c>
      <c r="AB282">
        <f>IF(B282&lt;&gt;"Sensor Snapshot","",IF(ISNUMBER(AA282),--(AA282&lt;&gt;0),IF(ISNUMBER(Z282),--(Z282&lt;'02_Parameters'!$B$15),"")))</f>
        <v>1</v>
      </c>
      <c r="AC282">
        <f>IF(B282&lt;&gt;"Sensor Snapshot","",IF(ISNUMBER(X282),--(X282&gt;='02_Parameters'!$B$16),""))</f>
        <v>0</v>
      </c>
      <c r="AD282">
        <v>0</v>
      </c>
      <c r="AE282">
        <f t="shared" si="60"/>
        <v>0</v>
      </c>
      <c r="AF282" s="3" t="str">
        <f t="shared" si="61"/>
        <v>Partial detection only</v>
      </c>
      <c r="AG282" s="16">
        <v>73.466999999999999</v>
      </c>
      <c r="AH282" s="16">
        <f>IF(B282&lt;&gt;"Sensor Snapshot","",IF(ISNUMBER(AG282),IF(AG282&lt;0,"",IF(AG282&gt;10,AG282/'02_Parameters'!$B$17,AG282)),""))</f>
        <v>0.73466999999999993</v>
      </c>
      <c r="AI282" t="str">
        <f t="shared" si="62"/>
        <v>Normalized from high-scale log</v>
      </c>
      <c r="AJ282">
        <f t="shared" si="63"/>
        <v>1</v>
      </c>
      <c r="AK282">
        <f t="shared" si="64"/>
        <v>0</v>
      </c>
      <c r="AL282">
        <v>0</v>
      </c>
      <c r="AM282">
        <f t="shared" si="65"/>
        <v>0</v>
      </c>
      <c r="AN282">
        <f>IF(B282&lt;&gt;"Sensor Snapshot","",--(N282&gt;='02_Parameters'!$B$13))</f>
        <v>0</v>
      </c>
      <c r="AO282">
        <f>IF(B282&lt;&gt;"Sensor Snapshot","",--(AND(L282="PUMPING",ISNUMBER(AH282),AH282&lt;='02_Parameters'!$B$10)))</f>
        <v>0</v>
      </c>
      <c r="AP282" s="16"/>
      <c r="AQ282" s="16" t="str">
        <f t="shared" si="66"/>
        <v/>
      </c>
      <c r="AR282" s="16" t="str">
        <f t="shared" si="67"/>
        <v/>
      </c>
      <c r="AU282" t="s">
        <v>236</v>
      </c>
      <c r="AV282" t="s">
        <v>237</v>
      </c>
      <c r="AW282" s="3" t="s">
        <v>330</v>
      </c>
      <c r="AX282" s="3">
        <f t="shared" si="68"/>
        <v>60</v>
      </c>
      <c r="AY282" s="3" t="str">
        <f t="shared" si="69"/>
        <v>C</v>
      </c>
      <c r="AZ282" s="3" t="s">
        <v>386</v>
      </c>
      <c r="BA282" s="3"/>
    </row>
    <row r="283" spans="1:53" ht="27.6">
      <c r="A283" t="s">
        <v>591</v>
      </c>
      <c r="B283" t="s">
        <v>242</v>
      </c>
      <c r="C283" s="14">
        <v>886616</v>
      </c>
      <c r="D283" s="15">
        <f t="shared" si="56"/>
        <v>886.61599999999999</v>
      </c>
      <c r="E283" t="s">
        <v>232</v>
      </c>
      <c r="G283" t="s">
        <v>157</v>
      </c>
      <c r="H283" t="s">
        <v>374</v>
      </c>
      <c r="I283" s="3" t="s">
        <v>575</v>
      </c>
      <c r="J283" s="3" t="s">
        <v>576</v>
      </c>
      <c r="K283">
        <v>1</v>
      </c>
      <c r="L283" t="s">
        <v>571</v>
      </c>
      <c r="M283">
        <f t="shared" si="57"/>
        <v>2</v>
      </c>
      <c r="O283" s="16"/>
      <c r="P283" s="16" t="str">
        <f>IF(AND(ISNUMBER(O283),O283&lt;&gt;-1,O283&gt;='02_Parameters'!$B$18,O283&lt;='02_Parameters'!$B$19),O283,"")</f>
        <v/>
      </c>
      <c r="Q283" s="16"/>
      <c r="R283" t="str">
        <f>IF(B283&lt;&gt;"Sensor Snapshot","",IF(O283="","Missing",IF(O283=-1,"Sensor failure sentinel (-1)",IF(OR(O283&lt;'02_Parameters'!$B$18,O283&gt;'02_Parameters'!$B$19),"Out of accepted range","Valid"))))</f>
        <v/>
      </c>
      <c r="S283" s="16"/>
      <c r="T283" s="16" t="str">
        <f>IF(AND(ISNUMBER(S283),S283&lt;&gt;-1,S283&gt;='02_Parameters'!$B$20,S283&lt;='02_Parameters'!$B$21),S283,"")</f>
        <v/>
      </c>
      <c r="U283" s="16"/>
      <c r="V283" t="str">
        <f>IF(B283&lt;&gt;"Sensor Snapshot","",IF(S283="","Missing",IF(S283=-1,"Sensor failure sentinel (-1)",IF(OR(S283&lt;'02_Parameters'!$B$20,S283&gt;'02_Parameters'!$B$21),"Out of accepted range","Valid"))))</f>
        <v/>
      </c>
      <c r="W283" s="16"/>
      <c r="X283" s="16" t="str">
        <f t="shared" si="58"/>
        <v/>
      </c>
      <c r="Y283" t="str">
        <f t="shared" si="59"/>
        <v/>
      </c>
      <c r="Z283" s="16"/>
      <c r="AB283" t="str">
        <f>IF(B283&lt;&gt;"Sensor Snapshot","",IF(ISNUMBER(AA283),--(AA283&lt;&gt;0),IF(ISNUMBER(Z283),--(Z283&lt;'02_Parameters'!$B$15),"")))</f>
        <v/>
      </c>
      <c r="AC283" t="str">
        <f>IF(B283&lt;&gt;"Sensor Snapshot","",IF(ISNUMBER(X283),--(X283&gt;='02_Parameters'!$B$16),""))</f>
        <v/>
      </c>
      <c r="AD283">
        <v>0</v>
      </c>
      <c r="AE283" t="str">
        <f t="shared" si="60"/>
        <v/>
      </c>
      <c r="AF283" s="3" t="str">
        <f t="shared" si="61"/>
        <v/>
      </c>
      <c r="AG283" s="16"/>
      <c r="AH283" s="16" t="str">
        <f>IF(B283&lt;&gt;"Sensor Snapshot","",IF(ISNUMBER(AG283),IF(AG283&lt;0,"",IF(AG283&gt;10,AG283/'02_Parameters'!$B$17,AG283)),""))</f>
        <v/>
      </c>
      <c r="AI283" t="str">
        <f t="shared" si="62"/>
        <v/>
      </c>
      <c r="AJ283" t="str">
        <f t="shared" si="63"/>
        <v/>
      </c>
      <c r="AK283" t="str">
        <f t="shared" si="64"/>
        <v/>
      </c>
      <c r="AM283" t="str">
        <f t="shared" si="65"/>
        <v/>
      </c>
      <c r="AN283" t="str">
        <f>IF(B283&lt;&gt;"Sensor Snapshot","",--(N283&gt;='02_Parameters'!$B$13))</f>
        <v/>
      </c>
      <c r="AO283" t="str">
        <f>IF(B283&lt;&gt;"Sensor Snapshot","",--(AND(L283="PUMPING",ISNUMBER(AH283),AH283&lt;='02_Parameters'!$B$10)))</f>
        <v/>
      </c>
      <c r="AP283" s="16"/>
      <c r="AQ283" s="16" t="str">
        <f t="shared" si="66"/>
        <v/>
      </c>
      <c r="AR283" s="16" t="str">
        <f t="shared" si="67"/>
        <v/>
      </c>
      <c r="AW283" s="3" t="s">
        <v>377</v>
      </c>
      <c r="AX283" s="3" t="str">
        <f t="shared" si="68"/>
        <v/>
      </c>
      <c r="AY283" s="3" t="str">
        <f t="shared" si="69"/>
        <v/>
      </c>
      <c r="AZ283" s="3" t="s">
        <v>247</v>
      </c>
      <c r="BA283" s="3"/>
    </row>
    <row r="284" spans="1:53" ht="55.2">
      <c r="A284" t="s">
        <v>592</v>
      </c>
      <c r="B284" t="s">
        <v>231</v>
      </c>
      <c r="C284" s="14">
        <v>891633</v>
      </c>
      <c r="D284" s="15">
        <f t="shared" si="56"/>
        <v>891.63300000000004</v>
      </c>
      <c r="E284" t="s">
        <v>232</v>
      </c>
      <c r="G284" t="s">
        <v>234</v>
      </c>
      <c r="H284" t="s">
        <v>235</v>
      </c>
      <c r="I284" s="3"/>
      <c r="J284" s="3"/>
      <c r="K284">
        <v>1</v>
      </c>
      <c r="L284" t="s">
        <v>571</v>
      </c>
      <c r="M284">
        <f t="shared" si="57"/>
        <v>2</v>
      </c>
      <c r="N284">
        <v>0</v>
      </c>
      <c r="O284" s="16">
        <v>-1</v>
      </c>
      <c r="P284" s="16" t="str">
        <f>IF(AND(ISNUMBER(O284),O284&lt;&gt;-1,O284&gt;='02_Parameters'!$B$18,O284&lt;='02_Parameters'!$B$19),O284,"")</f>
        <v/>
      </c>
      <c r="Q284" s="16">
        <v>28.8</v>
      </c>
      <c r="R284" t="str">
        <f>IF(B284&lt;&gt;"Sensor Snapshot","",IF(O284="","Missing",IF(O284=-1,"Sensor failure sentinel (-1)",IF(OR(O284&lt;'02_Parameters'!$B$18,O284&gt;'02_Parameters'!$B$19),"Out of accepted range","Valid"))))</f>
        <v>Sensor failure sentinel (-1)</v>
      </c>
      <c r="S284" s="16">
        <v>-1</v>
      </c>
      <c r="T284" s="16" t="str">
        <f>IF(AND(ISNUMBER(S284),S284&lt;&gt;-1,S284&gt;='02_Parameters'!$B$20,S284&lt;='02_Parameters'!$B$21),S284,"")</f>
        <v/>
      </c>
      <c r="U284" s="16">
        <v>68.7</v>
      </c>
      <c r="V284" t="str">
        <f>IF(B284&lt;&gt;"Sensor Snapshot","",IF(S284="","Missing",IF(S284=-1,"Sensor failure sentinel (-1)",IF(OR(S284&lt;'02_Parameters'!$B$20,S284&gt;'02_Parameters'!$B$21),"Out of accepted range","Valid"))))</f>
        <v>Sensor failure sentinel (-1)</v>
      </c>
      <c r="W284" s="16">
        <v>-2</v>
      </c>
      <c r="X284" s="16">
        <f t="shared" si="58"/>
        <v>2</v>
      </c>
      <c r="Y284" t="str">
        <f t="shared" si="59"/>
        <v>Sign corrected to positive</v>
      </c>
      <c r="Z284" s="16"/>
      <c r="AA284">
        <v>1</v>
      </c>
      <c r="AB284">
        <f>IF(B284&lt;&gt;"Sensor Snapshot","",IF(ISNUMBER(AA284),--(AA284&lt;&gt;0),IF(ISNUMBER(Z284),--(Z284&lt;'02_Parameters'!$B$15),"")))</f>
        <v>1</v>
      </c>
      <c r="AC284">
        <f>IF(B284&lt;&gt;"Sensor Snapshot","",IF(ISNUMBER(X284),--(X284&gt;='02_Parameters'!$B$16),""))</f>
        <v>0</v>
      </c>
      <c r="AD284">
        <v>0</v>
      </c>
      <c r="AE284">
        <f t="shared" si="60"/>
        <v>0</v>
      </c>
      <c r="AF284" s="3" t="str">
        <f t="shared" si="61"/>
        <v>Partial detection only</v>
      </c>
      <c r="AG284" s="16">
        <v>69.2</v>
      </c>
      <c r="AH284" s="16">
        <f>IF(B284&lt;&gt;"Sensor Snapshot","",IF(ISNUMBER(AG284),IF(AG284&lt;0,"",IF(AG284&gt;10,AG284/'02_Parameters'!$B$17,AG284)),""))</f>
        <v>0.69200000000000006</v>
      </c>
      <c r="AI284" t="str">
        <f t="shared" si="62"/>
        <v>Normalized from high-scale log</v>
      </c>
      <c r="AJ284">
        <f t="shared" si="63"/>
        <v>1</v>
      </c>
      <c r="AK284">
        <f t="shared" si="64"/>
        <v>0</v>
      </c>
      <c r="AL284">
        <v>0</v>
      </c>
      <c r="AM284">
        <f t="shared" si="65"/>
        <v>0</v>
      </c>
      <c r="AN284">
        <f>IF(B284&lt;&gt;"Sensor Snapshot","",--(N284&gt;='02_Parameters'!$B$13))</f>
        <v>0</v>
      </c>
      <c r="AO284">
        <f>IF(B284&lt;&gt;"Sensor Snapshot","",--(AND(L284="PUMPING",ISNUMBER(AH284),AH284&lt;='02_Parameters'!$B$10)))</f>
        <v>0</v>
      </c>
      <c r="AP284" s="16"/>
      <c r="AQ284" s="16" t="str">
        <f t="shared" si="66"/>
        <v/>
      </c>
      <c r="AR284" s="16" t="str">
        <f t="shared" si="67"/>
        <v/>
      </c>
      <c r="AU284" t="s">
        <v>236</v>
      </c>
      <c r="AV284" t="s">
        <v>237</v>
      </c>
      <c r="AW284" s="3" t="s">
        <v>330</v>
      </c>
      <c r="AX284" s="3">
        <f t="shared" si="68"/>
        <v>60</v>
      </c>
      <c r="AY284" s="3" t="str">
        <f t="shared" si="69"/>
        <v>C</v>
      </c>
      <c r="AZ284" s="3" t="s">
        <v>386</v>
      </c>
      <c r="BA284" s="3"/>
    </row>
    <row r="285" spans="1:53" ht="27.6">
      <c r="A285" t="s">
        <v>593</v>
      </c>
      <c r="B285" t="s">
        <v>242</v>
      </c>
      <c r="C285" s="14">
        <v>891633</v>
      </c>
      <c r="D285" s="15">
        <f t="shared" si="56"/>
        <v>891.63300000000004</v>
      </c>
      <c r="E285" t="s">
        <v>232</v>
      </c>
      <c r="G285" t="s">
        <v>157</v>
      </c>
      <c r="H285" t="s">
        <v>374</v>
      </c>
      <c r="I285" s="3" t="s">
        <v>575</v>
      </c>
      <c r="J285" s="3" t="s">
        <v>576</v>
      </c>
      <c r="K285">
        <v>1</v>
      </c>
      <c r="L285" t="s">
        <v>571</v>
      </c>
      <c r="M285">
        <f t="shared" si="57"/>
        <v>2</v>
      </c>
      <c r="O285" s="16"/>
      <c r="P285" s="16" t="str">
        <f>IF(AND(ISNUMBER(O285),O285&lt;&gt;-1,O285&gt;='02_Parameters'!$B$18,O285&lt;='02_Parameters'!$B$19),O285,"")</f>
        <v/>
      </c>
      <c r="Q285" s="16"/>
      <c r="R285" t="str">
        <f>IF(B285&lt;&gt;"Sensor Snapshot","",IF(O285="","Missing",IF(O285=-1,"Sensor failure sentinel (-1)",IF(OR(O285&lt;'02_Parameters'!$B$18,O285&gt;'02_Parameters'!$B$19),"Out of accepted range","Valid"))))</f>
        <v/>
      </c>
      <c r="S285" s="16"/>
      <c r="T285" s="16" t="str">
        <f>IF(AND(ISNUMBER(S285),S285&lt;&gt;-1,S285&gt;='02_Parameters'!$B$20,S285&lt;='02_Parameters'!$B$21),S285,"")</f>
        <v/>
      </c>
      <c r="U285" s="16"/>
      <c r="V285" t="str">
        <f>IF(B285&lt;&gt;"Sensor Snapshot","",IF(S285="","Missing",IF(S285=-1,"Sensor failure sentinel (-1)",IF(OR(S285&lt;'02_Parameters'!$B$20,S285&gt;'02_Parameters'!$B$21),"Out of accepted range","Valid"))))</f>
        <v/>
      </c>
      <c r="W285" s="16"/>
      <c r="X285" s="16" t="str">
        <f t="shared" si="58"/>
        <v/>
      </c>
      <c r="Y285" t="str">
        <f t="shared" si="59"/>
        <v/>
      </c>
      <c r="Z285" s="16"/>
      <c r="AB285" t="str">
        <f>IF(B285&lt;&gt;"Sensor Snapshot","",IF(ISNUMBER(AA285),--(AA285&lt;&gt;0),IF(ISNUMBER(Z285),--(Z285&lt;'02_Parameters'!$B$15),"")))</f>
        <v/>
      </c>
      <c r="AC285" t="str">
        <f>IF(B285&lt;&gt;"Sensor Snapshot","",IF(ISNUMBER(X285),--(X285&gt;='02_Parameters'!$B$16),""))</f>
        <v/>
      </c>
      <c r="AD285">
        <v>0</v>
      </c>
      <c r="AE285" t="str">
        <f t="shared" si="60"/>
        <v/>
      </c>
      <c r="AF285" s="3" t="str">
        <f t="shared" si="61"/>
        <v/>
      </c>
      <c r="AG285" s="16"/>
      <c r="AH285" s="16" t="str">
        <f>IF(B285&lt;&gt;"Sensor Snapshot","",IF(ISNUMBER(AG285),IF(AG285&lt;0,"",IF(AG285&gt;10,AG285/'02_Parameters'!$B$17,AG285)),""))</f>
        <v/>
      </c>
      <c r="AI285" t="str">
        <f t="shared" si="62"/>
        <v/>
      </c>
      <c r="AJ285" t="str">
        <f t="shared" si="63"/>
        <v/>
      </c>
      <c r="AK285" t="str">
        <f t="shared" si="64"/>
        <v/>
      </c>
      <c r="AM285" t="str">
        <f t="shared" si="65"/>
        <v/>
      </c>
      <c r="AN285" t="str">
        <f>IF(B285&lt;&gt;"Sensor Snapshot","",--(N285&gt;='02_Parameters'!$B$13))</f>
        <v/>
      </c>
      <c r="AO285" t="str">
        <f>IF(B285&lt;&gt;"Sensor Snapshot","",--(AND(L285="PUMPING",ISNUMBER(AH285),AH285&lt;='02_Parameters'!$B$10)))</f>
        <v/>
      </c>
      <c r="AP285" s="16"/>
      <c r="AQ285" s="16" t="str">
        <f t="shared" si="66"/>
        <v/>
      </c>
      <c r="AR285" s="16" t="str">
        <f t="shared" si="67"/>
        <v/>
      </c>
      <c r="AW285" s="3" t="s">
        <v>377</v>
      </c>
      <c r="AX285" s="3" t="str">
        <f t="shared" si="68"/>
        <v/>
      </c>
      <c r="AY285" s="3" t="str">
        <f t="shared" si="69"/>
        <v/>
      </c>
      <c r="AZ285" s="3" t="s">
        <v>247</v>
      </c>
      <c r="BA285" s="3"/>
    </row>
    <row r="286" spans="1:53" ht="55.2">
      <c r="A286" t="s">
        <v>594</v>
      </c>
      <c r="B286" t="s">
        <v>231</v>
      </c>
      <c r="C286" s="14">
        <v>896633</v>
      </c>
      <c r="D286" s="15">
        <f t="shared" si="56"/>
        <v>896.63300000000004</v>
      </c>
      <c r="E286" t="s">
        <v>232</v>
      </c>
      <c r="G286" t="s">
        <v>234</v>
      </c>
      <c r="H286" t="s">
        <v>235</v>
      </c>
      <c r="I286" s="3"/>
      <c r="J286" s="3"/>
      <c r="K286">
        <v>1</v>
      </c>
      <c r="L286" t="s">
        <v>571</v>
      </c>
      <c r="M286">
        <f t="shared" si="57"/>
        <v>2</v>
      </c>
      <c r="N286">
        <v>0</v>
      </c>
      <c r="O286" s="16">
        <v>-1</v>
      </c>
      <c r="P286" s="16" t="str">
        <f>IF(AND(ISNUMBER(O286),O286&lt;&gt;-1,O286&gt;='02_Parameters'!$B$18,O286&lt;='02_Parameters'!$B$19),O286,"")</f>
        <v/>
      </c>
      <c r="Q286" s="16">
        <v>28.8</v>
      </c>
      <c r="R286" t="str">
        <f>IF(B286&lt;&gt;"Sensor Snapshot","",IF(O286="","Missing",IF(O286=-1,"Sensor failure sentinel (-1)",IF(OR(O286&lt;'02_Parameters'!$B$18,O286&gt;'02_Parameters'!$B$19),"Out of accepted range","Valid"))))</f>
        <v>Sensor failure sentinel (-1)</v>
      </c>
      <c r="S286" s="16">
        <v>-1</v>
      </c>
      <c r="T286" s="16" t="str">
        <f>IF(AND(ISNUMBER(S286),S286&lt;&gt;-1,S286&gt;='02_Parameters'!$B$20,S286&lt;='02_Parameters'!$B$21),S286,"")</f>
        <v/>
      </c>
      <c r="U286" s="16">
        <v>68.7</v>
      </c>
      <c r="V286" t="str">
        <f>IF(B286&lt;&gt;"Sensor Snapshot","",IF(S286="","Missing",IF(S286=-1,"Sensor failure sentinel (-1)",IF(OR(S286&lt;'02_Parameters'!$B$20,S286&gt;'02_Parameters'!$B$21),"Out of accepted range","Valid"))))</f>
        <v>Sensor failure sentinel (-1)</v>
      </c>
      <c r="W286" s="16">
        <v>-2</v>
      </c>
      <c r="X286" s="16">
        <f t="shared" si="58"/>
        <v>2</v>
      </c>
      <c r="Y286" t="str">
        <f t="shared" si="59"/>
        <v>Sign corrected to positive</v>
      </c>
      <c r="Z286" s="16"/>
      <c r="AA286">
        <v>1</v>
      </c>
      <c r="AB286">
        <f>IF(B286&lt;&gt;"Sensor Snapshot","",IF(ISNUMBER(AA286),--(AA286&lt;&gt;0),IF(ISNUMBER(Z286),--(Z286&lt;'02_Parameters'!$B$15),"")))</f>
        <v>1</v>
      </c>
      <c r="AC286">
        <f>IF(B286&lt;&gt;"Sensor Snapshot","",IF(ISNUMBER(X286),--(X286&gt;='02_Parameters'!$B$16),""))</f>
        <v>0</v>
      </c>
      <c r="AD286">
        <v>0</v>
      </c>
      <c r="AE286">
        <f t="shared" si="60"/>
        <v>0</v>
      </c>
      <c r="AF286" s="3" t="str">
        <f t="shared" si="61"/>
        <v>Partial detection only</v>
      </c>
      <c r="AG286" s="16">
        <v>73.2</v>
      </c>
      <c r="AH286" s="16">
        <f>IF(B286&lt;&gt;"Sensor Snapshot","",IF(ISNUMBER(AG286),IF(AG286&lt;0,"",IF(AG286&gt;10,AG286/'02_Parameters'!$B$17,AG286)),""))</f>
        <v>0.73199999999999998</v>
      </c>
      <c r="AI286" t="str">
        <f t="shared" si="62"/>
        <v>Normalized from high-scale log</v>
      </c>
      <c r="AJ286">
        <f t="shared" si="63"/>
        <v>1</v>
      </c>
      <c r="AK286">
        <f t="shared" si="64"/>
        <v>0</v>
      </c>
      <c r="AL286">
        <v>0</v>
      </c>
      <c r="AM286">
        <f t="shared" si="65"/>
        <v>0</v>
      </c>
      <c r="AN286">
        <f>IF(B286&lt;&gt;"Sensor Snapshot","",--(N286&gt;='02_Parameters'!$B$13))</f>
        <v>0</v>
      </c>
      <c r="AO286">
        <f>IF(B286&lt;&gt;"Sensor Snapshot","",--(AND(L286="PUMPING",ISNUMBER(AH286),AH286&lt;='02_Parameters'!$B$10)))</f>
        <v>0</v>
      </c>
      <c r="AP286" s="16"/>
      <c r="AQ286" s="16" t="str">
        <f t="shared" si="66"/>
        <v/>
      </c>
      <c r="AR286" s="16" t="str">
        <f t="shared" si="67"/>
        <v/>
      </c>
      <c r="AU286" t="s">
        <v>236</v>
      </c>
      <c r="AV286" t="s">
        <v>237</v>
      </c>
      <c r="AW286" s="3" t="s">
        <v>330</v>
      </c>
      <c r="AX286" s="3">
        <f t="shared" si="68"/>
        <v>60</v>
      </c>
      <c r="AY286" s="3" t="str">
        <f t="shared" si="69"/>
        <v>C</v>
      </c>
      <c r="AZ286" s="3" t="s">
        <v>386</v>
      </c>
      <c r="BA286" s="3"/>
    </row>
    <row r="287" spans="1:53" ht="27.6">
      <c r="A287" t="s">
        <v>595</v>
      </c>
      <c r="B287" t="s">
        <v>242</v>
      </c>
      <c r="C287" s="14">
        <v>896633</v>
      </c>
      <c r="D287" s="15">
        <f t="shared" si="56"/>
        <v>896.63300000000004</v>
      </c>
      <c r="E287" t="s">
        <v>232</v>
      </c>
      <c r="G287" t="s">
        <v>157</v>
      </c>
      <c r="H287" t="s">
        <v>374</v>
      </c>
      <c r="I287" s="3" t="s">
        <v>575</v>
      </c>
      <c r="J287" s="3" t="s">
        <v>576</v>
      </c>
      <c r="K287">
        <v>1</v>
      </c>
      <c r="L287" t="s">
        <v>571</v>
      </c>
      <c r="M287">
        <f t="shared" si="57"/>
        <v>2</v>
      </c>
      <c r="O287" s="16"/>
      <c r="P287" s="16" t="str">
        <f>IF(AND(ISNUMBER(O287),O287&lt;&gt;-1,O287&gt;='02_Parameters'!$B$18,O287&lt;='02_Parameters'!$B$19),O287,"")</f>
        <v/>
      </c>
      <c r="Q287" s="16"/>
      <c r="R287" t="str">
        <f>IF(B287&lt;&gt;"Sensor Snapshot","",IF(O287="","Missing",IF(O287=-1,"Sensor failure sentinel (-1)",IF(OR(O287&lt;'02_Parameters'!$B$18,O287&gt;'02_Parameters'!$B$19),"Out of accepted range","Valid"))))</f>
        <v/>
      </c>
      <c r="S287" s="16"/>
      <c r="T287" s="16" t="str">
        <f>IF(AND(ISNUMBER(S287),S287&lt;&gt;-1,S287&gt;='02_Parameters'!$B$20,S287&lt;='02_Parameters'!$B$21),S287,"")</f>
        <v/>
      </c>
      <c r="U287" s="16"/>
      <c r="V287" t="str">
        <f>IF(B287&lt;&gt;"Sensor Snapshot","",IF(S287="","Missing",IF(S287=-1,"Sensor failure sentinel (-1)",IF(OR(S287&lt;'02_Parameters'!$B$20,S287&gt;'02_Parameters'!$B$21),"Out of accepted range","Valid"))))</f>
        <v/>
      </c>
      <c r="W287" s="16"/>
      <c r="X287" s="16" t="str">
        <f t="shared" si="58"/>
        <v/>
      </c>
      <c r="Y287" t="str">
        <f t="shared" si="59"/>
        <v/>
      </c>
      <c r="Z287" s="16"/>
      <c r="AB287" t="str">
        <f>IF(B287&lt;&gt;"Sensor Snapshot","",IF(ISNUMBER(AA287),--(AA287&lt;&gt;0),IF(ISNUMBER(Z287),--(Z287&lt;'02_Parameters'!$B$15),"")))</f>
        <v/>
      </c>
      <c r="AC287" t="str">
        <f>IF(B287&lt;&gt;"Sensor Snapshot","",IF(ISNUMBER(X287),--(X287&gt;='02_Parameters'!$B$16),""))</f>
        <v/>
      </c>
      <c r="AD287">
        <v>0</v>
      </c>
      <c r="AE287" t="str">
        <f t="shared" si="60"/>
        <v/>
      </c>
      <c r="AF287" s="3" t="str">
        <f t="shared" si="61"/>
        <v/>
      </c>
      <c r="AG287" s="16"/>
      <c r="AH287" s="16" t="str">
        <f>IF(B287&lt;&gt;"Sensor Snapshot","",IF(ISNUMBER(AG287),IF(AG287&lt;0,"",IF(AG287&gt;10,AG287/'02_Parameters'!$B$17,AG287)),""))</f>
        <v/>
      </c>
      <c r="AI287" t="str">
        <f t="shared" si="62"/>
        <v/>
      </c>
      <c r="AJ287" t="str">
        <f t="shared" si="63"/>
        <v/>
      </c>
      <c r="AK287" t="str">
        <f t="shared" si="64"/>
        <v/>
      </c>
      <c r="AM287" t="str">
        <f t="shared" si="65"/>
        <v/>
      </c>
      <c r="AN287" t="str">
        <f>IF(B287&lt;&gt;"Sensor Snapshot","",--(N287&gt;='02_Parameters'!$B$13))</f>
        <v/>
      </c>
      <c r="AO287" t="str">
        <f>IF(B287&lt;&gt;"Sensor Snapshot","",--(AND(L287="PUMPING",ISNUMBER(AH287),AH287&lt;='02_Parameters'!$B$10)))</f>
        <v/>
      </c>
      <c r="AP287" s="16"/>
      <c r="AQ287" s="16" t="str">
        <f t="shared" si="66"/>
        <v/>
      </c>
      <c r="AR287" s="16" t="str">
        <f t="shared" si="67"/>
        <v/>
      </c>
      <c r="AW287" s="3" t="s">
        <v>377</v>
      </c>
      <c r="AX287" s="3" t="str">
        <f t="shared" si="68"/>
        <v/>
      </c>
      <c r="AY287" s="3" t="str">
        <f t="shared" si="69"/>
        <v/>
      </c>
      <c r="AZ287" s="3" t="s">
        <v>247</v>
      </c>
      <c r="BA287" s="3"/>
    </row>
    <row r="288" spans="1:53" ht="55.2">
      <c r="A288" t="s">
        <v>596</v>
      </c>
      <c r="B288" t="s">
        <v>231</v>
      </c>
      <c r="C288" s="14">
        <v>901634</v>
      </c>
      <c r="D288" s="15">
        <f t="shared" si="56"/>
        <v>901.63400000000001</v>
      </c>
      <c r="E288" t="s">
        <v>232</v>
      </c>
      <c r="G288" t="s">
        <v>234</v>
      </c>
      <c r="H288" t="s">
        <v>235</v>
      </c>
      <c r="I288" s="3"/>
      <c r="J288" s="3"/>
      <c r="K288">
        <v>1</v>
      </c>
      <c r="L288" t="s">
        <v>571</v>
      </c>
      <c r="M288">
        <f t="shared" si="57"/>
        <v>2</v>
      </c>
      <c r="N288">
        <v>0</v>
      </c>
      <c r="O288" s="16">
        <v>-1</v>
      </c>
      <c r="P288" s="16" t="str">
        <f>IF(AND(ISNUMBER(O288),O288&lt;&gt;-1,O288&gt;='02_Parameters'!$B$18,O288&lt;='02_Parameters'!$B$19),O288,"")</f>
        <v/>
      </c>
      <c r="Q288" s="16">
        <v>28.8</v>
      </c>
      <c r="R288" t="str">
        <f>IF(B288&lt;&gt;"Sensor Snapshot","",IF(O288="","Missing",IF(O288=-1,"Sensor failure sentinel (-1)",IF(OR(O288&lt;'02_Parameters'!$B$18,O288&gt;'02_Parameters'!$B$19),"Out of accepted range","Valid"))))</f>
        <v>Sensor failure sentinel (-1)</v>
      </c>
      <c r="S288" s="16">
        <v>-1</v>
      </c>
      <c r="T288" s="16" t="str">
        <f>IF(AND(ISNUMBER(S288),S288&lt;&gt;-1,S288&gt;='02_Parameters'!$B$20,S288&lt;='02_Parameters'!$B$21),S288,"")</f>
        <v/>
      </c>
      <c r="U288" s="16">
        <v>68.7</v>
      </c>
      <c r="V288" t="str">
        <f>IF(B288&lt;&gt;"Sensor Snapshot","",IF(S288="","Missing",IF(S288=-1,"Sensor failure sentinel (-1)",IF(OR(S288&lt;'02_Parameters'!$B$20,S288&gt;'02_Parameters'!$B$21),"Out of accepted range","Valid"))))</f>
        <v>Sensor failure sentinel (-1)</v>
      </c>
      <c r="W288" s="16">
        <v>-2</v>
      </c>
      <c r="X288" s="16">
        <f t="shared" si="58"/>
        <v>2</v>
      </c>
      <c r="Y288" t="str">
        <f t="shared" si="59"/>
        <v>Sign corrected to positive</v>
      </c>
      <c r="Z288" s="16"/>
      <c r="AA288">
        <v>1</v>
      </c>
      <c r="AB288">
        <f>IF(B288&lt;&gt;"Sensor Snapshot","",IF(ISNUMBER(AA288),--(AA288&lt;&gt;0),IF(ISNUMBER(Z288),--(Z288&lt;'02_Parameters'!$B$15),"")))</f>
        <v>1</v>
      </c>
      <c r="AC288">
        <f>IF(B288&lt;&gt;"Sensor Snapshot","",IF(ISNUMBER(X288),--(X288&gt;='02_Parameters'!$B$16),""))</f>
        <v>0</v>
      </c>
      <c r="AD288">
        <v>0</v>
      </c>
      <c r="AE288">
        <f t="shared" si="60"/>
        <v>0</v>
      </c>
      <c r="AF288" s="3" t="str">
        <f t="shared" si="61"/>
        <v>Partial detection only</v>
      </c>
      <c r="AG288" s="16">
        <v>96.747</v>
      </c>
      <c r="AH288" s="16">
        <f>IF(B288&lt;&gt;"Sensor Snapshot","",IF(ISNUMBER(AG288),IF(AG288&lt;0,"",IF(AG288&gt;10,AG288/'02_Parameters'!$B$17,AG288)),""))</f>
        <v>0.96747000000000005</v>
      </c>
      <c r="AI288" t="str">
        <f t="shared" si="62"/>
        <v>Normalized from high-scale log</v>
      </c>
      <c r="AJ288">
        <f t="shared" si="63"/>
        <v>1</v>
      </c>
      <c r="AK288">
        <f t="shared" si="64"/>
        <v>0</v>
      </c>
      <c r="AL288">
        <v>0</v>
      </c>
      <c r="AM288">
        <f t="shared" si="65"/>
        <v>0</v>
      </c>
      <c r="AN288">
        <f>IF(B288&lt;&gt;"Sensor Snapshot","",--(N288&gt;='02_Parameters'!$B$13))</f>
        <v>0</v>
      </c>
      <c r="AO288">
        <f>IF(B288&lt;&gt;"Sensor Snapshot","",--(AND(L288="PUMPING",ISNUMBER(AH288),AH288&lt;='02_Parameters'!$B$10)))</f>
        <v>0</v>
      </c>
      <c r="AP288" s="16"/>
      <c r="AQ288" s="16" t="str">
        <f t="shared" si="66"/>
        <v/>
      </c>
      <c r="AR288" s="16" t="str">
        <f t="shared" si="67"/>
        <v/>
      </c>
      <c r="AU288" t="s">
        <v>236</v>
      </c>
      <c r="AV288" t="s">
        <v>237</v>
      </c>
      <c r="AW288" s="3" t="s">
        <v>330</v>
      </c>
      <c r="AX288" s="3">
        <f t="shared" si="68"/>
        <v>60</v>
      </c>
      <c r="AY288" s="3" t="str">
        <f t="shared" si="69"/>
        <v>C</v>
      </c>
      <c r="AZ288" s="3" t="s">
        <v>386</v>
      </c>
      <c r="BA288" s="3"/>
    </row>
    <row r="289" spans="1:53" ht="27.6">
      <c r="A289" t="s">
        <v>597</v>
      </c>
      <c r="B289" t="s">
        <v>242</v>
      </c>
      <c r="C289" s="14">
        <v>901634</v>
      </c>
      <c r="D289" s="15">
        <f t="shared" si="56"/>
        <v>901.63400000000001</v>
      </c>
      <c r="E289" t="s">
        <v>232</v>
      </c>
      <c r="G289" t="s">
        <v>157</v>
      </c>
      <c r="H289" t="s">
        <v>374</v>
      </c>
      <c r="I289" s="3" t="s">
        <v>575</v>
      </c>
      <c r="J289" s="3" t="s">
        <v>576</v>
      </c>
      <c r="K289">
        <v>1</v>
      </c>
      <c r="L289" t="s">
        <v>571</v>
      </c>
      <c r="M289">
        <f t="shared" si="57"/>
        <v>2</v>
      </c>
      <c r="O289" s="16"/>
      <c r="P289" s="16" t="str">
        <f>IF(AND(ISNUMBER(O289),O289&lt;&gt;-1,O289&gt;='02_Parameters'!$B$18,O289&lt;='02_Parameters'!$B$19),O289,"")</f>
        <v/>
      </c>
      <c r="Q289" s="16"/>
      <c r="R289" t="str">
        <f>IF(B289&lt;&gt;"Sensor Snapshot","",IF(O289="","Missing",IF(O289=-1,"Sensor failure sentinel (-1)",IF(OR(O289&lt;'02_Parameters'!$B$18,O289&gt;'02_Parameters'!$B$19),"Out of accepted range","Valid"))))</f>
        <v/>
      </c>
      <c r="S289" s="16"/>
      <c r="T289" s="16" t="str">
        <f>IF(AND(ISNUMBER(S289),S289&lt;&gt;-1,S289&gt;='02_Parameters'!$B$20,S289&lt;='02_Parameters'!$B$21),S289,"")</f>
        <v/>
      </c>
      <c r="U289" s="16"/>
      <c r="V289" t="str">
        <f>IF(B289&lt;&gt;"Sensor Snapshot","",IF(S289="","Missing",IF(S289=-1,"Sensor failure sentinel (-1)",IF(OR(S289&lt;'02_Parameters'!$B$20,S289&gt;'02_Parameters'!$B$21),"Out of accepted range","Valid"))))</f>
        <v/>
      </c>
      <c r="W289" s="16"/>
      <c r="X289" s="16" t="str">
        <f t="shared" si="58"/>
        <v/>
      </c>
      <c r="Y289" t="str">
        <f t="shared" si="59"/>
        <v/>
      </c>
      <c r="Z289" s="16"/>
      <c r="AB289" t="str">
        <f>IF(B289&lt;&gt;"Sensor Snapshot","",IF(ISNUMBER(AA289),--(AA289&lt;&gt;0),IF(ISNUMBER(Z289),--(Z289&lt;'02_Parameters'!$B$15),"")))</f>
        <v/>
      </c>
      <c r="AC289" t="str">
        <f>IF(B289&lt;&gt;"Sensor Snapshot","",IF(ISNUMBER(X289),--(X289&gt;='02_Parameters'!$B$16),""))</f>
        <v/>
      </c>
      <c r="AD289">
        <v>0</v>
      </c>
      <c r="AE289" t="str">
        <f t="shared" si="60"/>
        <v/>
      </c>
      <c r="AF289" s="3" t="str">
        <f t="shared" si="61"/>
        <v/>
      </c>
      <c r="AG289" s="16"/>
      <c r="AH289" s="16" t="str">
        <f>IF(B289&lt;&gt;"Sensor Snapshot","",IF(ISNUMBER(AG289),IF(AG289&lt;0,"",IF(AG289&gt;10,AG289/'02_Parameters'!$B$17,AG289)),""))</f>
        <v/>
      </c>
      <c r="AI289" t="str">
        <f t="shared" si="62"/>
        <v/>
      </c>
      <c r="AJ289" t="str">
        <f t="shared" si="63"/>
        <v/>
      </c>
      <c r="AK289" t="str">
        <f t="shared" si="64"/>
        <v/>
      </c>
      <c r="AM289" t="str">
        <f t="shared" si="65"/>
        <v/>
      </c>
      <c r="AN289" t="str">
        <f>IF(B289&lt;&gt;"Sensor Snapshot","",--(N289&gt;='02_Parameters'!$B$13))</f>
        <v/>
      </c>
      <c r="AO289" t="str">
        <f>IF(B289&lt;&gt;"Sensor Snapshot","",--(AND(L289="PUMPING",ISNUMBER(AH289),AH289&lt;='02_Parameters'!$B$10)))</f>
        <v/>
      </c>
      <c r="AP289" s="16"/>
      <c r="AQ289" s="16" t="str">
        <f t="shared" si="66"/>
        <v/>
      </c>
      <c r="AR289" s="16" t="str">
        <f t="shared" si="67"/>
        <v/>
      </c>
      <c r="AW289" s="3" t="s">
        <v>377</v>
      </c>
      <c r="AX289" s="3" t="str">
        <f t="shared" si="68"/>
        <v/>
      </c>
      <c r="AY289" s="3" t="str">
        <f t="shared" si="69"/>
        <v/>
      </c>
      <c r="AZ289" s="3" t="s">
        <v>247</v>
      </c>
      <c r="BA289" s="3"/>
    </row>
    <row r="290" spans="1:53" ht="41.4">
      <c r="A290" t="s">
        <v>598</v>
      </c>
      <c r="B290" t="s">
        <v>231</v>
      </c>
      <c r="C290" s="14">
        <v>906633</v>
      </c>
      <c r="D290" s="15">
        <f t="shared" si="56"/>
        <v>906.63300000000004</v>
      </c>
      <c r="E290" t="s">
        <v>232</v>
      </c>
      <c r="G290" t="s">
        <v>234</v>
      </c>
      <c r="H290" t="s">
        <v>235</v>
      </c>
      <c r="I290" s="3"/>
      <c r="J290" s="3"/>
      <c r="K290">
        <v>1</v>
      </c>
      <c r="L290" t="s">
        <v>571</v>
      </c>
      <c r="M290">
        <f t="shared" si="57"/>
        <v>2</v>
      </c>
      <c r="N290">
        <v>0</v>
      </c>
      <c r="O290" s="16">
        <v>-1</v>
      </c>
      <c r="P290" s="16" t="str">
        <f>IF(AND(ISNUMBER(O290),O290&lt;&gt;-1,O290&gt;='02_Parameters'!$B$18,O290&lt;='02_Parameters'!$B$19),O290,"")</f>
        <v/>
      </c>
      <c r="Q290" s="16">
        <v>28.8</v>
      </c>
      <c r="R290" t="str">
        <f>IF(B290&lt;&gt;"Sensor Snapshot","",IF(O290="","Missing",IF(O290=-1,"Sensor failure sentinel (-1)",IF(OR(O290&lt;'02_Parameters'!$B$18,O290&gt;'02_Parameters'!$B$19),"Out of accepted range","Valid"))))</f>
        <v>Sensor failure sentinel (-1)</v>
      </c>
      <c r="S290" s="16">
        <v>-1</v>
      </c>
      <c r="T290" s="16" t="str">
        <f>IF(AND(ISNUMBER(S290),S290&lt;&gt;-1,S290&gt;='02_Parameters'!$B$20,S290&lt;='02_Parameters'!$B$21),S290,"")</f>
        <v/>
      </c>
      <c r="U290" s="16">
        <v>68.7</v>
      </c>
      <c r="V290" t="str">
        <f>IF(B290&lt;&gt;"Sensor Snapshot","",IF(S290="","Missing",IF(S290=-1,"Sensor failure sentinel (-1)",IF(OR(S290&lt;'02_Parameters'!$B$20,S290&gt;'02_Parameters'!$B$21),"Out of accepted range","Valid"))))</f>
        <v>Sensor failure sentinel (-1)</v>
      </c>
      <c r="W290" s="16">
        <v>2.5</v>
      </c>
      <c r="X290" s="16">
        <f t="shared" si="58"/>
        <v>2.5</v>
      </c>
      <c r="Y290" t="str">
        <f t="shared" si="59"/>
        <v>Valid</v>
      </c>
      <c r="Z290" s="16"/>
      <c r="AA290">
        <v>1</v>
      </c>
      <c r="AB290">
        <f>IF(B290&lt;&gt;"Sensor Snapshot","",IF(ISNUMBER(AA290),--(AA290&lt;&gt;0),IF(ISNUMBER(Z290),--(Z290&lt;'02_Parameters'!$B$15),"")))</f>
        <v>1</v>
      </c>
      <c r="AC290">
        <f>IF(B290&lt;&gt;"Sensor Snapshot","",IF(ISNUMBER(X290),--(X290&gt;='02_Parameters'!$B$16),""))</f>
        <v>0</v>
      </c>
      <c r="AD290">
        <v>0</v>
      </c>
      <c r="AE290">
        <f t="shared" si="60"/>
        <v>0</v>
      </c>
      <c r="AF290" s="3" t="str">
        <f t="shared" si="61"/>
        <v>Partial detection only</v>
      </c>
      <c r="AG290" s="16">
        <v>261.36</v>
      </c>
      <c r="AH290" s="16">
        <f>IF(B290&lt;&gt;"Sensor Snapshot","",IF(ISNUMBER(AG290),IF(AG290&lt;0,"",IF(AG290&gt;10,AG290/'02_Parameters'!$B$17,AG290)),""))</f>
        <v>2.6135999999999999</v>
      </c>
      <c r="AI290" t="str">
        <f t="shared" si="62"/>
        <v>Normalized from high-scale log</v>
      </c>
      <c r="AJ290">
        <f t="shared" si="63"/>
        <v>1</v>
      </c>
      <c r="AK290">
        <f t="shared" si="64"/>
        <v>0</v>
      </c>
      <c r="AL290">
        <v>0</v>
      </c>
      <c r="AM290">
        <f t="shared" si="65"/>
        <v>0</v>
      </c>
      <c r="AN290">
        <f>IF(B290&lt;&gt;"Sensor Snapshot","",--(N290&gt;='02_Parameters'!$B$13))</f>
        <v>0</v>
      </c>
      <c r="AO290">
        <f>IF(B290&lt;&gt;"Sensor Snapshot","",--(AND(L290="PUMPING",ISNUMBER(AH290),AH290&lt;='02_Parameters'!$B$10)))</f>
        <v>0</v>
      </c>
      <c r="AP290" s="16"/>
      <c r="AQ290" s="16" t="str">
        <f t="shared" si="66"/>
        <v/>
      </c>
      <c r="AR290" s="16" t="str">
        <f t="shared" si="67"/>
        <v/>
      </c>
      <c r="AU290" t="s">
        <v>236</v>
      </c>
      <c r="AV290" t="s">
        <v>237</v>
      </c>
      <c r="AW290" s="3" t="s">
        <v>599</v>
      </c>
      <c r="AX290" s="3">
        <f t="shared" si="68"/>
        <v>60</v>
      </c>
      <c r="AY290" s="3" t="str">
        <f t="shared" si="69"/>
        <v>C</v>
      </c>
      <c r="AZ290" s="3" t="s">
        <v>386</v>
      </c>
      <c r="BA290" s="3"/>
    </row>
    <row r="291" spans="1:53" ht="27.6">
      <c r="A291" t="s">
        <v>600</v>
      </c>
      <c r="B291" t="s">
        <v>242</v>
      </c>
      <c r="C291" s="14">
        <v>906633</v>
      </c>
      <c r="D291" s="15">
        <f t="shared" si="56"/>
        <v>906.63300000000004</v>
      </c>
      <c r="E291" t="s">
        <v>232</v>
      </c>
      <c r="G291" t="s">
        <v>157</v>
      </c>
      <c r="H291" t="s">
        <v>374</v>
      </c>
      <c r="I291" s="3" t="s">
        <v>601</v>
      </c>
      <c r="J291" s="3" t="s">
        <v>602</v>
      </c>
      <c r="K291">
        <v>1</v>
      </c>
      <c r="L291" t="s">
        <v>571</v>
      </c>
      <c r="M291">
        <f t="shared" si="57"/>
        <v>2</v>
      </c>
      <c r="O291" s="16"/>
      <c r="P291" s="16" t="str">
        <f>IF(AND(ISNUMBER(O291),O291&lt;&gt;-1,O291&gt;='02_Parameters'!$B$18,O291&lt;='02_Parameters'!$B$19),O291,"")</f>
        <v/>
      </c>
      <c r="Q291" s="16"/>
      <c r="R291" t="str">
        <f>IF(B291&lt;&gt;"Sensor Snapshot","",IF(O291="","Missing",IF(O291=-1,"Sensor failure sentinel (-1)",IF(OR(O291&lt;'02_Parameters'!$B$18,O291&gt;'02_Parameters'!$B$19),"Out of accepted range","Valid"))))</f>
        <v/>
      </c>
      <c r="S291" s="16"/>
      <c r="T291" s="16" t="str">
        <f>IF(AND(ISNUMBER(S291),S291&lt;&gt;-1,S291&gt;='02_Parameters'!$B$20,S291&lt;='02_Parameters'!$B$21),S291,"")</f>
        <v/>
      </c>
      <c r="U291" s="16"/>
      <c r="V291" t="str">
        <f>IF(B291&lt;&gt;"Sensor Snapshot","",IF(S291="","Missing",IF(S291=-1,"Sensor failure sentinel (-1)",IF(OR(S291&lt;'02_Parameters'!$B$20,S291&gt;'02_Parameters'!$B$21),"Out of accepted range","Valid"))))</f>
        <v/>
      </c>
      <c r="W291" s="16"/>
      <c r="X291" s="16" t="str">
        <f t="shared" si="58"/>
        <v/>
      </c>
      <c r="Y291" t="str">
        <f t="shared" si="59"/>
        <v/>
      </c>
      <c r="Z291" s="16"/>
      <c r="AB291" t="str">
        <f>IF(B291&lt;&gt;"Sensor Snapshot","",IF(ISNUMBER(AA291),--(AA291&lt;&gt;0),IF(ISNUMBER(Z291),--(Z291&lt;'02_Parameters'!$B$15),"")))</f>
        <v/>
      </c>
      <c r="AC291" t="str">
        <f>IF(B291&lt;&gt;"Sensor Snapshot","",IF(ISNUMBER(X291),--(X291&gt;='02_Parameters'!$B$16),""))</f>
        <v/>
      </c>
      <c r="AD291">
        <v>0</v>
      </c>
      <c r="AE291" t="str">
        <f t="shared" si="60"/>
        <v/>
      </c>
      <c r="AF291" s="3" t="str">
        <f t="shared" si="61"/>
        <v/>
      </c>
      <c r="AG291" s="16"/>
      <c r="AH291" s="16" t="str">
        <f>IF(B291&lt;&gt;"Sensor Snapshot","",IF(ISNUMBER(AG291),IF(AG291&lt;0,"",IF(AG291&gt;10,AG291/'02_Parameters'!$B$17,AG291)),""))</f>
        <v/>
      </c>
      <c r="AI291" t="str">
        <f t="shared" si="62"/>
        <v/>
      </c>
      <c r="AJ291" t="str">
        <f t="shared" si="63"/>
        <v/>
      </c>
      <c r="AK291" t="str">
        <f t="shared" si="64"/>
        <v/>
      </c>
      <c r="AM291" t="str">
        <f t="shared" si="65"/>
        <v/>
      </c>
      <c r="AN291" t="str">
        <f>IF(B291&lt;&gt;"Sensor Snapshot","",--(N291&gt;='02_Parameters'!$B$13))</f>
        <v/>
      </c>
      <c r="AO291" t="str">
        <f>IF(B291&lt;&gt;"Sensor Snapshot","",--(AND(L291="PUMPING",ISNUMBER(AH291),AH291&lt;='02_Parameters'!$B$10)))</f>
        <v/>
      </c>
      <c r="AP291" s="16"/>
      <c r="AQ291" s="16" t="str">
        <f t="shared" si="66"/>
        <v/>
      </c>
      <c r="AR291" s="16" t="str">
        <f t="shared" si="67"/>
        <v/>
      </c>
      <c r="AW291" s="3" t="s">
        <v>377</v>
      </c>
      <c r="AX291" s="3" t="str">
        <f t="shared" si="68"/>
        <v/>
      </c>
      <c r="AY291" s="3" t="str">
        <f t="shared" si="69"/>
        <v/>
      </c>
      <c r="AZ291" s="3" t="s">
        <v>247</v>
      </c>
      <c r="BA291" s="3"/>
    </row>
    <row r="292" spans="1:53" ht="27.6">
      <c r="A292" t="s">
        <v>603</v>
      </c>
      <c r="B292" t="s">
        <v>231</v>
      </c>
      <c r="C292" s="14">
        <v>911619</v>
      </c>
      <c r="D292" s="15">
        <f t="shared" si="56"/>
        <v>911.61900000000003</v>
      </c>
      <c r="E292" t="s">
        <v>232</v>
      </c>
      <c r="G292" t="s">
        <v>234</v>
      </c>
      <c r="H292" t="s">
        <v>235</v>
      </c>
      <c r="I292" s="3"/>
      <c r="J292" s="3"/>
      <c r="K292">
        <v>1</v>
      </c>
      <c r="L292" t="s">
        <v>604</v>
      </c>
      <c r="M292">
        <f t="shared" si="57"/>
        <v>4</v>
      </c>
      <c r="N292">
        <v>0</v>
      </c>
      <c r="O292" s="16">
        <v>28.4</v>
      </c>
      <c r="P292" s="16">
        <f>IF(AND(ISNUMBER(O292),O292&lt;&gt;-1,O292&gt;='02_Parameters'!$B$18,O292&lt;='02_Parameters'!$B$19),O292,"")</f>
        <v>28.4</v>
      </c>
      <c r="Q292" s="16">
        <v>28.4</v>
      </c>
      <c r="R292" t="str">
        <f>IF(B292&lt;&gt;"Sensor Snapshot","",IF(O292="","Missing",IF(O292=-1,"Sensor failure sentinel (-1)",IF(OR(O292&lt;'02_Parameters'!$B$18,O292&gt;'02_Parameters'!$B$19),"Out of accepted range","Valid"))))</f>
        <v>Valid</v>
      </c>
      <c r="S292" s="16">
        <v>69</v>
      </c>
      <c r="T292" s="16">
        <f>IF(AND(ISNUMBER(S292),S292&lt;&gt;-1,S292&gt;='02_Parameters'!$B$20,S292&lt;='02_Parameters'!$B$21),S292,"")</f>
        <v>69</v>
      </c>
      <c r="U292" s="16">
        <v>69</v>
      </c>
      <c r="V292" t="str">
        <f>IF(B292&lt;&gt;"Sensor Snapshot","",IF(S292="","Missing",IF(S292=-1,"Sensor failure sentinel (-1)",IF(OR(S292&lt;'02_Parameters'!$B$20,S292&gt;'02_Parameters'!$B$21),"Out of accepted range","Valid"))))</f>
        <v>Valid</v>
      </c>
      <c r="W292" s="16">
        <v>-1.7</v>
      </c>
      <c r="X292" s="16">
        <f t="shared" si="58"/>
        <v>1.7</v>
      </c>
      <c r="Y292" t="str">
        <f t="shared" si="59"/>
        <v>Sign corrected to positive</v>
      </c>
      <c r="Z292" s="16"/>
      <c r="AA292">
        <v>1</v>
      </c>
      <c r="AB292">
        <f>IF(B292&lt;&gt;"Sensor Snapshot","",IF(ISNUMBER(AA292),--(AA292&lt;&gt;0),IF(ISNUMBER(Z292),--(Z292&lt;'02_Parameters'!$B$15),"")))</f>
        <v>1</v>
      </c>
      <c r="AC292">
        <f>IF(B292&lt;&gt;"Sensor Snapshot","",IF(ISNUMBER(X292),--(X292&gt;='02_Parameters'!$B$16),""))</f>
        <v>0</v>
      </c>
      <c r="AD292">
        <v>0</v>
      </c>
      <c r="AE292">
        <f t="shared" si="60"/>
        <v>0</v>
      </c>
      <c r="AF292" s="3" t="str">
        <f t="shared" si="61"/>
        <v>Partial detection only</v>
      </c>
      <c r="AG292" s="16">
        <v>394.72</v>
      </c>
      <c r="AH292" s="16">
        <f>IF(B292&lt;&gt;"Sensor Snapshot","",IF(ISNUMBER(AG292),IF(AG292&lt;0,"",IF(AG292&gt;10,AG292/'02_Parameters'!$B$17,AG292)),""))</f>
        <v>3.9472000000000005</v>
      </c>
      <c r="AI292" t="str">
        <f t="shared" si="62"/>
        <v>Normalized from high-scale log</v>
      </c>
      <c r="AJ292">
        <f t="shared" si="63"/>
        <v>0</v>
      </c>
      <c r="AK292">
        <f t="shared" si="64"/>
        <v>1</v>
      </c>
      <c r="AL292">
        <v>0</v>
      </c>
      <c r="AM292">
        <f t="shared" si="65"/>
        <v>0</v>
      </c>
      <c r="AN292">
        <f>IF(B292&lt;&gt;"Sensor Snapshot","",--(N292&gt;='02_Parameters'!$B$13))</f>
        <v>0</v>
      </c>
      <c r="AO292">
        <f>IF(B292&lt;&gt;"Sensor Snapshot","",--(AND(L292="PUMPING",ISNUMBER(AH292),AH292&lt;='02_Parameters'!$B$10)))</f>
        <v>0</v>
      </c>
      <c r="AP292" s="16"/>
      <c r="AQ292" s="16" t="str">
        <f t="shared" si="66"/>
        <v/>
      </c>
      <c r="AR292" s="16" t="str">
        <f t="shared" si="67"/>
        <v/>
      </c>
      <c r="AU292" t="s">
        <v>236</v>
      </c>
      <c r="AV292" t="s">
        <v>237</v>
      </c>
      <c r="AW292" s="3" t="s">
        <v>325</v>
      </c>
      <c r="AX292" s="3">
        <f t="shared" si="68"/>
        <v>100</v>
      </c>
      <c r="AY292" s="3" t="str">
        <f t="shared" si="69"/>
        <v>A</v>
      </c>
      <c r="AZ292" s="3" t="s">
        <v>386</v>
      </c>
      <c r="BA292" s="3"/>
    </row>
    <row r="293" spans="1:53" ht="27.6">
      <c r="A293" t="s">
        <v>605</v>
      </c>
      <c r="B293" t="s">
        <v>231</v>
      </c>
      <c r="C293" s="14">
        <v>916601</v>
      </c>
      <c r="D293" s="15">
        <f t="shared" si="56"/>
        <v>916.601</v>
      </c>
      <c r="E293" t="s">
        <v>232</v>
      </c>
      <c r="G293" t="s">
        <v>234</v>
      </c>
      <c r="H293" t="s">
        <v>235</v>
      </c>
      <c r="I293" s="3"/>
      <c r="J293" s="3"/>
      <c r="K293">
        <v>1</v>
      </c>
      <c r="L293" t="s">
        <v>604</v>
      </c>
      <c r="M293">
        <f t="shared" si="57"/>
        <v>4</v>
      </c>
      <c r="N293">
        <v>0</v>
      </c>
      <c r="O293" s="16">
        <v>28.4</v>
      </c>
      <c r="P293" s="16">
        <f>IF(AND(ISNUMBER(O293),O293&lt;&gt;-1,O293&gt;='02_Parameters'!$B$18,O293&lt;='02_Parameters'!$B$19),O293,"")</f>
        <v>28.4</v>
      </c>
      <c r="Q293" s="16">
        <v>28.4</v>
      </c>
      <c r="R293" t="str">
        <f>IF(B293&lt;&gt;"Sensor Snapshot","",IF(O293="","Missing",IF(O293=-1,"Sensor failure sentinel (-1)",IF(OR(O293&lt;'02_Parameters'!$B$18,O293&gt;'02_Parameters'!$B$19),"Out of accepted range","Valid"))))</f>
        <v>Valid</v>
      </c>
      <c r="S293" s="16">
        <v>70.900000000000006</v>
      </c>
      <c r="T293" s="16">
        <f>IF(AND(ISNUMBER(S293),S293&lt;&gt;-1,S293&gt;='02_Parameters'!$B$20,S293&lt;='02_Parameters'!$B$21),S293,"")</f>
        <v>70.900000000000006</v>
      </c>
      <c r="U293" s="16">
        <v>70.900000000000006</v>
      </c>
      <c r="V293" t="str">
        <f>IF(B293&lt;&gt;"Sensor Snapshot","",IF(S293="","Missing",IF(S293=-1,"Sensor failure sentinel (-1)",IF(OR(S293&lt;'02_Parameters'!$B$20,S293&gt;'02_Parameters'!$B$21),"Out of accepted range","Valid"))))</f>
        <v>Valid</v>
      </c>
      <c r="W293" s="16">
        <v>-1.6</v>
      </c>
      <c r="X293" s="16">
        <f t="shared" si="58"/>
        <v>1.6</v>
      </c>
      <c r="Y293" t="str">
        <f t="shared" si="59"/>
        <v>Sign corrected to positive</v>
      </c>
      <c r="Z293" s="16"/>
      <c r="AA293">
        <v>1</v>
      </c>
      <c r="AB293">
        <f>IF(B293&lt;&gt;"Sensor Snapshot","",IF(ISNUMBER(AA293),--(AA293&lt;&gt;0),IF(ISNUMBER(Z293),--(Z293&lt;'02_Parameters'!$B$15),"")))</f>
        <v>1</v>
      </c>
      <c r="AC293">
        <f>IF(B293&lt;&gt;"Sensor Snapshot","",IF(ISNUMBER(X293),--(X293&gt;='02_Parameters'!$B$16),""))</f>
        <v>0</v>
      </c>
      <c r="AD293">
        <v>0</v>
      </c>
      <c r="AE293">
        <f t="shared" si="60"/>
        <v>0</v>
      </c>
      <c r="AF293" s="3" t="str">
        <f t="shared" si="61"/>
        <v>Partial detection only</v>
      </c>
      <c r="AG293" s="16">
        <v>0.187</v>
      </c>
      <c r="AH293" s="16">
        <f>IF(B293&lt;&gt;"Sensor Snapshot","",IF(ISNUMBER(AG293),IF(AG293&lt;0,"",IF(AG293&gt;10,AG293/'02_Parameters'!$B$17,AG293)),""))</f>
        <v>0.187</v>
      </c>
      <c r="AI293" t="str">
        <f t="shared" si="62"/>
        <v>Valid</v>
      </c>
      <c r="AJ293">
        <f t="shared" si="63"/>
        <v>0</v>
      </c>
      <c r="AK293">
        <f t="shared" si="64"/>
        <v>1</v>
      </c>
      <c r="AL293">
        <v>0</v>
      </c>
      <c r="AM293">
        <f t="shared" si="65"/>
        <v>0</v>
      </c>
      <c r="AN293">
        <f>IF(B293&lt;&gt;"Sensor Snapshot","",--(N293&gt;='02_Parameters'!$B$13))</f>
        <v>0</v>
      </c>
      <c r="AO293">
        <f>IF(B293&lt;&gt;"Sensor Snapshot","",--(AND(L293="PUMPING",ISNUMBER(AH293),AH293&lt;='02_Parameters'!$B$10)))</f>
        <v>0</v>
      </c>
      <c r="AP293" s="16"/>
      <c r="AQ293" s="16" t="str">
        <f t="shared" si="66"/>
        <v/>
      </c>
      <c r="AR293" s="16" t="str">
        <f t="shared" si="67"/>
        <v/>
      </c>
      <c r="AU293" t="s">
        <v>236</v>
      </c>
      <c r="AV293" t="s">
        <v>237</v>
      </c>
      <c r="AW293" s="3" t="s">
        <v>238</v>
      </c>
      <c r="AX293" s="3">
        <f t="shared" si="68"/>
        <v>100</v>
      </c>
      <c r="AY293" s="3" t="str">
        <f t="shared" si="69"/>
        <v>A</v>
      </c>
      <c r="AZ293" s="3" t="s">
        <v>386</v>
      </c>
      <c r="BA293" s="3"/>
    </row>
    <row r="294" spans="1:53" ht="27.6">
      <c r="A294" t="s">
        <v>606</v>
      </c>
      <c r="B294" t="s">
        <v>242</v>
      </c>
      <c r="C294" s="14">
        <v>916601</v>
      </c>
      <c r="D294" s="15">
        <f t="shared" si="56"/>
        <v>916.601</v>
      </c>
      <c r="E294" t="s">
        <v>232</v>
      </c>
      <c r="G294" t="s">
        <v>157</v>
      </c>
      <c r="H294" t="s">
        <v>374</v>
      </c>
      <c r="I294" s="3" t="s">
        <v>607</v>
      </c>
      <c r="J294" s="3" t="s">
        <v>608</v>
      </c>
      <c r="K294">
        <v>1</v>
      </c>
      <c r="L294" t="s">
        <v>604</v>
      </c>
      <c r="M294">
        <f t="shared" si="57"/>
        <v>4</v>
      </c>
      <c r="O294" s="16"/>
      <c r="P294" s="16" t="str">
        <f>IF(AND(ISNUMBER(O294),O294&lt;&gt;-1,O294&gt;='02_Parameters'!$B$18,O294&lt;='02_Parameters'!$B$19),O294,"")</f>
        <v/>
      </c>
      <c r="Q294" s="16"/>
      <c r="R294" t="str">
        <f>IF(B294&lt;&gt;"Sensor Snapshot","",IF(O294="","Missing",IF(O294=-1,"Sensor failure sentinel (-1)",IF(OR(O294&lt;'02_Parameters'!$B$18,O294&gt;'02_Parameters'!$B$19),"Out of accepted range","Valid"))))</f>
        <v/>
      </c>
      <c r="S294" s="16"/>
      <c r="T294" s="16" t="str">
        <f>IF(AND(ISNUMBER(S294),S294&lt;&gt;-1,S294&gt;='02_Parameters'!$B$20,S294&lt;='02_Parameters'!$B$21),S294,"")</f>
        <v/>
      </c>
      <c r="U294" s="16"/>
      <c r="V294" t="str">
        <f>IF(B294&lt;&gt;"Sensor Snapshot","",IF(S294="","Missing",IF(S294=-1,"Sensor failure sentinel (-1)",IF(OR(S294&lt;'02_Parameters'!$B$20,S294&gt;'02_Parameters'!$B$21),"Out of accepted range","Valid"))))</f>
        <v/>
      </c>
      <c r="W294" s="16"/>
      <c r="X294" s="16" t="str">
        <f t="shared" si="58"/>
        <v/>
      </c>
      <c r="Y294" t="str">
        <f t="shared" si="59"/>
        <v/>
      </c>
      <c r="Z294" s="16"/>
      <c r="AB294" t="str">
        <f>IF(B294&lt;&gt;"Sensor Snapshot","",IF(ISNUMBER(AA294),--(AA294&lt;&gt;0),IF(ISNUMBER(Z294),--(Z294&lt;'02_Parameters'!$B$15),"")))</f>
        <v/>
      </c>
      <c r="AC294" t="str">
        <f>IF(B294&lt;&gt;"Sensor Snapshot","",IF(ISNUMBER(X294),--(X294&gt;='02_Parameters'!$B$16),""))</f>
        <v/>
      </c>
      <c r="AD294">
        <v>0</v>
      </c>
      <c r="AE294" t="str">
        <f t="shared" si="60"/>
        <v/>
      </c>
      <c r="AF294" s="3" t="str">
        <f t="shared" si="61"/>
        <v/>
      </c>
      <c r="AG294" s="16"/>
      <c r="AH294" s="16" t="str">
        <f>IF(B294&lt;&gt;"Sensor Snapshot","",IF(ISNUMBER(AG294),IF(AG294&lt;0,"",IF(AG294&gt;10,AG294/'02_Parameters'!$B$17,AG294)),""))</f>
        <v/>
      </c>
      <c r="AI294" t="str">
        <f t="shared" si="62"/>
        <v/>
      </c>
      <c r="AJ294" t="str">
        <f t="shared" si="63"/>
        <v/>
      </c>
      <c r="AK294" t="str">
        <f t="shared" si="64"/>
        <v/>
      </c>
      <c r="AM294" t="str">
        <f t="shared" si="65"/>
        <v/>
      </c>
      <c r="AN294" t="str">
        <f>IF(B294&lt;&gt;"Sensor Snapshot","",--(N294&gt;='02_Parameters'!$B$13))</f>
        <v/>
      </c>
      <c r="AO294" t="str">
        <f>IF(B294&lt;&gt;"Sensor Snapshot","",--(AND(L294="PUMPING",ISNUMBER(AH294),AH294&lt;='02_Parameters'!$B$10)))</f>
        <v/>
      </c>
      <c r="AP294" s="16"/>
      <c r="AQ294" s="16" t="str">
        <f t="shared" si="66"/>
        <v/>
      </c>
      <c r="AR294" s="16" t="str">
        <f t="shared" si="67"/>
        <v/>
      </c>
      <c r="AW294" s="3" t="s">
        <v>377</v>
      </c>
      <c r="AX294" s="3" t="str">
        <f t="shared" si="68"/>
        <v/>
      </c>
      <c r="AY294" s="3" t="str">
        <f t="shared" si="69"/>
        <v/>
      </c>
      <c r="AZ294" s="3" t="s">
        <v>247</v>
      </c>
      <c r="BA294" s="3"/>
    </row>
    <row r="295" spans="1:53" ht="27.6">
      <c r="A295" t="s">
        <v>609</v>
      </c>
      <c r="B295" t="s">
        <v>231</v>
      </c>
      <c r="C295" s="14">
        <v>921617</v>
      </c>
      <c r="D295" s="15">
        <f t="shared" si="56"/>
        <v>921.61699999999996</v>
      </c>
      <c r="E295" t="s">
        <v>232</v>
      </c>
      <c r="G295" t="s">
        <v>234</v>
      </c>
      <c r="H295" t="s">
        <v>235</v>
      </c>
      <c r="I295" s="3"/>
      <c r="J295" s="3"/>
      <c r="K295">
        <v>1</v>
      </c>
      <c r="L295" t="s">
        <v>610</v>
      </c>
      <c r="M295">
        <f t="shared" si="57"/>
        <v>5</v>
      </c>
      <c r="N295">
        <v>0</v>
      </c>
      <c r="O295" s="16">
        <v>28.4</v>
      </c>
      <c r="P295" s="16">
        <f>IF(AND(ISNUMBER(O295),O295&lt;&gt;-1,O295&gt;='02_Parameters'!$B$18,O295&lt;='02_Parameters'!$B$19),O295,"")</f>
        <v>28.4</v>
      </c>
      <c r="Q295" s="16">
        <v>28.4</v>
      </c>
      <c r="R295" t="str">
        <f>IF(B295&lt;&gt;"Sensor Snapshot","",IF(O295="","Missing",IF(O295=-1,"Sensor failure sentinel (-1)",IF(OR(O295&lt;'02_Parameters'!$B$18,O295&gt;'02_Parameters'!$B$19),"Out of accepted range","Valid"))))</f>
        <v>Valid</v>
      </c>
      <c r="S295" s="16">
        <v>75.099999999999994</v>
      </c>
      <c r="T295" s="16">
        <f>IF(AND(ISNUMBER(S295),S295&lt;&gt;-1,S295&gt;='02_Parameters'!$B$20,S295&lt;='02_Parameters'!$B$21),S295,"")</f>
        <v>75.099999999999994</v>
      </c>
      <c r="U295" s="16">
        <v>75.099999999999994</v>
      </c>
      <c r="V295" t="str">
        <f>IF(B295&lt;&gt;"Sensor Snapshot","",IF(S295="","Missing",IF(S295=-1,"Sensor failure sentinel (-1)",IF(OR(S295&lt;'02_Parameters'!$B$20,S295&gt;'02_Parameters'!$B$21),"Out of accepted range","Valid"))))</f>
        <v>Valid</v>
      </c>
      <c r="W295" s="16">
        <v>-1.6</v>
      </c>
      <c r="X295" s="16">
        <f t="shared" si="58"/>
        <v>1.6</v>
      </c>
      <c r="Y295" t="str">
        <f t="shared" si="59"/>
        <v>Sign corrected to positive</v>
      </c>
      <c r="Z295" s="16"/>
      <c r="AA295">
        <v>1</v>
      </c>
      <c r="AB295">
        <f>IF(B295&lt;&gt;"Sensor Snapshot","",IF(ISNUMBER(AA295),--(AA295&lt;&gt;0),IF(ISNUMBER(Z295),--(Z295&lt;'02_Parameters'!$B$15),"")))</f>
        <v>1</v>
      </c>
      <c r="AC295">
        <f>IF(B295&lt;&gt;"Sensor Snapshot","",IF(ISNUMBER(X295),--(X295&gt;='02_Parameters'!$B$16),""))</f>
        <v>0</v>
      </c>
      <c r="AD295">
        <v>0</v>
      </c>
      <c r="AE295">
        <f t="shared" si="60"/>
        <v>0</v>
      </c>
      <c r="AF295" s="3" t="str">
        <f t="shared" si="61"/>
        <v>Partial detection only</v>
      </c>
      <c r="AG295" s="16">
        <v>0</v>
      </c>
      <c r="AH295" s="16">
        <f>IF(B295&lt;&gt;"Sensor Snapshot","",IF(ISNUMBER(AG295),IF(AG295&lt;0,"",IF(AG295&gt;10,AG295/'02_Parameters'!$B$17,AG295)),""))</f>
        <v>0</v>
      </c>
      <c r="AI295" t="str">
        <f t="shared" si="62"/>
        <v>Valid</v>
      </c>
      <c r="AJ295">
        <f t="shared" si="63"/>
        <v>0</v>
      </c>
      <c r="AK295">
        <f t="shared" si="64"/>
        <v>0</v>
      </c>
      <c r="AL295">
        <v>0</v>
      </c>
      <c r="AM295">
        <f t="shared" si="65"/>
        <v>0</v>
      </c>
      <c r="AN295">
        <f>IF(B295&lt;&gt;"Sensor Snapshot","",--(N295&gt;='02_Parameters'!$B$13))</f>
        <v>0</v>
      </c>
      <c r="AO295">
        <f>IF(B295&lt;&gt;"Sensor Snapshot","",--(AND(L295="PUMPING",ISNUMBER(AH295),AH295&lt;='02_Parameters'!$B$10)))</f>
        <v>0</v>
      </c>
      <c r="AP295" s="16"/>
      <c r="AQ295" s="16" t="str">
        <f t="shared" si="66"/>
        <v/>
      </c>
      <c r="AR295" s="16" t="str">
        <f t="shared" si="67"/>
        <v/>
      </c>
      <c r="AU295" t="s">
        <v>236</v>
      </c>
      <c r="AV295" t="s">
        <v>237</v>
      </c>
      <c r="AW295" s="3" t="s">
        <v>238</v>
      </c>
      <c r="AX295" s="3">
        <f t="shared" si="68"/>
        <v>100</v>
      </c>
      <c r="AY295" s="3" t="str">
        <f t="shared" si="69"/>
        <v>A</v>
      </c>
      <c r="AZ295" s="3" t="s">
        <v>386</v>
      </c>
      <c r="BA295" s="3"/>
    </row>
    <row r="296" spans="1:53" ht="27.6">
      <c r="A296" t="s">
        <v>611</v>
      </c>
      <c r="B296" t="s">
        <v>231</v>
      </c>
      <c r="C296" s="14">
        <v>926602</v>
      </c>
      <c r="D296" s="15">
        <f t="shared" si="56"/>
        <v>926.60199999999998</v>
      </c>
      <c r="E296" t="s">
        <v>232</v>
      </c>
      <c r="G296" t="s">
        <v>234</v>
      </c>
      <c r="H296" t="s">
        <v>235</v>
      </c>
      <c r="I296" s="3"/>
      <c r="J296" s="3"/>
      <c r="K296">
        <v>2</v>
      </c>
      <c r="L296" t="s">
        <v>385</v>
      </c>
      <c r="M296">
        <f t="shared" si="57"/>
        <v>0</v>
      </c>
      <c r="N296">
        <v>0</v>
      </c>
      <c r="O296" s="16">
        <v>28.4</v>
      </c>
      <c r="P296" s="16">
        <f>IF(AND(ISNUMBER(O296),O296&lt;&gt;-1,O296&gt;='02_Parameters'!$B$18,O296&lt;='02_Parameters'!$B$19),O296,"")</f>
        <v>28.4</v>
      </c>
      <c r="Q296" s="16">
        <v>28.4</v>
      </c>
      <c r="R296" t="str">
        <f>IF(B296&lt;&gt;"Sensor Snapshot","",IF(O296="","Missing",IF(O296=-1,"Sensor failure sentinel (-1)",IF(OR(O296&lt;'02_Parameters'!$B$18,O296&gt;'02_Parameters'!$B$19),"Out of accepted range","Valid"))))</f>
        <v>Valid</v>
      </c>
      <c r="S296" s="16">
        <v>75.3</v>
      </c>
      <c r="T296" s="16">
        <f>IF(AND(ISNUMBER(S296),S296&lt;&gt;-1,S296&gt;='02_Parameters'!$B$20,S296&lt;='02_Parameters'!$B$21),S296,"")</f>
        <v>75.3</v>
      </c>
      <c r="U296" s="16">
        <v>75.3</v>
      </c>
      <c r="V296" t="str">
        <f>IF(B296&lt;&gt;"Sensor Snapshot","",IF(S296="","Missing",IF(S296=-1,"Sensor failure sentinel (-1)",IF(OR(S296&lt;'02_Parameters'!$B$20,S296&gt;'02_Parameters'!$B$21),"Out of accepted range","Valid"))))</f>
        <v>Valid</v>
      </c>
      <c r="W296" s="16">
        <v>-1.3</v>
      </c>
      <c r="X296" s="16">
        <f t="shared" si="58"/>
        <v>1.3</v>
      </c>
      <c r="Y296" t="str">
        <f t="shared" si="59"/>
        <v>Sign corrected to positive</v>
      </c>
      <c r="Z296" s="16"/>
      <c r="AA296">
        <v>1</v>
      </c>
      <c r="AB296">
        <f>IF(B296&lt;&gt;"Sensor Snapshot","",IF(ISNUMBER(AA296),--(AA296&lt;&gt;0),IF(ISNUMBER(Z296),--(Z296&lt;'02_Parameters'!$B$15),"")))</f>
        <v>1</v>
      </c>
      <c r="AC296">
        <f>IF(B296&lt;&gt;"Sensor Snapshot","",IF(ISNUMBER(X296),--(X296&gt;='02_Parameters'!$B$16),""))</f>
        <v>0</v>
      </c>
      <c r="AD296">
        <v>0</v>
      </c>
      <c r="AE296">
        <f t="shared" si="60"/>
        <v>0</v>
      </c>
      <c r="AF296" s="3" t="str">
        <f t="shared" si="61"/>
        <v>Partial detection only</v>
      </c>
      <c r="AG296" s="16">
        <v>0</v>
      </c>
      <c r="AH296" s="16">
        <f>IF(B296&lt;&gt;"Sensor Snapshot","",IF(ISNUMBER(AG296),IF(AG296&lt;0,"",IF(AG296&gt;10,AG296/'02_Parameters'!$B$17,AG296)),""))</f>
        <v>0</v>
      </c>
      <c r="AI296" t="str">
        <f t="shared" si="62"/>
        <v>Valid</v>
      </c>
      <c r="AJ296">
        <f t="shared" si="63"/>
        <v>0</v>
      </c>
      <c r="AK296">
        <f t="shared" si="64"/>
        <v>0</v>
      </c>
      <c r="AL296">
        <v>0</v>
      </c>
      <c r="AM296">
        <f t="shared" si="65"/>
        <v>0</v>
      </c>
      <c r="AN296">
        <f>IF(B296&lt;&gt;"Sensor Snapshot","",--(N296&gt;='02_Parameters'!$B$13))</f>
        <v>0</v>
      </c>
      <c r="AO296">
        <f>IF(B296&lt;&gt;"Sensor Snapshot","",--(AND(L296="PUMPING",ISNUMBER(AH296),AH296&lt;='02_Parameters'!$B$10)))</f>
        <v>0</v>
      </c>
      <c r="AP296" s="16"/>
      <c r="AQ296" s="16" t="str">
        <f t="shared" si="66"/>
        <v/>
      </c>
      <c r="AR296" s="16" t="str">
        <f t="shared" si="67"/>
        <v/>
      </c>
      <c r="AU296" t="s">
        <v>236</v>
      </c>
      <c r="AV296" t="s">
        <v>237</v>
      </c>
      <c r="AW296" s="3" t="s">
        <v>238</v>
      </c>
      <c r="AX296" s="3">
        <f t="shared" si="68"/>
        <v>100</v>
      </c>
      <c r="AY296" s="3" t="str">
        <f t="shared" si="69"/>
        <v>A</v>
      </c>
      <c r="AZ296" s="3" t="s">
        <v>386</v>
      </c>
      <c r="BA296" s="3" t="s">
        <v>612</v>
      </c>
    </row>
    <row r="297" spans="1:53" ht="27.6">
      <c r="A297" t="s">
        <v>613</v>
      </c>
      <c r="B297" t="s">
        <v>242</v>
      </c>
      <c r="C297" s="14">
        <v>926602</v>
      </c>
      <c r="D297" s="15">
        <f t="shared" si="56"/>
        <v>926.60199999999998</v>
      </c>
      <c r="E297" t="s">
        <v>232</v>
      </c>
      <c r="G297" t="s">
        <v>157</v>
      </c>
      <c r="H297" t="s">
        <v>374</v>
      </c>
      <c r="I297" s="3" t="s">
        <v>305</v>
      </c>
      <c r="J297" s="3" t="s">
        <v>565</v>
      </c>
      <c r="K297">
        <v>2</v>
      </c>
      <c r="L297" t="s">
        <v>385</v>
      </c>
      <c r="M297">
        <f t="shared" si="57"/>
        <v>0</v>
      </c>
      <c r="O297" s="16"/>
      <c r="P297" s="16" t="str">
        <f>IF(AND(ISNUMBER(O297),O297&lt;&gt;-1,O297&gt;='02_Parameters'!$B$18,O297&lt;='02_Parameters'!$B$19),O297,"")</f>
        <v/>
      </c>
      <c r="Q297" s="16"/>
      <c r="R297" t="str">
        <f>IF(B297&lt;&gt;"Sensor Snapshot","",IF(O297="","Missing",IF(O297=-1,"Sensor failure sentinel (-1)",IF(OR(O297&lt;'02_Parameters'!$B$18,O297&gt;'02_Parameters'!$B$19),"Out of accepted range","Valid"))))</f>
        <v/>
      </c>
      <c r="S297" s="16"/>
      <c r="T297" s="16" t="str">
        <f>IF(AND(ISNUMBER(S297),S297&lt;&gt;-1,S297&gt;='02_Parameters'!$B$20,S297&lt;='02_Parameters'!$B$21),S297,"")</f>
        <v/>
      </c>
      <c r="U297" s="16"/>
      <c r="V297" t="str">
        <f>IF(B297&lt;&gt;"Sensor Snapshot","",IF(S297="","Missing",IF(S297=-1,"Sensor failure sentinel (-1)",IF(OR(S297&lt;'02_Parameters'!$B$20,S297&gt;'02_Parameters'!$B$21),"Out of accepted range","Valid"))))</f>
        <v/>
      </c>
      <c r="W297" s="16"/>
      <c r="X297" s="16" t="str">
        <f t="shared" si="58"/>
        <v/>
      </c>
      <c r="Y297" t="str">
        <f t="shared" si="59"/>
        <v/>
      </c>
      <c r="Z297" s="16"/>
      <c r="AB297" t="str">
        <f>IF(B297&lt;&gt;"Sensor Snapshot","",IF(ISNUMBER(AA297),--(AA297&lt;&gt;0),IF(ISNUMBER(Z297),--(Z297&lt;'02_Parameters'!$B$15),"")))</f>
        <v/>
      </c>
      <c r="AC297" t="str">
        <f>IF(B297&lt;&gt;"Sensor Snapshot","",IF(ISNUMBER(X297),--(X297&gt;='02_Parameters'!$B$16),""))</f>
        <v/>
      </c>
      <c r="AD297">
        <v>0</v>
      </c>
      <c r="AE297" t="str">
        <f t="shared" si="60"/>
        <v/>
      </c>
      <c r="AF297" s="3" t="str">
        <f t="shared" si="61"/>
        <v/>
      </c>
      <c r="AG297" s="16"/>
      <c r="AH297" s="16" t="str">
        <f>IF(B297&lt;&gt;"Sensor Snapshot","",IF(ISNUMBER(AG297),IF(AG297&lt;0,"",IF(AG297&gt;10,AG297/'02_Parameters'!$B$17,AG297)),""))</f>
        <v/>
      </c>
      <c r="AI297" t="str">
        <f t="shared" si="62"/>
        <v/>
      </c>
      <c r="AJ297" t="str">
        <f t="shared" si="63"/>
        <v/>
      </c>
      <c r="AK297" t="str">
        <f t="shared" si="64"/>
        <v/>
      </c>
      <c r="AM297" t="str">
        <f t="shared" si="65"/>
        <v/>
      </c>
      <c r="AN297" t="str">
        <f>IF(B297&lt;&gt;"Sensor Snapshot","",--(N297&gt;='02_Parameters'!$B$13))</f>
        <v/>
      </c>
      <c r="AO297" t="str">
        <f>IF(B297&lt;&gt;"Sensor Snapshot","",--(AND(L297="PUMPING",ISNUMBER(AH297),AH297&lt;='02_Parameters'!$B$10)))</f>
        <v/>
      </c>
      <c r="AP297" s="16"/>
      <c r="AQ297" s="16" t="str">
        <f t="shared" si="66"/>
        <v/>
      </c>
      <c r="AR297" s="16" t="str">
        <f t="shared" si="67"/>
        <v/>
      </c>
      <c r="AW297" s="3" t="s">
        <v>377</v>
      </c>
      <c r="AX297" s="3" t="str">
        <f t="shared" si="68"/>
        <v/>
      </c>
      <c r="AY297" s="3" t="str">
        <f t="shared" si="69"/>
        <v/>
      </c>
      <c r="AZ297" s="3" t="s">
        <v>247</v>
      </c>
      <c r="BA297" s="3"/>
    </row>
    <row r="298" spans="1:53" ht="27.6">
      <c r="A298" t="s">
        <v>614</v>
      </c>
      <c r="B298" t="s">
        <v>231</v>
      </c>
      <c r="C298" s="14">
        <v>931618</v>
      </c>
      <c r="D298" s="15">
        <f t="shared" si="56"/>
        <v>931.61800000000005</v>
      </c>
      <c r="E298" t="s">
        <v>232</v>
      </c>
      <c r="G298" t="s">
        <v>234</v>
      </c>
      <c r="H298" t="s">
        <v>235</v>
      </c>
      <c r="I298" s="3"/>
      <c r="J298" s="3"/>
      <c r="K298">
        <v>2</v>
      </c>
      <c r="L298" t="s">
        <v>567</v>
      </c>
      <c r="M298">
        <f t="shared" si="57"/>
        <v>1</v>
      </c>
      <c r="N298">
        <v>0</v>
      </c>
      <c r="O298" s="16">
        <v>28.4</v>
      </c>
      <c r="P298" s="16">
        <f>IF(AND(ISNUMBER(O298),O298&lt;&gt;-1,O298&gt;='02_Parameters'!$B$18,O298&lt;='02_Parameters'!$B$19),O298,"")</f>
        <v>28.4</v>
      </c>
      <c r="Q298" s="16">
        <v>28.4</v>
      </c>
      <c r="R298" t="str">
        <f>IF(B298&lt;&gt;"Sensor Snapshot","",IF(O298="","Missing",IF(O298=-1,"Sensor failure sentinel (-1)",IF(OR(O298&lt;'02_Parameters'!$B$18,O298&gt;'02_Parameters'!$B$19),"Out of accepted range","Valid"))))</f>
        <v>Valid</v>
      </c>
      <c r="S298" s="16">
        <v>76.3</v>
      </c>
      <c r="T298" s="16">
        <f>IF(AND(ISNUMBER(S298),S298&lt;&gt;-1,S298&gt;='02_Parameters'!$B$20,S298&lt;='02_Parameters'!$B$21),S298,"")</f>
        <v>76.3</v>
      </c>
      <c r="U298" s="16">
        <v>76.3</v>
      </c>
      <c r="V298" t="str">
        <f>IF(B298&lt;&gt;"Sensor Snapshot","",IF(S298="","Missing",IF(S298=-1,"Sensor failure sentinel (-1)",IF(OR(S298&lt;'02_Parameters'!$B$20,S298&gt;'02_Parameters'!$B$21),"Out of accepted range","Valid"))))</f>
        <v>Valid</v>
      </c>
      <c r="W298" s="16">
        <v>-1.5</v>
      </c>
      <c r="X298" s="16">
        <f t="shared" si="58"/>
        <v>1.5</v>
      </c>
      <c r="Y298" t="str">
        <f t="shared" si="59"/>
        <v>Sign corrected to positive</v>
      </c>
      <c r="Z298" s="16"/>
      <c r="AA298">
        <v>1</v>
      </c>
      <c r="AB298">
        <f>IF(B298&lt;&gt;"Sensor Snapshot","",IF(ISNUMBER(AA298),--(AA298&lt;&gt;0),IF(ISNUMBER(Z298),--(Z298&lt;'02_Parameters'!$B$15),"")))</f>
        <v>1</v>
      </c>
      <c r="AC298">
        <f>IF(B298&lt;&gt;"Sensor Snapshot","",IF(ISNUMBER(X298),--(X298&gt;='02_Parameters'!$B$16),""))</f>
        <v>0</v>
      </c>
      <c r="AD298">
        <v>0</v>
      </c>
      <c r="AE298">
        <f t="shared" si="60"/>
        <v>0</v>
      </c>
      <c r="AF298" s="3" t="str">
        <f t="shared" si="61"/>
        <v>Partial detection only</v>
      </c>
      <c r="AG298" s="16">
        <v>0</v>
      </c>
      <c r="AH298" s="16">
        <f>IF(B298&lt;&gt;"Sensor Snapshot","",IF(ISNUMBER(AG298),IF(AG298&lt;0,"",IF(AG298&gt;10,AG298/'02_Parameters'!$B$17,AG298)),""))</f>
        <v>0</v>
      </c>
      <c r="AI298" t="str">
        <f t="shared" si="62"/>
        <v>Valid</v>
      </c>
      <c r="AJ298">
        <f t="shared" si="63"/>
        <v>0</v>
      </c>
      <c r="AK298">
        <f t="shared" si="64"/>
        <v>0</v>
      </c>
      <c r="AL298">
        <v>0</v>
      </c>
      <c r="AM298">
        <f t="shared" si="65"/>
        <v>1</v>
      </c>
      <c r="AN298">
        <f>IF(B298&lt;&gt;"Sensor Snapshot","",--(N298&gt;='02_Parameters'!$B$13))</f>
        <v>0</v>
      </c>
      <c r="AO298">
        <f>IF(B298&lt;&gt;"Sensor Snapshot","",--(AND(L298="PUMPING",ISNUMBER(AH298),AH298&lt;='02_Parameters'!$B$10)))</f>
        <v>0</v>
      </c>
      <c r="AP298" s="16"/>
      <c r="AQ298" s="16" t="str">
        <f t="shared" si="66"/>
        <v/>
      </c>
      <c r="AR298" s="16" t="str">
        <f t="shared" si="67"/>
        <v/>
      </c>
      <c r="AU298" t="s">
        <v>236</v>
      </c>
      <c r="AV298" t="s">
        <v>237</v>
      </c>
      <c r="AW298" s="3" t="s">
        <v>238</v>
      </c>
      <c r="AX298" s="3">
        <f t="shared" si="68"/>
        <v>100</v>
      </c>
      <c r="AY298" s="3" t="str">
        <f t="shared" si="69"/>
        <v>A</v>
      </c>
      <c r="AZ298" s="3" t="s">
        <v>386</v>
      </c>
      <c r="BA298" s="3"/>
    </row>
    <row r="299" spans="1:53" ht="27.6">
      <c r="A299" t="s">
        <v>615</v>
      </c>
      <c r="B299" t="s">
        <v>231</v>
      </c>
      <c r="C299" s="14">
        <v>936603</v>
      </c>
      <c r="D299" s="15">
        <f t="shared" si="56"/>
        <v>936.60299999999995</v>
      </c>
      <c r="E299" t="s">
        <v>232</v>
      </c>
      <c r="G299" t="s">
        <v>234</v>
      </c>
      <c r="H299" t="s">
        <v>235</v>
      </c>
      <c r="I299" s="3"/>
      <c r="J299" s="3"/>
      <c r="K299">
        <v>2</v>
      </c>
      <c r="L299" t="s">
        <v>571</v>
      </c>
      <c r="M299">
        <f t="shared" si="57"/>
        <v>2</v>
      </c>
      <c r="N299">
        <v>0</v>
      </c>
      <c r="O299" s="16">
        <v>28.3</v>
      </c>
      <c r="P299" s="16">
        <f>IF(AND(ISNUMBER(O299),O299&lt;&gt;-1,O299&gt;='02_Parameters'!$B$18,O299&lt;='02_Parameters'!$B$19),O299,"")</f>
        <v>28.3</v>
      </c>
      <c r="Q299" s="16">
        <v>28.3</v>
      </c>
      <c r="R299" t="str">
        <f>IF(B299&lt;&gt;"Sensor Snapshot","",IF(O299="","Missing",IF(O299=-1,"Sensor failure sentinel (-1)",IF(OR(O299&lt;'02_Parameters'!$B$18,O299&gt;'02_Parameters'!$B$19),"Out of accepted range","Valid"))))</f>
        <v>Valid</v>
      </c>
      <c r="S299" s="16">
        <v>76.599999999999994</v>
      </c>
      <c r="T299" s="16">
        <f>IF(AND(ISNUMBER(S299),S299&lt;&gt;-1,S299&gt;='02_Parameters'!$B$20,S299&lt;='02_Parameters'!$B$21),S299,"")</f>
        <v>76.599999999999994</v>
      </c>
      <c r="U299" s="16">
        <v>76.599999999999994</v>
      </c>
      <c r="V299" t="str">
        <f>IF(B299&lt;&gt;"Sensor Snapshot","",IF(S299="","Missing",IF(S299=-1,"Sensor failure sentinel (-1)",IF(OR(S299&lt;'02_Parameters'!$B$20,S299&gt;'02_Parameters'!$B$21),"Out of accepted range","Valid"))))</f>
        <v>Valid</v>
      </c>
      <c r="W299" s="16">
        <v>-2.2000000000000002</v>
      </c>
      <c r="X299" s="16">
        <f t="shared" si="58"/>
        <v>2.2000000000000002</v>
      </c>
      <c r="Y299" t="str">
        <f t="shared" si="59"/>
        <v>Sign corrected to positive</v>
      </c>
      <c r="Z299" s="16"/>
      <c r="AA299">
        <v>1</v>
      </c>
      <c r="AB299">
        <f>IF(B299&lt;&gt;"Sensor Snapshot","",IF(ISNUMBER(AA299),--(AA299&lt;&gt;0),IF(ISNUMBER(Z299),--(Z299&lt;'02_Parameters'!$B$15),"")))</f>
        <v>1</v>
      </c>
      <c r="AC299">
        <f>IF(B299&lt;&gt;"Sensor Snapshot","",IF(ISNUMBER(X299),--(X299&gt;='02_Parameters'!$B$16),""))</f>
        <v>0</v>
      </c>
      <c r="AD299">
        <v>0</v>
      </c>
      <c r="AE299">
        <f t="shared" si="60"/>
        <v>0</v>
      </c>
      <c r="AF299" s="3" t="str">
        <f t="shared" si="61"/>
        <v>Partial detection only</v>
      </c>
      <c r="AG299" s="16">
        <v>0</v>
      </c>
      <c r="AH299" s="16">
        <f>IF(B299&lt;&gt;"Sensor Snapshot","",IF(ISNUMBER(AG299),IF(AG299&lt;0,"",IF(AG299&gt;10,AG299/'02_Parameters'!$B$17,AG299)),""))</f>
        <v>0</v>
      </c>
      <c r="AI299" t="str">
        <f t="shared" si="62"/>
        <v>Valid</v>
      </c>
      <c r="AJ299">
        <f t="shared" si="63"/>
        <v>1</v>
      </c>
      <c r="AK299">
        <f t="shared" si="64"/>
        <v>0</v>
      </c>
      <c r="AL299">
        <v>0</v>
      </c>
      <c r="AM299">
        <f t="shared" si="65"/>
        <v>0</v>
      </c>
      <c r="AN299">
        <f>IF(B299&lt;&gt;"Sensor Snapshot","",--(N299&gt;='02_Parameters'!$B$13))</f>
        <v>0</v>
      </c>
      <c r="AO299">
        <f>IF(B299&lt;&gt;"Sensor Snapshot","",--(AND(L299="PUMPING",ISNUMBER(AH299),AH299&lt;='02_Parameters'!$B$10)))</f>
        <v>1</v>
      </c>
      <c r="AP299" s="16"/>
      <c r="AQ299" s="16" t="str">
        <f t="shared" si="66"/>
        <v/>
      </c>
      <c r="AR299" s="16" t="str">
        <f t="shared" si="67"/>
        <v/>
      </c>
      <c r="AU299" t="s">
        <v>236</v>
      </c>
      <c r="AV299" t="s">
        <v>237</v>
      </c>
      <c r="AW299" s="3" t="s">
        <v>238</v>
      </c>
      <c r="AX299" s="3">
        <f t="shared" si="68"/>
        <v>100</v>
      </c>
      <c r="AY299" s="3" t="str">
        <f t="shared" si="69"/>
        <v>A</v>
      </c>
      <c r="AZ299" s="3" t="s">
        <v>386</v>
      </c>
      <c r="BA299" s="3"/>
    </row>
    <row r="300" spans="1:53" ht="27.6">
      <c r="A300" t="s">
        <v>616</v>
      </c>
      <c r="B300" t="s">
        <v>231</v>
      </c>
      <c r="C300" s="14">
        <v>941602</v>
      </c>
      <c r="D300" s="15">
        <f t="shared" si="56"/>
        <v>941.60199999999998</v>
      </c>
      <c r="E300" t="s">
        <v>232</v>
      </c>
      <c r="G300" t="s">
        <v>234</v>
      </c>
      <c r="H300" t="s">
        <v>235</v>
      </c>
      <c r="I300" s="3"/>
      <c r="J300" s="3"/>
      <c r="K300">
        <v>2</v>
      </c>
      <c r="L300" t="s">
        <v>571</v>
      </c>
      <c r="M300">
        <f t="shared" si="57"/>
        <v>2</v>
      </c>
      <c r="N300">
        <v>0</v>
      </c>
      <c r="O300" s="16">
        <v>28.2</v>
      </c>
      <c r="P300" s="16">
        <f>IF(AND(ISNUMBER(O300),O300&lt;&gt;-1,O300&gt;='02_Parameters'!$B$18,O300&lt;='02_Parameters'!$B$19),O300,"")</f>
        <v>28.2</v>
      </c>
      <c r="Q300" s="16">
        <v>28.2</v>
      </c>
      <c r="R300" t="str">
        <f>IF(B300&lt;&gt;"Sensor Snapshot","",IF(O300="","Missing",IF(O300=-1,"Sensor failure sentinel (-1)",IF(OR(O300&lt;'02_Parameters'!$B$18,O300&gt;'02_Parameters'!$B$19),"Out of accepted range","Valid"))))</f>
        <v>Valid</v>
      </c>
      <c r="S300" s="16">
        <v>70.400000000000006</v>
      </c>
      <c r="T300" s="16">
        <f>IF(AND(ISNUMBER(S300),S300&lt;&gt;-1,S300&gt;='02_Parameters'!$B$20,S300&lt;='02_Parameters'!$B$21),S300,"")</f>
        <v>70.400000000000006</v>
      </c>
      <c r="U300" s="16">
        <v>70.400000000000006</v>
      </c>
      <c r="V300" t="str">
        <f>IF(B300&lt;&gt;"Sensor Snapshot","",IF(S300="","Missing",IF(S300=-1,"Sensor failure sentinel (-1)",IF(OR(S300&lt;'02_Parameters'!$B$20,S300&gt;'02_Parameters'!$B$21),"Out of accepted range","Valid"))))</f>
        <v>Valid</v>
      </c>
      <c r="W300" s="16">
        <v>-1.4</v>
      </c>
      <c r="X300" s="16">
        <f t="shared" si="58"/>
        <v>1.4</v>
      </c>
      <c r="Y300" t="str">
        <f t="shared" si="59"/>
        <v>Sign corrected to positive</v>
      </c>
      <c r="Z300" s="16"/>
      <c r="AA300">
        <v>1</v>
      </c>
      <c r="AB300">
        <f>IF(B300&lt;&gt;"Sensor Snapshot","",IF(ISNUMBER(AA300),--(AA300&lt;&gt;0),IF(ISNUMBER(Z300),--(Z300&lt;'02_Parameters'!$B$15),"")))</f>
        <v>1</v>
      </c>
      <c r="AC300">
        <f>IF(B300&lt;&gt;"Sensor Snapshot","",IF(ISNUMBER(X300),--(X300&gt;='02_Parameters'!$B$16),""))</f>
        <v>0</v>
      </c>
      <c r="AD300">
        <v>0</v>
      </c>
      <c r="AE300">
        <f t="shared" si="60"/>
        <v>0</v>
      </c>
      <c r="AF300" s="3" t="str">
        <f t="shared" si="61"/>
        <v>Partial detection only</v>
      </c>
      <c r="AG300" s="16">
        <v>169.92</v>
      </c>
      <c r="AH300" s="16">
        <f>IF(B300&lt;&gt;"Sensor Snapshot","",IF(ISNUMBER(AG300),IF(AG300&lt;0,"",IF(AG300&gt;10,AG300/'02_Parameters'!$B$17,AG300)),""))</f>
        <v>1.6991999999999998</v>
      </c>
      <c r="AI300" t="str">
        <f t="shared" si="62"/>
        <v>Normalized from high-scale log</v>
      </c>
      <c r="AJ300">
        <f t="shared" si="63"/>
        <v>1</v>
      </c>
      <c r="AK300">
        <f t="shared" si="64"/>
        <v>0</v>
      </c>
      <c r="AL300">
        <v>0</v>
      </c>
      <c r="AM300">
        <f t="shared" si="65"/>
        <v>0</v>
      </c>
      <c r="AN300">
        <f>IF(B300&lt;&gt;"Sensor Snapshot","",--(N300&gt;='02_Parameters'!$B$13))</f>
        <v>0</v>
      </c>
      <c r="AO300">
        <f>IF(B300&lt;&gt;"Sensor Snapshot","",--(AND(L300="PUMPING",ISNUMBER(AH300),AH300&lt;='02_Parameters'!$B$10)))</f>
        <v>0</v>
      </c>
      <c r="AP300" s="16"/>
      <c r="AQ300" s="16" t="str">
        <f t="shared" si="66"/>
        <v/>
      </c>
      <c r="AR300" s="16" t="str">
        <f t="shared" si="67"/>
        <v/>
      </c>
      <c r="AU300" t="s">
        <v>236</v>
      </c>
      <c r="AV300" t="s">
        <v>237</v>
      </c>
      <c r="AW300" s="3" t="s">
        <v>325</v>
      </c>
      <c r="AX300" s="3">
        <f t="shared" si="68"/>
        <v>100</v>
      </c>
      <c r="AY300" s="3" t="str">
        <f t="shared" si="69"/>
        <v>A</v>
      </c>
      <c r="AZ300" s="3" t="s">
        <v>386</v>
      </c>
      <c r="BA300" s="3"/>
    </row>
    <row r="301" spans="1:53" ht="27.6">
      <c r="A301" t="s">
        <v>617</v>
      </c>
      <c r="B301" t="s">
        <v>231</v>
      </c>
      <c r="C301" s="14">
        <v>946603</v>
      </c>
      <c r="D301" s="15">
        <f t="shared" si="56"/>
        <v>946.60299999999995</v>
      </c>
      <c r="E301" t="s">
        <v>232</v>
      </c>
      <c r="G301" t="s">
        <v>234</v>
      </c>
      <c r="H301" t="s">
        <v>235</v>
      </c>
      <c r="I301" s="3"/>
      <c r="J301" s="3"/>
      <c r="K301">
        <v>2</v>
      </c>
      <c r="L301" t="s">
        <v>571</v>
      </c>
      <c r="M301">
        <f t="shared" si="57"/>
        <v>2</v>
      </c>
      <c r="N301">
        <v>0</v>
      </c>
      <c r="O301" s="16">
        <v>28.2</v>
      </c>
      <c r="P301" s="16">
        <f>IF(AND(ISNUMBER(O301),O301&lt;&gt;-1,O301&gt;='02_Parameters'!$B$18,O301&lt;='02_Parameters'!$B$19),O301,"")</f>
        <v>28.2</v>
      </c>
      <c r="Q301" s="16">
        <v>28.2</v>
      </c>
      <c r="R301" t="str">
        <f>IF(B301&lt;&gt;"Sensor Snapshot","",IF(O301="","Missing",IF(O301=-1,"Sensor failure sentinel (-1)",IF(OR(O301&lt;'02_Parameters'!$B$18,O301&gt;'02_Parameters'!$B$19),"Out of accepted range","Valid"))))</f>
        <v>Valid</v>
      </c>
      <c r="S301" s="16">
        <v>70</v>
      </c>
      <c r="T301" s="16">
        <f>IF(AND(ISNUMBER(S301),S301&lt;&gt;-1,S301&gt;='02_Parameters'!$B$20,S301&lt;='02_Parameters'!$B$21),S301,"")</f>
        <v>70</v>
      </c>
      <c r="U301" s="16">
        <v>70</v>
      </c>
      <c r="V301" t="str">
        <f>IF(B301&lt;&gt;"Sensor Snapshot","",IF(S301="","Missing",IF(S301=-1,"Sensor failure sentinel (-1)",IF(OR(S301&lt;'02_Parameters'!$B$20,S301&gt;'02_Parameters'!$B$21),"Out of accepted range","Valid"))))</f>
        <v>Valid</v>
      </c>
      <c r="W301" s="16">
        <v>-1.7</v>
      </c>
      <c r="X301" s="16">
        <f t="shared" si="58"/>
        <v>1.7</v>
      </c>
      <c r="Y301" t="str">
        <f t="shared" si="59"/>
        <v>Sign corrected to positive</v>
      </c>
      <c r="Z301" s="16"/>
      <c r="AA301">
        <v>1</v>
      </c>
      <c r="AB301">
        <f>IF(B301&lt;&gt;"Sensor Snapshot","",IF(ISNUMBER(AA301),--(AA301&lt;&gt;0),IF(ISNUMBER(Z301),--(Z301&lt;'02_Parameters'!$B$15),"")))</f>
        <v>1</v>
      </c>
      <c r="AC301">
        <f>IF(B301&lt;&gt;"Sensor Snapshot","",IF(ISNUMBER(X301),--(X301&gt;='02_Parameters'!$B$16),""))</f>
        <v>0</v>
      </c>
      <c r="AD301">
        <v>0</v>
      </c>
      <c r="AE301">
        <f t="shared" si="60"/>
        <v>0</v>
      </c>
      <c r="AF301" s="3" t="str">
        <f t="shared" si="61"/>
        <v>Partial detection only</v>
      </c>
      <c r="AG301" s="16">
        <v>496.29300000000001</v>
      </c>
      <c r="AH301" s="16">
        <f>IF(B301&lt;&gt;"Sensor Snapshot","",IF(ISNUMBER(AG301),IF(AG301&lt;0,"",IF(AG301&gt;10,AG301/'02_Parameters'!$B$17,AG301)),""))</f>
        <v>4.9629300000000001</v>
      </c>
      <c r="AI301" t="str">
        <f t="shared" si="62"/>
        <v>Normalized from high-scale log</v>
      </c>
      <c r="AJ301">
        <f t="shared" si="63"/>
        <v>1</v>
      </c>
      <c r="AK301">
        <f t="shared" si="64"/>
        <v>0</v>
      </c>
      <c r="AL301">
        <v>0</v>
      </c>
      <c r="AM301">
        <f t="shared" si="65"/>
        <v>0</v>
      </c>
      <c r="AN301">
        <f>IF(B301&lt;&gt;"Sensor Snapshot","",--(N301&gt;='02_Parameters'!$B$13))</f>
        <v>0</v>
      </c>
      <c r="AO301">
        <f>IF(B301&lt;&gt;"Sensor Snapshot","",--(AND(L301="PUMPING",ISNUMBER(AH301),AH301&lt;='02_Parameters'!$B$10)))</f>
        <v>0</v>
      </c>
      <c r="AP301" s="16"/>
      <c r="AQ301" s="16" t="str">
        <f t="shared" si="66"/>
        <v/>
      </c>
      <c r="AR301" s="16" t="str">
        <f t="shared" si="67"/>
        <v/>
      </c>
      <c r="AU301" t="s">
        <v>236</v>
      </c>
      <c r="AV301" t="s">
        <v>237</v>
      </c>
      <c r="AW301" s="3" t="s">
        <v>325</v>
      </c>
      <c r="AX301" s="3">
        <f t="shared" si="68"/>
        <v>100</v>
      </c>
      <c r="AY301" s="3" t="str">
        <f t="shared" si="69"/>
        <v>A</v>
      </c>
      <c r="AZ301" s="3" t="s">
        <v>386</v>
      </c>
      <c r="BA301" s="3"/>
    </row>
    <row r="302" spans="1:53" ht="27.6">
      <c r="A302" t="s">
        <v>618</v>
      </c>
      <c r="B302" t="s">
        <v>231</v>
      </c>
      <c r="C302" s="14">
        <v>951603</v>
      </c>
      <c r="D302" s="15">
        <f t="shared" si="56"/>
        <v>951.60299999999995</v>
      </c>
      <c r="E302" t="s">
        <v>232</v>
      </c>
      <c r="G302" t="s">
        <v>234</v>
      </c>
      <c r="H302" t="s">
        <v>235</v>
      </c>
      <c r="I302" s="3"/>
      <c r="J302" s="3"/>
      <c r="K302">
        <v>2</v>
      </c>
      <c r="L302" t="s">
        <v>571</v>
      </c>
      <c r="M302">
        <f t="shared" si="57"/>
        <v>2</v>
      </c>
      <c r="N302">
        <v>0</v>
      </c>
      <c r="O302" s="16">
        <v>28.1</v>
      </c>
      <c r="P302" s="16">
        <f>IF(AND(ISNUMBER(O302),O302&lt;&gt;-1,O302&gt;='02_Parameters'!$B$18,O302&lt;='02_Parameters'!$B$19),O302,"")</f>
        <v>28.1</v>
      </c>
      <c r="Q302" s="16">
        <v>28.1</v>
      </c>
      <c r="R302" t="str">
        <f>IF(B302&lt;&gt;"Sensor Snapshot","",IF(O302="","Missing",IF(O302=-1,"Sensor failure sentinel (-1)",IF(OR(O302&lt;'02_Parameters'!$B$18,O302&gt;'02_Parameters'!$B$19),"Out of accepted range","Valid"))))</f>
        <v>Valid</v>
      </c>
      <c r="S302" s="16">
        <v>70.3</v>
      </c>
      <c r="T302" s="16">
        <f>IF(AND(ISNUMBER(S302),S302&lt;&gt;-1,S302&gt;='02_Parameters'!$B$20,S302&lt;='02_Parameters'!$B$21),S302,"")</f>
        <v>70.3</v>
      </c>
      <c r="U302" s="16">
        <v>70.3</v>
      </c>
      <c r="V302" t="str">
        <f>IF(B302&lt;&gt;"Sensor Snapshot","",IF(S302="","Missing",IF(S302=-1,"Sensor failure sentinel (-1)",IF(OR(S302&lt;'02_Parameters'!$B$20,S302&gt;'02_Parameters'!$B$21),"Out of accepted range","Valid"))))</f>
        <v>Valid</v>
      </c>
      <c r="W302" s="16">
        <v>4280.8</v>
      </c>
      <c r="X302" s="16">
        <f t="shared" si="58"/>
        <v>4280.8</v>
      </c>
      <c r="Y302" t="str">
        <f t="shared" si="59"/>
        <v>Valid</v>
      </c>
      <c r="Z302" s="16"/>
      <c r="AA302">
        <v>1</v>
      </c>
      <c r="AB302">
        <f>IF(B302&lt;&gt;"Sensor Snapshot","",IF(ISNUMBER(AA302),--(AA302&lt;&gt;0),IF(ISNUMBER(Z302),--(Z302&lt;'02_Parameters'!$B$15),"")))</f>
        <v>1</v>
      </c>
      <c r="AC302">
        <f>IF(B302&lt;&gt;"Sensor Snapshot","",IF(ISNUMBER(X302),--(X302&gt;='02_Parameters'!$B$16),""))</f>
        <v>1</v>
      </c>
      <c r="AD302">
        <v>0</v>
      </c>
      <c r="AE302">
        <f t="shared" si="60"/>
        <v>1</v>
      </c>
      <c r="AF302" s="3" t="str">
        <f t="shared" si="61"/>
        <v>Derived: optical AND weight</v>
      </c>
      <c r="AG302" s="16">
        <v>278.34699999999998</v>
      </c>
      <c r="AH302" s="16">
        <f>IF(B302&lt;&gt;"Sensor Snapshot","",IF(ISNUMBER(AG302),IF(AG302&lt;0,"",IF(AG302&gt;10,AG302/'02_Parameters'!$B$17,AG302)),""))</f>
        <v>2.7834699999999999</v>
      </c>
      <c r="AI302" t="str">
        <f t="shared" si="62"/>
        <v>Normalized from high-scale log</v>
      </c>
      <c r="AJ302">
        <f t="shared" si="63"/>
        <v>1</v>
      </c>
      <c r="AK302">
        <f t="shared" si="64"/>
        <v>0</v>
      </c>
      <c r="AL302">
        <v>0</v>
      </c>
      <c r="AM302">
        <f t="shared" si="65"/>
        <v>0</v>
      </c>
      <c r="AN302">
        <f>IF(B302&lt;&gt;"Sensor Snapshot","",--(N302&gt;='02_Parameters'!$B$13))</f>
        <v>0</v>
      </c>
      <c r="AO302">
        <f>IF(B302&lt;&gt;"Sensor Snapshot","",--(AND(L302="PUMPING",ISNUMBER(AH302),AH302&lt;='02_Parameters'!$B$10)))</f>
        <v>0</v>
      </c>
      <c r="AP302" s="16"/>
      <c r="AQ302" s="16" t="str">
        <f t="shared" si="66"/>
        <v/>
      </c>
      <c r="AR302" s="16" t="str">
        <f t="shared" si="67"/>
        <v/>
      </c>
      <c r="AU302" t="s">
        <v>236</v>
      </c>
      <c r="AV302" t="s">
        <v>237</v>
      </c>
      <c r="AW302" s="3" t="s">
        <v>619</v>
      </c>
      <c r="AX302" s="3">
        <f t="shared" si="68"/>
        <v>100</v>
      </c>
      <c r="AY302" s="3" t="str">
        <f t="shared" si="69"/>
        <v>A</v>
      </c>
      <c r="AZ302" s="3" t="s">
        <v>386</v>
      </c>
      <c r="BA302" s="3"/>
    </row>
    <row r="303" spans="1:53" ht="27.6">
      <c r="A303" t="s">
        <v>620</v>
      </c>
      <c r="B303" t="s">
        <v>231</v>
      </c>
      <c r="C303" s="14">
        <v>956603</v>
      </c>
      <c r="D303" s="15">
        <f t="shared" si="56"/>
        <v>956.60299999999995</v>
      </c>
      <c r="E303" t="s">
        <v>232</v>
      </c>
      <c r="G303" t="s">
        <v>234</v>
      </c>
      <c r="H303" t="s">
        <v>235</v>
      </c>
      <c r="I303" s="3"/>
      <c r="J303" s="3"/>
      <c r="K303">
        <v>2</v>
      </c>
      <c r="L303" t="s">
        <v>571</v>
      </c>
      <c r="M303">
        <f t="shared" si="57"/>
        <v>2</v>
      </c>
      <c r="N303">
        <v>0</v>
      </c>
      <c r="O303" s="16">
        <v>28.1</v>
      </c>
      <c r="P303" s="16">
        <f>IF(AND(ISNUMBER(O303),O303&lt;&gt;-1,O303&gt;='02_Parameters'!$B$18,O303&lt;='02_Parameters'!$B$19),O303,"")</f>
        <v>28.1</v>
      </c>
      <c r="Q303" s="16">
        <v>28.1</v>
      </c>
      <c r="R303" t="str">
        <f>IF(B303&lt;&gt;"Sensor Snapshot","",IF(O303="","Missing",IF(O303=-1,"Sensor failure sentinel (-1)",IF(OR(O303&lt;'02_Parameters'!$B$18,O303&gt;'02_Parameters'!$B$19),"Out of accepted range","Valid"))))</f>
        <v>Valid</v>
      </c>
      <c r="S303" s="16">
        <v>70</v>
      </c>
      <c r="T303" s="16">
        <f>IF(AND(ISNUMBER(S303),S303&lt;&gt;-1,S303&gt;='02_Parameters'!$B$20,S303&lt;='02_Parameters'!$B$21),S303,"")</f>
        <v>70</v>
      </c>
      <c r="U303" s="16">
        <v>70</v>
      </c>
      <c r="V303" t="str">
        <f>IF(B303&lt;&gt;"Sensor Snapshot","",IF(S303="","Missing",IF(S303=-1,"Sensor failure sentinel (-1)",IF(OR(S303&lt;'02_Parameters'!$B$20,S303&gt;'02_Parameters'!$B$21),"Out of accepted range","Valid"))))</f>
        <v>Valid</v>
      </c>
      <c r="W303" s="16">
        <v>2001.3</v>
      </c>
      <c r="X303" s="16">
        <f t="shared" si="58"/>
        <v>2001.3</v>
      </c>
      <c r="Y303" t="str">
        <f t="shared" si="59"/>
        <v>Valid</v>
      </c>
      <c r="Z303" s="16"/>
      <c r="AA303">
        <v>1</v>
      </c>
      <c r="AB303">
        <f>IF(B303&lt;&gt;"Sensor Snapshot","",IF(ISNUMBER(AA303),--(AA303&lt;&gt;0),IF(ISNUMBER(Z303),--(Z303&lt;'02_Parameters'!$B$15),"")))</f>
        <v>1</v>
      </c>
      <c r="AC303">
        <f>IF(B303&lt;&gt;"Sensor Snapshot","",IF(ISNUMBER(X303),--(X303&gt;='02_Parameters'!$B$16),""))</f>
        <v>1</v>
      </c>
      <c r="AD303">
        <v>0</v>
      </c>
      <c r="AE303">
        <f t="shared" si="60"/>
        <v>1</v>
      </c>
      <c r="AF303" s="3" t="str">
        <f t="shared" si="61"/>
        <v>Derived: optical AND weight</v>
      </c>
      <c r="AG303" s="16">
        <v>187.387</v>
      </c>
      <c r="AH303" s="16">
        <f>IF(B303&lt;&gt;"Sensor Snapshot","",IF(ISNUMBER(AG303),IF(AG303&lt;0,"",IF(AG303&gt;10,AG303/'02_Parameters'!$B$17,AG303)),""))</f>
        <v>1.8738699999999999</v>
      </c>
      <c r="AI303" t="str">
        <f t="shared" si="62"/>
        <v>Normalized from high-scale log</v>
      </c>
      <c r="AJ303">
        <f t="shared" si="63"/>
        <v>1</v>
      </c>
      <c r="AK303">
        <f t="shared" si="64"/>
        <v>0</v>
      </c>
      <c r="AL303">
        <v>0</v>
      </c>
      <c r="AM303">
        <f t="shared" si="65"/>
        <v>0</v>
      </c>
      <c r="AN303">
        <f>IF(B303&lt;&gt;"Sensor Snapshot","",--(N303&gt;='02_Parameters'!$B$13))</f>
        <v>0</v>
      </c>
      <c r="AO303">
        <f>IF(B303&lt;&gt;"Sensor Snapshot","",--(AND(L303="PUMPING",ISNUMBER(AH303),AH303&lt;='02_Parameters'!$B$10)))</f>
        <v>0</v>
      </c>
      <c r="AP303" s="16"/>
      <c r="AQ303" s="16" t="str">
        <f t="shared" si="66"/>
        <v/>
      </c>
      <c r="AR303" s="16" t="str">
        <f t="shared" si="67"/>
        <v/>
      </c>
      <c r="AU303" t="s">
        <v>236</v>
      </c>
      <c r="AV303" t="s">
        <v>237</v>
      </c>
      <c r="AW303" s="3" t="s">
        <v>619</v>
      </c>
      <c r="AX303" s="3">
        <f t="shared" si="68"/>
        <v>100</v>
      </c>
      <c r="AY303" s="3" t="str">
        <f t="shared" si="69"/>
        <v>A</v>
      </c>
      <c r="AZ303" s="3" t="s">
        <v>386</v>
      </c>
      <c r="BA303" s="3"/>
    </row>
    <row r="304" spans="1:53" ht="27.6">
      <c r="A304" t="s">
        <v>621</v>
      </c>
      <c r="B304" t="s">
        <v>231</v>
      </c>
      <c r="C304" s="14">
        <v>962184</v>
      </c>
      <c r="D304" s="15">
        <f t="shared" si="56"/>
        <v>962.18399999999997</v>
      </c>
      <c r="E304" t="s">
        <v>232</v>
      </c>
      <c r="G304" t="s">
        <v>234</v>
      </c>
      <c r="H304" t="s">
        <v>235</v>
      </c>
      <c r="I304" s="3"/>
      <c r="J304" s="3"/>
      <c r="K304">
        <v>2</v>
      </c>
      <c r="L304" t="s">
        <v>571</v>
      </c>
      <c r="M304">
        <f t="shared" si="57"/>
        <v>2</v>
      </c>
      <c r="N304">
        <v>0</v>
      </c>
      <c r="O304" s="16">
        <v>28</v>
      </c>
      <c r="P304" s="16">
        <f>IF(AND(ISNUMBER(O304),O304&lt;&gt;-1,O304&gt;='02_Parameters'!$B$18,O304&lt;='02_Parameters'!$B$19),O304,"")</f>
        <v>28</v>
      </c>
      <c r="Q304" s="16">
        <v>28</v>
      </c>
      <c r="R304" t="str">
        <f>IF(B304&lt;&gt;"Sensor Snapshot","",IF(O304="","Missing",IF(O304=-1,"Sensor failure sentinel (-1)",IF(OR(O304&lt;'02_Parameters'!$B$18,O304&gt;'02_Parameters'!$B$19),"Out of accepted range","Valid"))))</f>
        <v>Valid</v>
      </c>
      <c r="S304" s="16">
        <v>70</v>
      </c>
      <c r="T304" s="16">
        <f>IF(AND(ISNUMBER(S304),S304&lt;&gt;-1,S304&gt;='02_Parameters'!$B$20,S304&lt;='02_Parameters'!$B$21),S304,"")</f>
        <v>70</v>
      </c>
      <c r="U304" s="16">
        <v>70</v>
      </c>
      <c r="V304" t="str">
        <f>IF(B304&lt;&gt;"Sensor Snapshot","",IF(S304="","Missing",IF(S304=-1,"Sensor failure sentinel (-1)",IF(OR(S304&lt;'02_Parameters'!$B$20,S304&gt;'02_Parameters'!$B$21),"Out of accepted range","Valid"))))</f>
        <v>Valid</v>
      </c>
      <c r="W304" s="16">
        <v>-69.7</v>
      </c>
      <c r="X304" s="16">
        <f t="shared" si="58"/>
        <v>69.7</v>
      </c>
      <c r="Y304" t="str">
        <f t="shared" si="59"/>
        <v>Sign corrected to positive</v>
      </c>
      <c r="Z304" s="16"/>
      <c r="AA304">
        <v>1</v>
      </c>
      <c r="AB304">
        <f>IF(B304&lt;&gt;"Sensor Snapshot","",IF(ISNUMBER(AA304),--(AA304&lt;&gt;0),IF(ISNUMBER(Z304),--(Z304&lt;'02_Parameters'!$B$15),"")))</f>
        <v>1</v>
      </c>
      <c r="AC304">
        <f>IF(B304&lt;&gt;"Sensor Snapshot","",IF(ISNUMBER(X304),--(X304&gt;='02_Parameters'!$B$16),""))</f>
        <v>1</v>
      </c>
      <c r="AD304">
        <v>0</v>
      </c>
      <c r="AE304">
        <f t="shared" si="60"/>
        <v>1</v>
      </c>
      <c r="AF304" s="3" t="str">
        <f t="shared" si="61"/>
        <v>Derived: optical AND weight</v>
      </c>
      <c r="AG304" s="16">
        <v>157.733</v>
      </c>
      <c r="AH304" s="16">
        <f>IF(B304&lt;&gt;"Sensor Snapshot","",IF(ISNUMBER(AG304),IF(AG304&lt;0,"",IF(AG304&gt;10,AG304/'02_Parameters'!$B$17,AG304)),""))</f>
        <v>1.5773300000000001</v>
      </c>
      <c r="AI304" t="str">
        <f t="shared" si="62"/>
        <v>Normalized from high-scale log</v>
      </c>
      <c r="AJ304">
        <f t="shared" si="63"/>
        <v>1</v>
      </c>
      <c r="AK304">
        <f t="shared" si="64"/>
        <v>0</v>
      </c>
      <c r="AL304">
        <v>0</v>
      </c>
      <c r="AM304">
        <f t="shared" si="65"/>
        <v>0</v>
      </c>
      <c r="AN304">
        <f>IF(B304&lt;&gt;"Sensor Snapshot","",--(N304&gt;='02_Parameters'!$B$13))</f>
        <v>0</v>
      </c>
      <c r="AO304">
        <f>IF(B304&lt;&gt;"Sensor Snapshot","",--(AND(L304="PUMPING",ISNUMBER(AH304),AH304&lt;='02_Parameters'!$B$10)))</f>
        <v>0</v>
      </c>
      <c r="AP304" s="16"/>
      <c r="AQ304" s="16" t="str">
        <f t="shared" si="66"/>
        <v/>
      </c>
      <c r="AR304" s="16" t="str">
        <f t="shared" si="67"/>
        <v/>
      </c>
      <c r="AU304" t="s">
        <v>236</v>
      </c>
      <c r="AV304" t="s">
        <v>237</v>
      </c>
      <c r="AW304" s="3" t="s">
        <v>325</v>
      </c>
      <c r="AX304" s="3">
        <f t="shared" si="68"/>
        <v>100</v>
      </c>
      <c r="AY304" s="3" t="str">
        <f t="shared" si="69"/>
        <v>A</v>
      </c>
      <c r="AZ304" s="3" t="s">
        <v>386</v>
      </c>
      <c r="BA304" s="3"/>
    </row>
    <row r="305" spans="1:53" ht="27.6">
      <c r="A305" t="s">
        <v>622</v>
      </c>
      <c r="B305" t="s">
        <v>242</v>
      </c>
      <c r="C305" s="14">
        <v>962184</v>
      </c>
      <c r="D305" s="15">
        <f t="shared" si="56"/>
        <v>962.18399999999997</v>
      </c>
      <c r="E305" t="s">
        <v>232</v>
      </c>
      <c r="G305" t="s">
        <v>157</v>
      </c>
      <c r="H305" t="s">
        <v>374</v>
      </c>
      <c r="I305" s="3" t="s">
        <v>575</v>
      </c>
      <c r="J305" s="3" t="s">
        <v>576</v>
      </c>
      <c r="K305">
        <v>2</v>
      </c>
      <c r="L305" t="s">
        <v>571</v>
      </c>
      <c r="M305">
        <f t="shared" si="57"/>
        <v>2</v>
      </c>
      <c r="O305" s="16"/>
      <c r="P305" s="16" t="str">
        <f>IF(AND(ISNUMBER(O305),O305&lt;&gt;-1,O305&gt;='02_Parameters'!$B$18,O305&lt;='02_Parameters'!$B$19),O305,"")</f>
        <v/>
      </c>
      <c r="Q305" s="16"/>
      <c r="R305" t="str">
        <f>IF(B305&lt;&gt;"Sensor Snapshot","",IF(O305="","Missing",IF(O305=-1,"Sensor failure sentinel (-1)",IF(OR(O305&lt;'02_Parameters'!$B$18,O305&gt;'02_Parameters'!$B$19),"Out of accepted range","Valid"))))</f>
        <v/>
      </c>
      <c r="S305" s="16"/>
      <c r="T305" s="16" t="str">
        <f>IF(AND(ISNUMBER(S305),S305&lt;&gt;-1,S305&gt;='02_Parameters'!$B$20,S305&lt;='02_Parameters'!$B$21),S305,"")</f>
        <v/>
      </c>
      <c r="U305" s="16"/>
      <c r="V305" t="str">
        <f>IF(B305&lt;&gt;"Sensor Snapshot","",IF(S305="","Missing",IF(S305=-1,"Sensor failure sentinel (-1)",IF(OR(S305&lt;'02_Parameters'!$B$20,S305&gt;'02_Parameters'!$B$21),"Out of accepted range","Valid"))))</f>
        <v/>
      </c>
      <c r="W305" s="16"/>
      <c r="X305" s="16" t="str">
        <f t="shared" si="58"/>
        <v/>
      </c>
      <c r="Y305" t="str">
        <f t="shared" si="59"/>
        <v/>
      </c>
      <c r="Z305" s="16"/>
      <c r="AB305" t="str">
        <f>IF(B305&lt;&gt;"Sensor Snapshot","",IF(ISNUMBER(AA305),--(AA305&lt;&gt;0),IF(ISNUMBER(Z305),--(Z305&lt;'02_Parameters'!$B$15),"")))</f>
        <v/>
      </c>
      <c r="AC305" t="str">
        <f>IF(B305&lt;&gt;"Sensor Snapshot","",IF(ISNUMBER(X305),--(X305&gt;='02_Parameters'!$B$16),""))</f>
        <v/>
      </c>
      <c r="AD305">
        <v>0</v>
      </c>
      <c r="AE305" t="str">
        <f t="shared" si="60"/>
        <v/>
      </c>
      <c r="AF305" s="3" t="str">
        <f t="shared" si="61"/>
        <v/>
      </c>
      <c r="AG305" s="16"/>
      <c r="AH305" s="16" t="str">
        <f>IF(B305&lt;&gt;"Sensor Snapshot","",IF(ISNUMBER(AG305),IF(AG305&lt;0,"",IF(AG305&gt;10,AG305/'02_Parameters'!$B$17,AG305)),""))</f>
        <v/>
      </c>
      <c r="AI305" t="str">
        <f t="shared" si="62"/>
        <v/>
      </c>
      <c r="AJ305" t="str">
        <f t="shared" si="63"/>
        <v/>
      </c>
      <c r="AK305" t="str">
        <f t="shared" si="64"/>
        <v/>
      </c>
      <c r="AM305" t="str">
        <f t="shared" si="65"/>
        <v/>
      </c>
      <c r="AN305" t="str">
        <f>IF(B305&lt;&gt;"Sensor Snapshot","",--(N305&gt;='02_Parameters'!$B$13))</f>
        <v/>
      </c>
      <c r="AO305" t="str">
        <f>IF(B305&lt;&gt;"Sensor Snapshot","",--(AND(L305="PUMPING",ISNUMBER(AH305),AH305&lt;='02_Parameters'!$B$10)))</f>
        <v/>
      </c>
      <c r="AP305" s="16"/>
      <c r="AQ305" s="16" t="str">
        <f t="shared" si="66"/>
        <v/>
      </c>
      <c r="AR305" s="16" t="str">
        <f t="shared" si="67"/>
        <v/>
      </c>
      <c r="AW305" s="3" t="s">
        <v>377</v>
      </c>
      <c r="AX305" s="3" t="str">
        <f t="shared" si="68"/>
        <v/>
      </c>
      <c r="AY305" s="3" t="str">
        <f t="shared" si="69"/>
        <v/>
      </c>
      <c r="AZ305" s="3" t="s">
        <v>247</v>
      </c>
      <c r="BA305" s="3"/>
    </row>
    <row r="306" spans="1:53" ht="55.2">
      <c r="A306" t="s">
        <v>623</v>
      </c>
      <c r="B306" t="s">
        <v>231</v>
      </c>
      <c r="C306" s="14">
        <v>967358</v>
      </c>
      <c r="D306" s="15">
        <f t="shared" si="56"/>
        <v>967.35799999999995</v>
      </c>
      <c r="E306" t="s">
        <v>232</v>
      </c>
      <c r="G306" t="s">
        <v>234</v>
      </c>
      <c r="H306" t="s">
        <v>235</v>
      </c>
      <c r="I306" s="3"/>
      <c r="J306" s="3"/>
      <c r="K306">
        <v>2</v>
      </c>
      <c r="L306" t="s">
        <v>571</v>
      </c>
      <c r="M306">
        <f t="shared" si="57"/>
        <v>2</v>
      </c>
      <c r="N306">
        <v>0</v>
      </c>
      <c r="O306" s="16">
        <v>-1</v>
      </c>
      <c r="P306" s="16" t="str">
        <f>IF(AND(ISNUMBER(O306),O306&lt;&gt;-1,O306&gt;='02_Parameters'!$B$18,O306&lt;='02_Parameters'!$B$19),O306,"")</f>
        <v/>
      </c>
      <c r="Q306" s="16">
        <v>28</v>
      </c>
      <c r="R306" t="str">
        <f>IF(B306&lt;&gt;"Sensor Snapshot","",IF(O306="","Missing",IF(O306=-1,"Sensor failure sentinel (-1)",IF(OR(O306&lt;'02_Parameters'!$B$18,O306&gt;'02_Parameters'!$B$19),"Out of accepted range","Valid"))))</f>
        <v>Sensor failure sentinel (-1)</v>
      </c>
      <c r="S306" s="16">
        <v>-1</v>
      </c>
      <c r="T306" s="16" t="str">
        <f>IF(AND(ISNUMBER(S306),S306&lt;&gt;-1,S306&gt;='02_Parameters'!$B$20,S306&lt;='02_Parameters'!$B$21),S306,"")</f>
        <v/>
      </c>
      <c r="U306" s="16">
        <v>70</v>
      </c>
      <c r="V306" t="str">
        <f>IF(B306&lt;&gt;"Sensor Snapshot","",IF(S306="","Missing",IF(S306=-1,"Sensor failure sentinel (-1)",IF(OR(S306&lt;'02_Parameters'!$B$20,S306&gt;'02_Parameters'!$B$21),"Out of accepted range","Valid"))))</f>
        <v>Sensor failure sentinel (-1)</v>
      </c>
      <c r="W306" s="16">
        <v>-1.7</v>
      </c>
      <c r="X306" s="16">
        <f t="shared" si="58"/>
        <v>1.7</v>
      </c>
      <c r="Y306" t="str">
        <f t="shared" si="59"/>
        <v>Sign corrected to positive</v>
      </c>
      <c r="Z306" s="16"/>
      <c r="AA306">
        <v>1</v>
      </c>
      <c r="AB306">
        <f>IF(B306&lt;&gt;"Sensor Snapshot","",IF(ISNUMBER(AA306),--(AA306&lt;&gt;0),IF(ISNUMBER(Z306),--(Z306&lt;'02_Parameters'!$B$15),"")))</f>
        <v>1</v>
      </c>
      <c r="AC306">
        <f>IF(B306&lt;&gt;"Sensor Snapshot","",IF(ISNUMBER(X306),--(X306&gt;='02_Parameters'!$B$16),""))</f>
        <v>0</v>
      </c>
      <c r="AD306">
        <v>0</v>
      </c>
      <c r="AE306">
        <f t="shared" si="60"/>
        <v>0</v>
      </c>
      <c r="AF306" s="3" t="str">
        <f t="shared" si="61"/>
        <v>Partial detection only</v>
      </c>
      <c r="AG306" s="16">
        <v>112.373</v>
      </c>
      <c r="AH306" s="16">
        <f>IF(B306&lt;&gt;"Sensor Snapshot","",IF(ISNUMBER(AG306),IF(AG306&lt;0,"",IF(AG306&gt;10,AG306/'02_Parameters'!$B$17,AG306)),""))</f>
        <v>1.1237300000000001</v>
      </c>
      <c r="AI306" t="str">
        <f t="shared" si="62"/>
        <v>Normalized from high-scale log</v>
      </c>
      <c r="AJ306">
        <f t="shared" si="63"/>
        <v>1</v>
      </c>
      <c r="AK306">
        <f t="shared" si="64"/>
        <v>0</v>
      </c>
      <c r="AL306">
        <v>0</v>
      </c>
      <c r="AM306">
        <f t="shared" si="65"/>
        <v>0</v>
      </c>
      <c r="AN306">
        <f>IF(B306&lt;&gt;"Sensor Snapshot","",--(N306&gt;='02_Parameters'!$B$13))</f>
        <v>0</v>
      </c>
      <c r="AO306">
        <f>IF(B306&lt;&gt;"Sensor Snapshot","",--(AND(L306="PUMPING",ISNUMBER(AH306),AH306&lt;='02_Parameters'!$B$10)))</f>
        <v>0</v>
      </c>
      <c r="AP306" s="16"/>
      <c r="AQ306" s="16" t="str">
        <f t="shared" si="66"/>
        <v/>
      </c>
      <c r="AR306" s="16" t="str">
        <f t="shared" si="67"/>
        <v/>
      </c>
      <c r="AU306" t="s">
        <v>236</v>
      </c>
      <c r="AV306" t="s">
        <v>237</v>
      </c>
      <c r="AW306" s="3" t="s">
        <v>330</v>
      </c>
      <c r="AX306" s="3">
        <f t="shared" si="68"/>
        <v>60</v>
      </c>
      <c r="AY306" s="3" t="str">
        <f t="shared" si="69"/>
        <v>C</v>
      </c>
      <c r="AZ306" s="3" t="s">
        <v>386</v>
      </c>
      <c r="BA306" s="3"/>
    </row>
    <row r="307" spans="1:53" ht="27.6">
      <c r="A307" t="s">
        <v>624</v>
      </c>
      <c r="B307" t="s">
        <v>231</v>
      </c>
      <c r="C307" s="14">
        <v>972325</v>
      </c>
      <c r="D307" s="15">
        <f t="shared" si="56"/>
        <v>972.32500000000005</v>
      </c>
      <c r="E307" t="s">
        <v>232</v>
      </c>
      <c r="G307" t="s">
        <v>234</v>
      </c>
      <c r="H307" t="s">
        <v>235</v>
      </c>
      <c r="I307" s="3"/>
      <c r="J307" s="3"/>
      <c r="K307">
        <v>2</v>
      </c>
      <c r="L307" t="s">
        <v>571</v>
      </c>
      <c r="M307">
        <f t="shared" si="57"/>
        <v>2</v>
      </c>
      <c r="N307">
        <v>0</v>
      </c>
      <c r="O307" s="16">
        <v>27.9</v>
      </c>
      <c r="P307" s="16">
        <f>IF(AND(ISNUMBER(O307),O307&lt;&gt;-1,O307&gt;='02_Parameters'!$B$18,O307&lt;='02_Parameters'!$B$19),O307,"")</f>
        <v>27.9</v>
      </c>
      <c r="Q307" s="16">
        <v>27.9</v>
      </c>
      <c r="R307" t="str">
        <f>IF(B307&lt;&gt;"Sensor Snapshot","",IF(O307="","Missing",IF(O307=-1,"Sensor failure sentinel (-1)",IF(OR(O307&lt;'02_Parameters'!$B$18,O307&gt;'02_Parameters'!$B$19),"Out of accepted range","Valid"))))</f>
        <v>Valid</v>
      </c>
      <c r="S307" s="16">
        <v>70.099999999999994</v>
      </c>
      <c r="T307" s="16">
        <f>IF(AND(ISNUMBER(S307),S307&lt;&gt;-1,S307&gt;='02_Parameters'!$B$20,S307&lt;='02_Parameters'!$B$21),S307,"")</f>
        <v>70.099999999999994</v>
      </c>
      <c r="U307" s="16">
        <v>70.099999999999994</v>
      </c>
      <c r="V307" t="str">
        <f>IF(B307&lt;&gt;"Sensor Snapshot","",IF(S307="","Missing",IF(S307=-1,"Sensor failure sentinel (-1)",IF(OR(S307&lt;'02_Parameters'!$B$20,S307&gt;'02_Parameters'!$B$21),"Out of accepted range","Valid"))))</f>
        <v>Valid</v>
      </c>
      <c r="W307" s="16">
        <v>-1.1000000000000001</v>
      </c>
      <c r="X307" s="16">
        <f t="shared" si="58"/>
        <v>1.1000000000000001</v>
      </c>
      <c r="Y307" t="str">
        <f t="shared" si="59"/>
        <v>Sign corrected to positive</v>
      </c>
      <c r="Z307" s="16"/>
      <c r="AA307">
        <v>1</v>
      </c>
      <c r="AB307">
        <f>IF(B307&lt;&gt;"Sensor Snapshot","",IF(ISNUMBER(AA307),--(AA307&lt;&gt;0),IF(ISNUMBER(Z307),--(Z307&lt;'02_Parameters'!$B$15),"")))</f>
        <v>1</v>
      </c>
      <c r="AC307">
        <f>IF(B307&lt;&gt;"Sensor Snapshot","",IF(ISNUMBER(X307),--(X307&gt;='02_Parameters'!$B$16),""))</f>
        <v>0</v>
      </c>
      <c r="AD307">
        <v>0</v>
      </c>
      <c r="AE307">
        <f t="shared" si="60"/>
        <v>0</v>
      </c>
      <c r="AF307" s="3" t="str">
        <f t="shared" si="61"/>
        <v>Partial detection only</v>
      </c>
      <c r="AG307" s="16">
        <v>105.12</v>
      </c>
      <c r="AH307" s="16">
        <f>IF(B307&lt;&gt;"Sensor Snapshot","",IF(ISNUMBER(AG307),IF(AG307&lt;0,"",IF(AG307&gt;10,AG307/'02_Parameters'!$B$17,AG307)),""))</f>
        <v>1.0512000000000001</v>
      </c>
      <c r="AI307" t="str">
        <f t="shared" si="62"/>
        <v>Normalized from high-scale log</v>
      </c>
      <c r="AJ307">
        <f t="shared" si="63"/>
        <v>1</v>
      </c>
      <c r="AK307">
        <f t="shared" si="64"/>
        <v>0</v>
      </c>
      <c r="AL307">
        <v>0</v>
      </c>
      <c r="AM307">
        <f t="shared" si="65"/>
        <v>0</v>
      </c>
      <c r="AN307">
        <f>IF(B307&lt;&gt;"Sensor Snapshot","",--(N307&gt;='02_Parameters'!$B$13))</f>
        <v>0</v>
      </c>
      <c r="AO307">
        <f>IF(B307&lt;&gt;"Sensor Snapshot","",--(AND(L307="PUMPING",ISNUMBER(AH307),AH307&lt;='02_Parameters'!$B$10)))</f>
        <v>0</v>
      </c>
      <c r="AP307" s="16"/>
      <c r="AQ307" s="16" t="str">
        <f t="shared" si="66"/>
        <v/>
      </c>
      <c r="AR307" s="16" t="str">
        <f t="shared" si="67"/>
        <v/>
      </c>
      <c r="AU307" t="s">
        <v>236</v>
      </c>
      <c r="AV307" t="s">
        <v>237</v>
      </c>
      <c r="AW307" s="3" t="s">
        <v>325</v>
      </c>
      <c r="AX307" s="3">
        <f t="shared" si="68"/>
        <v>100</v>
      </c>
      <c r="AY307" s="3" t="str">
        <f t="shared" si="69"/>
        <v>A</v>
      </c>
      <c r="AZ307" s="3" t="s">
        <v>386</v>
      </c>
      <c r="BA307" s="3"/>
    </row>
    <row r="308" spans="1:53" ht="27.6">
      <c r="A308" t="s">
        <v>625</v>
      </c>
      <c r="B308" t="s">
        <v>231</v>
      </c>
      <c r="C308" s="14">
        <v>977326</v>
      </c>
      <c r="D308" s="15">
        <f t="shared" si="56"/>
        <v>977.32600000000002</v>
      </c>
      <c r="E308" t="s">
        <v>232</v>
      </c>
      <c r="G308" t="s">
        <v>234</v>
      </c>
      <c r="H308" t="s">
        <v>235</v>
      </c>
      <c r="I308" s="3"/>
      <c r="J308" s="3"/>
      <c r="K308">
        <v>2</v>
      </c>
      <c r="L308" t="s">
        <v>571</v>
      </c>
      <c r="M308">
        <f t="shared" si="57"/>
        <v>2</v>
      </c>
      <c r="N308">
        <v>0</v>
      </c>
      <c r="O308" s="16">
        <v>27.9</v>
      </c>
      <c r="P308" s="16">
        <f>IF(AND(ISNUMBER(O308),O308&lt;&gt;-1,O308&gt;='02_Parameters'!$B$18,O308&lt;='02_Parameters'!$B$19),O308,"")</f>
        <v>27.9</v>
      </c>
      <c r="Q308" s="16">
        <v>27.9</v>
      </c>
      <c r="R308" t="str">
        <f>IF(B308&lt;&gt;"Sensor Snapshot","",IF(O308="","Missing",IF(O308=-1,"Sensor failure sentinel (-1)",IF(OR(O308&lt;'02_Parameters'!$B$18,O308&gt;'02_Parameters'!$B$19),"Out of accepted range","Valid"))))</f>
        <v>Valid</v>
      </c>
      <c r="S308" s="16">
        <v>70.099999999999994</v>
      </c>
      <c r="T308" s="16">
        <f>IF(AND(ISNUMBER(S308),S308&lt;&gt;-1,S308&gt;='02_Parameters'!$B$20,S308&lt;='02_Parameters'!$B$21),S308,"")</f>
        <v>70.099999999999994</v>
      </c>
      <c r="U308" s="16">
        <v>70.099999999999994</v>
      </c>
      <c r="V308" t="str">
        <f>IF(B308&lt;&gt;"Sensor Snapshot","",IF(S308="","Missing",IF(S308=-1,"Sensor failure sentinel (-1)",IF(OR(S308&lt;'02_Parameters'!$B$20,S308&gt;'02_Parameters'!$B$21),"Out of accepted range","Valid"))))</f>
        <v>Valid</v>
      </c>
      <c r="W308" s="16">
        <v>-1.7</v>
      </c>
      <c r="X308" s="16">
        <f t="shared" si="58"/>
        <v>1.7</v>
      </c>
      <c r="Y308" t="str">
        <f t="shared" si="59"/>
        <v>Sign corrected to positive</v>
      </c>
      <c r="Z308" s="16"/>
      <c r="AA308">
        <v>1</v>
      </c>
      <c r="AB308">
        <f>IF(B308&lt;&gt;"Sensor Snapshot","",IF(ISNUMBER(AA308),--(AA308&lt;&gt;0),IF(ISNUMBER(Z308),--(Z308&lt;'02_Parameters'!$B$15),"")))</f>
        <v>1</v>
      </c>
      <c r="AC308">
        <f>IF(B308&lt;&gt;"Sensor Snapshot","",IF(ISNUMBER(X308),--(X308&gt;='02_Parameters'!$B$16),""))</f>
        <v>0</v>
      </c>
      <c r="AD308">
        <v>0</v>
      </c>
      <c r="AE308">
        <f t="shared" si="60"/>
        <v>0</v>
      </c>
      <c r="AF308" s="3" t="str">
        <f t="shared" si="61"/>
        <v>Partial detection only</v>
      </c>
      <c r="AG308" s="16">
        <v>100.88</v>
      </c>
      <c r="AH308" s="16">
        <f>IF(B308&lt;&gt;"Sensor Snapshot","",IF(ISNUMBER(AG308),IF(AG308&lt;0,"",IF(AG308&gt;10,AG308/'02_Parameters'!$B$17,AG308)),""))</f>
        <v>1.0087999999999999</v>
      </c>
      <c r="AI308" t="str">
        <f t="shared" si="62"/>
        <v>Normalized from high-scale log</v>
      </c>
      <c r="AJ308">
        <f t="shared" si="63"/>
        <v>1</v>
      </c>
      <c r="AK308">
        <f t="shared" si="64"/>
        <v>0</v>
      </c>
      <c r="AL308">
        <v>0</v>
      </c>
      <c r="AM308">
        <f t="shared" si="65"/>
        <v>0</v>
      </c>
      <c r="AN308">
        <f>IF(B308&lt;&gt;"Sensor Snapshot","",--(N308&gt;='02_Parameters'!$B$13))</f>
        <v>0</v>
      </c>
      <c r="AO308">
        <f>IF(B308&lt;&gt;"Sensor Snapshot","",--(AND(L308="PUMPING",ISNUMBER(AH308),AH308&lt;='02_Parameters'!$B$10)))</f>
        <v>0</v>
      </c>
      <c r="AP308" s="16"/>
      <c r="AQ308" s="16" t="str">
        <f t="shared" si="66"/>
        <v/>
      </c>
      <c r="AR308" s="16" t="str">
        <f t="shared" si="67"/>
        <v/>
      </c>
      <c r="AU308" t="s">
        <v>236</v>
      </c>
      <c r="AV308" t="s">
        <v>237</v>
      </c>
      <c r="AW308" s="3" t="s">
        <v>325</v>
      </c>
      <c r="AX308" s="3">
        <f t="shared" si="68"/>
        <v>100</v>
      </c>
      <c r="AY308" s="3" t="str">
        <f t="shared" si="69"/>
        <v>A</v>
      </c>
      <c r="AZ308" s="3" t="s">
        <v>386</v>
      </c>
      <c r="BA308" s="3"/>
    </row>
    <row r="309" spans="1:53" ht="27.6">
      <c r="A309" t="s">
        <v>626</v>
      </c>
      <c r="B309" t="s">
        <v>231</v>
      </c>
      <c r="C309" s="14">
        <v>982326</v>
      </c>
      <c r="D309" s="15">
        <f t="shared" si="56"/>
        <v>982.32600000000002</v>
      </c>
      <c r="E309" t="s">
        <v>232</v>
      </c>
      <c r="G309" t="s">
        <v>234</v>
      </c>
      <c r="H309" t="s">
        <v>235</v>
      </c>
      <c r="I309" s="3"/>
      <c r="J309" s="3"/>
      <c r="K309">
        <v>2</v>
      </c>
      <c r="L309" t="s">
        <v>571</v>
      </c>
      <c r="M309">
        <f t="shared" si="57"/>
        <v>2</v>
      </c>
      <c r="N309">
        <v>0</v>
      </c>
      <c r="O309" s="16">
        <v>27.8</v>
      </c>
      <c r="P309" s="16">
        <f>IF(AND(ISNUMBER(O309),O309&lt;&gt;-1,O309&gt;='02_Parameters'!$B$18,O309&lt;='02_Parameters'!$B$19),O309,"")</f>
        <v>27.8</v>
      </c>
      <c r="Q309" s="16">
        <v>27.8</v>
      </c>
      <c r="R309" t="str">
        <f>IF(B309&lt;&gt;"Sensor Snapshot","",IF(O309="","Missing",IF(O309=-1,"Sensor failure sentinel (-1)",IF(OR(O309&lt;'02_Parameters'!$B$18,O309&gt;'02_Parameters'!$B$19),"Out of accepted range","Valid"))))</f>
        <v>Valid</v>
      </c>
      <c r="S309" s="16">
        <v>70.2</v>
      </c>
      <c r="T309" s="16">
        <f>IF(AND(ISNUMBER(S309),S309&lt;&gt;-1,S309&gt;='02_Parameters'!$B$20,S309&lt;='02_Parameters'!$B$21),S309,"")</f>
        <v>70.2</v>
      </c>
      <c r="U309" s="16">
        <v>70.2</v>
      </c>
      <c r="V309" t="str">
        <f>IF(B309&lt;&gt;"Sensor Snapshot","",IF(S309="","Missing",IF(S309=-1,"Sensor failure sentinel (-1)",IF(OR(S309&lt;'02_Parameters'!$B$20,S309&gt;'02_Parameters'!$B$21),"Out of accepted range","Valid"))))</f>
        <v>Valid</v>
      </c>
      <c r="W309" s="16">
        <v>-0.3</v>
      </c>
      <c r="X309" s="16">
        <f t="shared" si="58"/>
        <v>0.3</v>
      </c>
      <c r="Y309" t="str">
        <f t="shared" si="59"/>
        <v>Sign corrected to positive</v>
      </c>
      <c r="Z309" s="16"/>
      <c r="AA309">
        <v>1</v>
      </c>
      <c r="AB309">
        <f>IF(B309&lt;&gt;"Sensor Snapshot","",IF(ISNUMBER(AA309),--(AA309&lt;&gt;0),IF(ISNUMBER(Z309),--(Z309&lt;'02_Parameters'!$B$15),"")))</f>
        <v>1</v>
      </c>
      <c r="AC309">
        <f>IF(B309&lt;&gt;"Sensor Snapshot","",IF(ISNUMBER(X309),--(X309&gt;='02_Parameters'!$B$16),""))</f>
        <v>0</v>
      </c>
      <c r="AD309">
        <v>0</v>
      </c>
      <c r="AE309">
        <f t="shared" si="60"/>
        <v>0</v>
      </c>
      <c r="AF309" s="3" t="str">
        <f t="shared" si="61"/>
        <v>Partial detection only</v>
      </c>
      <c r="AG309" s="16">
        <v>97.04</v>
      </c>
      <c r="AH309" s="16">
        <f>IF(B309&lt;&gt;"Sensor Snapshot","",IF(ISNUMBER(AG309),IF(AG309&lt;0,"",IF(AG309&gt;10,AG309/'02_Parameters'!$B$17,AG309)),""))</f>
        <v>0.97040000000000004</v>
      </c>
      <c r="AI309" t="str">
        <f t="shared" si="62"/>
        <v>Normalized from high-scale log</v>
      </c>
      <c r="AJ309">
        <f t="shared" si="63"/>
        <v>1</v>
      </c>
      <c r="AK309">
        <f t="shared" si="64"/>
        <v>0</v>
      </c>
      <c r="AL309">
        <v>0</v>
      </c>
      <c r="AM309">
        <f t="shared" si="65"/>
        <v>0</v>
      </c>
      <c r="AN309">
        <f>IF(B309&lt;&gt;"Sensor Snapshot","",--(N309&gt;='02_Parameters'!$B$13))</f>
        <v>0</v>
      </c>
      <c r="AO309">
        <f>IF(B309&lt;&gt;"Sensor Snapshot","",--(AND(L309="PUMPING",ISNUMBER(AH309),AH309&lt;='02_Parameters'!$B$10)))</f>
        <v>0</v>
      </c>
      <c r="AP309" s="16"/>
      <c r="AQ309" s="16" t="str">
        <f t="shared" si="66"/>
        <v/>
      </c>
      <c r="AR309" s="16" t="str">
        <f t="shared" si="67"/>
        <v/>
      </c>
      <c r="AU309" t="s">
        <v>236</v>
      </c>
      <c r="AV309" t="s">
        <v>237</v>
      </c>
      <c r="AW309" s="3" t="s">
        <v>325</v>
      </c>
      <c r="AX309" s="3">
        <f t="shared" si="68"/>
        <v>100</v>
      </c>
      <c r="AY309" s="3" t="str">
        <f t="shared" si="69"/>
        <v>A</v>
      </c>
      <c r="AZ309" s="3" t="s">
        <v>386</v>
      </c>
      <c r="BA309" s="3"/>
    </row>
    <row r="310" spans="1:53" ht="27.6">
      <c r="A310" t="s">
        <v>627</v>
      </c>
      <c r="B310" t="s">
        <v>231</v>
      </c>
      <c r="C310" s="14">
        <v>987326</v>
      </c>
      <c r="D310" s="15">
        <f t="shared" si="56"/>
        <v>987.32600000000002</v>
      </c>
      <c r="E310" t="s">
        <v>232</v>
      </c>
      <c r="G310" t="s">
        <v>234</v>
      </c>
      <c r="H310" t="s">
        <v>235</v>
      </c>
      <c r="I310" s="3"/>
      <c r="J310" s="3"/>
      <c r="K310">
        <v>2</v>
      </c>
      <c r="L310" t="s">
        <v>571</v>
      </c>
      <c r="M310">
        <f t="shared" si="57"/>
        <v>2</v>
      </c>
      <c r="N310">
        <v>0</v>
      </c>
      <c r="O310" s="16">
        <v>27.8</v>
      </c>
      <c r="P310" s="16">
        <f>IF(AND(ISNUMBER(O310),O310&lt;&gt;-1,O310&gt;='02_Parameters'!$B$18,O310&lt;='02_Parameters'!$B$19),O310,"")</f>
        <v>27.8</v>
      </c>
      <c r="Q310" s="16">
        <v>27.8</v>
      </c>
      <c r="R310" t="str">
        <f>IF(B310&lt;&gt;"Sensor Snapshot","",IF(O310="","Missing",IF(O310=-1,"Sensor failure sentinel (-1)",IF(OR(O310&lt;'02_Parameters'!$B$18,O310&gt;'02_Parameters'!$B$19),"Out of accepted range","Valid"))))</f>
        <v>Valid</v>
      </c>
      <c r="S310" s="16">
        <v>70.400000000000006</v>
      </c>
      <c r="T310" s="16">
        <f>IF(AND(ISNUMBER(S310),S310&lt;&gt;-1,S310&gt;='02_Parameters'!$B$20,S310&lt;='02_Parameters'!$B$21),S310,"")</f>
        <v>70.400000000000006</v>
      </c>
      <c r="U310" s="16">
        <v>70.400000000000006</v>
      </c>
      <c r="V310" t="str">
        <f>IF(B310&lt;&gt;"Sensor Snapshot","",IF(S310="","Missing",IF(S310=-1,"Sensor failure sentinel (-1)",IF(OR(S310&lt;'02_Parameters'!$B$20,S310&gt;'02_Parameters'!$B$21),"Out of accepted range","Valid"))))</f>
        <v>Valid</v>
      </c>
      <c r="W310" s="16">
        <v>-1.9</v>
      </c>
      <c r="X310" s="16">
        <f t="shared" si="58"/>
        <v>1.9</v>
      </c>
      <c r="Y310" t="str">
        <f t="shared" si="59"/>
        <v>Sign corrected to positive</v>
      </c>
      <c r="Z310" s="16"/>
      <c r="AA310">
        <v>1</v>
      </c>
      <c r="AB310">
        <f>IF(B310&lt;&gt;"Sensor Snapshot","",IF(ISNUMBER(AA310),--(AA310&lt;&gt;0),IF(ISNUMBER(Z310),--(Z310&lt;'02_Parameters'!$B$15),"")))</f>
        <v>1</v>
      </c>
      <c r="AC310">
        <f>IF(B310&lt;&gt;"Sensor Snapshot","",IF(ISNUMBER(X310),--(X310&gt;='02_Parameters'!$B$16),""))</f>
        <v>0</v>
      </c>
      <c r="AD310">
        <v>0</v>
      </c>
      <c r="AE310">
        <f t="shared" si="60"/>
        <v>0</v>
      </c>
      <c r="AF310" s="3" t="str">
        <f t="shared" si="61"/>
        <v>Partial detection only</v>
      </c>
      <c r="AG310" s="16">
        <v>90</v>
      </c>
      <c r="AH310" s="16">
        <f>IF(B310&lt;&gt;"Sensor Snapshot","",IF(ISNUMBER(AG310),IF(AG310&lt;0,"",IF(AG310&gt;10,AG310/'02_Parameters'!$B$17,AG310)),""))</f>
        <v>0.9</v>
      </c>
      <c r="AI310" t="str">
        <f t="shared" si="62"/>
        <v>Normalized from high-scale log</v>
      </c>
      <c r="AJ310">
        <f t="shared" si="63"/>
        <v>1</v>
      </c>
      <c r="AK310">
        <f t="shared" si="64"/>
        <v>0</v>
      </c>
      <c r="AL310">
        <v>0</v>
      </c>
      <c r="AM310">
        <f t="shared" si="65"/>
        <v>0</v>
      </c>
      <c r="AN310">
        <f>IF(B310&lt;&gt;"Sensor Snapshot","",--(N310&gt;='02_Parameters'!$B$13))</f>
        <v>0</v>
      </c>
      <c r="AO310">
        <f>IF(B310&lt;&gt;"Sensor Snapshot","",--(AND(L310="PUMPING",ISNUMBER(AH310),AH310&lt;='02_Parameters'!$B$10)))</f>
        <v>0</v>
      </c>
      <c r="AP310" s="16"/>
      <c r="AQ310" s="16" t="str">
        <f t="shared" si="66"/>
        <v/>
      </c>
      <c r="AR310" s="16" t="str">
        <f t="shared" si="67"/>
        <v/>
      </c>
      <c r="AU310" t="s">
        <v>236</v>
      </c>
      <c r="AV310" t="s">
        <v>237</v>
      </c>
      <c r="AW310" s="3" t="s">
        <v>325</v>
      </c>
      <c r="AX310" s="3">
        <f t="shared" si="68"/>
        <v>100</v>
      </c>
      <c r="AY310" s="3" t="str">
        <f t="shared" si="69"/>
        <v>A</v>
      </c>
      <c r="AZ310" s="3" t="s">
        <v>386</v>
      </c>
      <c r="BA310" s="3"/>
    </row>
    <row r="311" spans="1:53" ht="27.6">
      <c r="A311" t="s">
        <v>628</v>
      </c>
      <c r="B311" t="s">
        <v>242</v>
      </c>
      <c r="C311" s="14">
        <v>987326</v>
      </c>
      <c r="D311" s="15">
        <f t="shared" si="56"/>
        <v>987.32600000000002</v>
      </c>
      <c r="E311" t="s">
        <v>232</v>
      </c>
      <c r="G311" t="s">
        <v>157</v>
      </c>
      <c r="H311" t="s">
        <v>374</v>
      </c>
      <c r="I311" s="3" t="s">
        <v>575</v>
      </c>
      <c r="J311" s="3" t="s">
        <v>576</v>
      </c>
      <c r="K311">
        <v>2</v>
      </c>
      <c r="L311" t="s">
        <v>571</v>
      </c>
      <c r="M311">
        <f t="shared" si="57"/>
        <v>2</v>
      </c>
      <c r="O311" s="16"/>
      <c r="P311" s="16" t="str">
        <f>IF(AND(ISNUMBER(O311),O311&lt;&gt;-1,O311&gt;='02_Parameters'!$B$18,O311&lt;='02_Parameters'!$B$19),O311,"")</f>
        <v/>
      </c>
      <c r="Q311" s="16"/>
      <c r="R311" t="str">
        <f>IF(B311&lt;&gt;"Sensor Snapshot","",IF(O311="","Missing",IF(O311=-1,"Sensor failure sentinel (-1)",IF(OR(O311&lt;'02_Parameters'!$B$18,O311&gt;'02_Parameters'!$B$19),"Out of accepted range","Valid"))))</f>
        <v/>
      </c>
      <c r="S311" s="16"/>
      <c r="T311" s="16" t="str">
        <f>IF(AND(ISNUMBER(S311),S311&lt;&gt;-1,S311&gt;='02_Parameters'!$B$20,S311&lt;='02_Parameters'!$B$21),S311,"")</f>
        <v/>
      </c>
      <c r="U311" s="16"/>
      <c r="V311" t="str">
        <f>IF(B311&lt;&gt;"Sensor Snapshot","",IF(S311="","Missing",IF(S311=-1,"Sensor failure sentinel (-1)",IF(OR(S311&lt;'02_Parameters'!$B$20,S311&gt;'02_Parameters'!$B$21),"Out of accepted range","Valid"))))</f>
        <v/>
      </c>
      <c r="W311" s="16"/>
      <c r="X311" s="16" t="str">
        <f t="shared" si="58"/>
        <v/>
      </c>
      <c r="Y311" t="str">
        <f t="shared" si="59"/>
        <v/>
      </c>
      <c r="Z311" s="16"/>
      <c r="AB311" t="str">
        <f>IF(B311&lt;&gt;"Sensor Snapshot","",IF(ISNUMBER(AA311),--(AA311&lt;&gt;0),IF(ISNUMBER(Z311),--(Z311&lt;'02_Parameters'!$B$15),"")))</f>
        <v/>
      </c>
      <c r="AC311" t="str">
        <f>IF(B311&lt;&gt;"Sensor Snapshot","",IF(ISNUMBER(X311),--(X311&gt;='02_Parameters'!$B$16),""))</f>
        <v/>
      </c>
      <c r="AD311">
        <v>0</v>
      </c>
      <c r="AE311" t="str">
        <f t="shared" si="60"/>
        <v/>
      </c>
      <c r="AF311" s="3" t="str">
        <f t="shared" si="61"/>
        <v/>
      </c>
      <c r="AG311" s="16"/>
      <c r="AH311" s="16" t="str">
        <f>IF(B311&lt;&gt;"Sensor Snapshot","",IF(ISNUMBER(AG311),IF(AG311&lt;0,"",IF(AG311&gt;10,AG311/'02_Parameters'!$B$17,AG311)),""))</f>
        <v/>
      </c>
      <c r="AI311" t="str">
        <f t="shared" si="62"/>
        <v/>
      </c>
      <c r="AJ311" t="str">
        <f t="shared" si="63"/>
        <v/>
      </c>
      <c r="AK311" t="str">
        <f t="shared" si="64"/>
        <v/>
      </c>
      <c r="AM311" t="str">
        <f t="shared" si="65"/>
        <v/>
      </c>
      <c r="AN311" t="str">
        <f>IF(B311&lt;&gt;"Sensor Snapshot","",--(N311&gt;='02_Parameters'!$B$13))</f>
        <v/>
      </c>
      <c r="AO311" t="str">
        <f>IF(B311&lt;&gt;"Sensor Snapshot","",--(AND(L311="PUMPING",ISNUMBER(AH311),AH311&lt;='02_Parameters'!$B$10)))</f>
        <v/>
      </c>
      <c r="AP311" s="16"/>
      <c r="AQ311" s="16" t="str">
        <f t="shared" si="66"/>
        <v/>
      </c>
      <c r="AR311" s="16" t="str">
        <f t="shared" si="67"/>
        <v/>
      </c>
      <c r="AW311" s="3" t="s">
        <v>377</v>
      </c>
      <c r="AX311" s="3" t="str">
        <f t="shared" si="68"/>
        <v/>
      </c>
      <c r="AY311" s="3" t="str">
        <f t="shared" si="69"/>
        <v/>
      </c>
      <c r="AZ311" s="3" t="s">
        <v>247</v>
      </c>
      <c r="BA311" s="3"/>
    </row>
    <row r="312" spans="1:53" ht="55.2">
      <c r="A312" t="s">
        <v>629</v>
      </c>
      <c r="B312" t="s">
        <v>231</v>
      </c>
      <c r="C312" s="14">
        <v>992736</v>
      </c>
      <c r="D312" s="15">
        <f t="shared" si="56"/>
        <v>992.73599999999999</v>
      </c>
      <c r="E312" t="s">
        <v>232</v>
      </c>
      <c r="G312" t="s">
        <v>234</v>
      </c>
      <c r="H312" t="s">
        <v>235</v>
      </c>
      <c r="I312" s="3"/>
      <c r="J312" s="3"/>
      <c r="K312">
        <v>2</v>
      </c>
      <c r="L312" t="s">
        <v>571</v>
      </c>
      <c r="M312">
        <f t="shared" si="57"/>
        <v>2</v>
      </c>
      <c r="N312">
        <v>0</v>
      </c>
      <c r="O312" s="16">
        <v>-1</v>
      </c>
      <c r="P312" s="16" t="str">
        <f>IF(AND(ISNUMBER(O312),O312&lt;&gt;-1,O312&gt;='02_Parameters'!$B$18,O312&lt;='02_Parameters'!$B$19),O312,"")</f>
        <v/>
      </c>
      <c r="Q312" s="16">
        <v>27.8</v>
      </c>
      <c r="R312" t="str">
        <f>IF(B312&lt;&gt;"Sensor Snapshot","",IF(O312="","Missing",IF(O312=-1,"Sensor failure sentinel (-1)",IF(OR(O312&lt;'02_Parameters'!$B$18,O312&gt;'02_Parameters'!$B$19),"Out of accepted range","Valid"))))</f>
        <v>Sensor failure sentinel (-1)</v>
      </c>
      <c r="S312" s="16">
        <v>-1</v>
      </c>
      <c r="T312" s="16" t="str">
        <f>IF(AND(ISNUMBER(S312),S312&lt;&gt;-1,S312&gt;='02_Parameters'!$B$20,S312&lt;='02_Parameters'!$B$21),S312,"")</f>
        <v/>
      </c>
      <c r="U312" s="16">
        <v>70.400000000000006</v>
      </c>
      <c r="V312" t="str">
        <f>IF(B312&lt;&gt;"Sensor Snapshot","",IF(S312="","Missing",IF(S312=-1,"Sensor failure sentinel (-1)",IF(OR(S312&lt;'02_Parameters'!$B$20,S312&gt;'02_Parameters'!$B$21),"Out of accepted range","Valid"))))</f>
        <v>Sensor failure sentinel (-1)</v>
      </c>
      <c r="W312" s="16">
        <v>-71.900000000000006</v>
      </c>
      <c r="X312" s="16">
        <f t="shared" si="58"/>
        <v>71.900000000000006</v>
      </c>
      <c r="Y312" t="str">
        <f t="shared" si="59"/>
        <v>Sign corrected to positive</v>
      </c>
      <c r="Z312" s="16"/>
      <c r="AA312">
        <v>1</v>
      </c>
      <c r="AB312">
        <f>IF(B312&lt;&gt;"Sensor Snapshot","",IF(ISNUMBER(AA312),--(AA312&lt;&gt;0),IF(ISNUMBER(Z312),--(Z312&lt;'02_Parameters'!$B$15),"")))</f>
        <v>1</v>
      </c>
      <c r="AC312">
        <f>IF(B312&lt;&gt;"Sensor Snapshot","",IF(ISNUMBER(X312),--(X312&gt;='02_Parameters'!$B$16),""))</f>
        <v>1</v>
      </c>
      <c r="AD312">
        <v>0</v>
      </c>
      <c r="AE312">
        <f t="shared" si="60"/>
        <v>1</v>
      </c>
      <c r="AF312" s="3" t="str">
        <f t="shared" si="61"/>
        <v>Derived: optical AND weight</v>
      </c>
      <c r="AG312" s="16">
        <v>96.72</v>
      </c>
      <c r="AH312" s="16">
        <f>IF(B312&lt;&gt;"Sensor Snapshot","",IF(ISNUMBER(AG312),IF(AG312&lt;0,"",IF(AG312&gt;10,AG312/'02_Parameters'!$B$17,AG312)),""))</f>
        <v>0.96719999999999995</v>
      </c>
      <c r="AI312" t="str">
        <f t="shared" si="62"/>
        <v>Normalized from high-scale log</v>
      </c>
      <c r="AJ312">
        <f t="shared" si="63"/>
        <v>1</v>
      </c>
      <c r="AK312">
        <f t="shared" si="64"/>
        <v>0</v>
      </c>
      <c r="AL312">
        <v>0</v>
      </c>
      <c r="AM312">
        <f t="shared" si="65"/>
        <v>0</v>
      </c>
      <c r="AN312">
        <f>IF(B312&lt;&gt;"Sensor Snapshot","",--(N312&gt;='02_Parameters'!$B$13))</f>
        <v>0</v>
      </c>
      <c r="AO312">
        <f>IF(B312&lt;&gt;"Sensor Snapshot","",--(AND(L312="PUMPING",ISNUMBER(AH312),AH312&lt;='02_Parameters'!$B$10)))</f>
        <v>0</v>
      </c>
      <c r="AP312" s="16"/>
      <c r="AQ312" s="16" t="str">
        <f t="shared" si="66"/>
        <v/>
      </c>
      <c r="AR312" s="16" t="str">
        <f t="shared" si="67"/>
        <v/>
      </c>
      <c r="AU312" t="s">
        <v>236</v>
      </c>
      <c r="AV312" t="s">
        <v>237</v>
      </c>
      <c r="AW312" s="3" t="s">
        <v>330</v>
      </c>
      <c r="AX312" s="3">
        <f t="shared" si="68"/>
        <v>60</v>
      </c>
      <c r="AY312" s="3" t="str">
        <f t="shared" si="69"/>
        <v>C</v>
      </c>
      <c r="AZ312" s="3" t="s">
        <v>386</v>
      </c>
      <c r="BA312" s="3"/>
    </row>
    <row r="313" spans="1:53" ht="27.6">
      <c r="A313" t="s">
        <v>630</v>
      </c>
      <c r="B313" t="s">
        <v>242</v>
      </c>
      <c r="C313" s="14">
        <v>992736</v>
      </c>
      <c r="D313" s="15">
        <f t="shared" si="56"/>
        <v>992.73599999999999</v>
      </c>
      <c r="E313" t="s">
        <v>232</v>
      </c>
      <c r="G313" t="s">
        <v>157</v>
      </c>
      <c r="H313" t="s">
        <v>374</v>
      </c>
      <c r="I313" s="3" t="s">
        <v>575</v>
      </c>
      <c r="J313" s="3" t="s">
        <v>576</v>
      </c>
      <c r="K313">
        <v>2</v>
      </c>
      <c r="L313" t="s">
        <v>571</v>
      </c>
      <c r="M313">
        <f t="shared" si="57"/>
        <v>2</v>
      </c>
      <c r="O313" s="16"/>
      <c r="P313" s="16" t="str">
        <f>IF(AND(ISNUMBER(O313),O313&lt;&gt;-1,O313&gt;='02_Parameters'!$B$18,O313&lt;='02_Parameters'!$B$19),O313,"")</f>
        <v/>
      </c>
      <c r="Q313" s="16"/>
      <c r="R313" t="str">
        <f>IF(B313&lt;&gt;"Sensor Snapshot","",IF(O313="","Missing",IF(O313=-1,"Sensor failure sentinel (-1)",IF(OR(O313&lt;'02_Parameters'!$B$18,O313&gt;'02_Parameters'!$B$19),"Out of accepted range","Valid"))))</f>
        <v/>
      </c>
      <c r="S313" s="16"/>
      <c r="T313" s="16" t="str">
        <f>IF(AND(ISNUMBER(S313),S313&lt;&gt;-1,S313&gt;='02_Parameters'!$B$20,S313&lt;='02_Parameters'!$B$21),S313,"")</f>
        <v/>
      </c>
      <c r="U313" s="16"/>
      <c r="V313" t="str">
        <f>IF(B313&lt;&gt;"Sensor Snapshot","",IF(S313="","Missing",IF(S313=-1,"Sensor failure sentinel (-1)",IF(OR(S313&lt;'02_Parameters'!$B$20,S313&gt;'02_Parameters'!$B$21),"Out of accepted range","Valid"))))</f>
        <v/>
      </c>
      <c r="W313" s="16"/>
      <c r="X313" s="16" t="str">
        <f t="shared" si="58"/>
        <v/>
      </c>
      <c r="Y313" t="str">
        <f t="shared" si="59"/>
        <v/>
      </c>
      <c r="Z313" s="16"/>
      <c r="AB313" t="str">
        <f>IF(B313&lt;&gt;"Sensor Snapshot","",IF(ISNUMBER(AA313),--(AA313&lt;&gt;0),IF(ISNUMBER(Z313),--(Z313&lt;'02_Parameters'!$B$15),"")))</f>
        <v/>
      </c>
      <c r="AC313" t="str">
        <f>IF(B313&lt;&gt;"Sensor Snapshot","",IF(ISNUMBER(X313),--(X313&gt;='02_Parameters'!$B$16),""))</f>
        <v/>
      </c>
      <c r="AD313">
        <v>0</v>
      </c>
      <c r="AE313" t="str">
        <f t="shared" si="60"/>
        <v/>
      </c>
      <c r="AF313" s="3" t="str">
        <f t="shared" si="61"/>
        <v/>
      </c>
      <c r="AG313" s="16"/>
      <c r="AH313" s="16" t="str">
        <f>IF(B313&lt;&gt;"Sensor Snapshot","",IF(ISNUMBER(AG313),IF(AG313&lt;0,"",IF(AG313&gt;10,AG313/'02_Parameters'!$B$17,AG313)),""))</f>
        <v/>
      </c>
      <c r="AI313" t="str">
        <f t="shared" si="62"/>
        <v/>
      </c>
      <c r="AJ313" t="str">
        <f t="shared" si="63"/>
        <v/>
      </c>
      <c r="AK313" t="str">
        <f t="shared" si="64"/>
        <v/>
      </c>
      <c r="AM313" t="str">
        <f t="shared" si="65"/>
        <v/>
      </c>
      <c r="AN313" t="str">
        <f>IF(B313&lt;&gt;"Sensor Snapshot","",--(N313&gt;='02_Parameters'!$B$13))</f>
        <v/>
      </c>
      <c r="AO313" t="str">
        <f>IF(B313&lt;&gt;"Sensor Snapshot","",--(AND(L313="PUMPING",ISNUMBER(AH313),AH313&lt;='02_Parameters'!$B$10)))</f>
        <v/>
      </c>
      <c r="AP313" s="16"/>
      <c r="AQ313" s="16" t="str">
        <f t="shared" si="66"/>
        <v/>
      </c>
      <c r="AR313" s="16" t="str">
        <f t="shared" si="67"/>
        <v/>
      </c>
      <c r="AW313" s="3" t="s">
        <v>377</v>
      </c>
      <c r="AX313" s="3" t="str">
        <f t="shared" si="68"/>
        <v/>
      </c>
      <c r="AY313" s="3" t="str">
        <f t="shared" si="69"/>
        <v/>
      </c>
      <c r="AZ313" s="3" t="s">
        <v>247</v>
      </c>
      <c r="BA313" s="3"/>
    </row>
    <row r="314" spans="1:53" ht="55.2">
      <c r="A314" t="s">
        <v>631</v>
      </c>
      <c r="B314" t="s">
        <v>231</v>
      </c>
      <c r="C314" s="14">
        <v>997836</v>
      </c>
      <c r="D314" s="15">
        <f t="shared" si="56"/>
        <v>997.83600000000001</v>
      </c>
      <c r="E314" t="s">
        <v>232</v>
      </c>
      <c r="G314" t="s">
        <v>234</v>
      </c>
      <c r="H314" t="s">
        <v>235</v>
      </c>
      <c r="I314" s="3"/>
      <c r="J314" s="3"/>
      <c r="K314">
        <v>2</v>
      </c>
      <c r="L314" t="s">
        <v>571</v>
      </c>
      <c r="M314">
        <f t="shared" si="57"/>
        <v>2</v>
      </c>
      <c r="N314">
        <v>0</v>
      </c>
      <c r="O314" s="16">
        <v>-1</v>
      </c>
      <c r="P314" s="16" t="str">
        <f>IF(AND(ISNUMBER(O314),O314&lt;&gt;-1,O314&gt;='02_Parameters'!$B$18,O314&lt;='02_Parameters'!$B$19),O314,"")</f>
        <v/>
      </c>
      <c r="Q314" s="16">
        <v>27.8</v>
      </c>
      <c r="R314" t="str">
        <f>IF(B314&lt;&gt;"Sensor Snapshot","",IF(O314="","Missing",IF(O314=-1,"Sensor failure sentinel (-1)",IF(OR(O314&lt;'02_Parameters'!$B$18,O314&gt;'02_Parameters'!$B$19),"Out of accepted range","Valid"))))</f>
        <v>Sensor failure sentinel (-1)</v>
      </c>
      <c r="S314" s="16">
        <v>-1</v>
      </c>
      <c r="T314" s="16" t="str">
        <f>IF(AND(ISNUMBER(S314),S314&lt;&gt;-1,S314&gt;='02_Parameters'!$B$20,S314&lt;='02_Parameters'!$B$21),S314,"")</f>
        <v/>
      </c>
      <c r="U314" s="16">
        <v>70.400000000000006</v>
      </c>
      <c r="V314" t="str">
        <f>IF(B314&lt;&gt;"Sensor Snapshot","",IF(S314="","Missing",IF(S314=-1,"Sensor failure sentinel (-1)",IF(OR(S314&lt;'02_Parameters'!$B$20,S314&gt;'02_Parameters'!$B$21),"Out of accepted range","Valid"))))</f>
        <v>Sensor failure sentinel (-1)</v>
      </c>
      <c r="W314" s="16">
        <v>-2.5</v>
      </c>
      <c r="X314" s="16">
        <f t="shared" si="58"/>
        <v>2.5</v>
      </c>
      <c r="Y314" t="str">
        <f t="shared" si="59"/>
        <v>Sign corrected to positive</v>
      </c>
      <c r="Z314" s="16"/>
      <c r="AA314">
        <v>1</v>
      </c>
      <c r="AB314">
        <f>IF(B314&lt;&gt;"Sensor Snapshot","",IF(ISNUMBER(AA314),--(AA314&lt;&gt;0),IF(ISNUMBER(Z314),--(Z314&lt;'02_Parameters'!$B$15),"")))</f>
        <v>1</v>
      </c>
      <c r="AC314">
        <f>IF(B314&lt;&gt;"Sensor Snapshot","",IF(ISNUMBER(X314),--(X314&gt;='02_Parameters'!$B$16),""))</f>
        <v>0</v>
      </c>
      <c r="AD314">
        <v>0</v>
      </c>
      <c r="AE314">
        <f t="shared" si="60"/>
        <v>0</v>
      </c>
      <c r="AF314" s="3" t="str">
        <f t="shared" si="61"/>
        <v>Partial detection only</v>
      </c>
      <c r="AG314" s="16">
        <v>92.88</v>
      </c>
      <c r="AH314" s="16">
        <f>IF(B314&lt;&gt;"Sensor Snapshot","",IF(ISNUMBER(AG314),IF(AG314&lt;0,"",IF(AG314&gt;10,AG314/'02_Parameters'!$B$17,AG314)),""))</f>
        <v>0.92879999999999996</v>
      </c>
      <c r="AI314" t="str">
        <f t="shared" si="62"/>
        <v>Normalized from high-scale log</v>
      </c>
      <c r="AJ314">
        <f t="shared" si="63"/>
        <v>1</v>
      </c>
      <c r="AK314">
        <f t="shared" si="64"/>
        <v>0</v>
      </c>
      <c r="AL314">
        <v>0</v>
      </c>
      <c r="AM314">
        <f t="shared" si="65"/>
        <v>0</v>
      </c>
      <c r="AN314">
        <f>IF(B314&lt;&gt;"Sensor Snapshot","",--(N314&gt;='02_Parameters'!$B$13))</f>
        <v>0</v>
      </c>
      <c r="AO314">
        <f>IF(B314&lt;&gt;"Sensor Snapshot","",--(AND(L314="PUMPING",ISNUMBER(AH314),AH314&lt;='02_Parameters'!$B$10)))</f>
        <v>0</v>
      </c>
      <c r="AP314" s="16"/>
      <c r="AQ314" s="16" t="str">
        <f t="shared" si="66"/>
        <v/>
      </c>
      <c r="AR314" s="16" t="str">
        <f t="shared" si="67"/>
        <v/>
      </c>
      <c r="AU314" t="s">
        <v>236</v>
      </c>
      <c r="AV314" t="s">
        <v>237</v>
      </c>
      <c r="AW314" s="3" t="s">
        <v>330</v>
      </c>
      <c r="AX314" s="3">
        <f t="shared" si="68"/>
        <v>60</v>
      </c>
      <c r="AY314" s="3" t="str">
        <f t="shared" si="69"/>
        <v>C</v>
      </c>
      <c r="AZ314" s="3" t="s">
        <v>386</v>
      </c>
      <c r="BA314" s="3"/>
    </row>
    <row r="315" spans="1:53" ht="27.6">
      <c r="A315" t="s">
        <v>632</v>
      </c>
      <c r="B315" t="s">
        <v>242</v>
      </c>
      <c r="C315" s="14">
        <v>997836</v>
      </c>
      <c r="D315" s="15">
        <f t="shared" si="56"/>
        <v>997.83600000000001</v>
      </c>
      <c r="E315" t="s">
        <v>232</v>
      </c>
      <c r="G315" t="s">
        <v>157</v>
      </c>
      <c r="H315" t="s">
        <v>374</v>
      </c>
      <c r="I315" s="3" t="s">
        <v>601</v>
      </c>
      <c r="J315" s="3" t="s">
        <v>602</v>
      </c>
      <c r="K315">
        <v>2</v>
      </c>
      <c r="L315" t="s">
        <v>571</v>
      </c>
      <c r="M315">
        <f t="shared" si="57"/>
        <v>2</v>
      </c>
      <c r="O315" s="16"/>
      <c r="P315" s="16" t="str">
        <f>IF(AND(ISNUMBER(O315),O315&lt;&gt;-1,O315&gt;='02_Parameters'!$B$18,O315&lt;='02_Parameters'!$B$19),O315,"")</f>
        <v/>
      </c>
      <c r="Q315" s="16"/>
      <c r="R315" t="str">
        <f>IF(B315&lt;&gt;"Sensor Snapshot","",IF(O315="","Missing",IF(O315=-1,"Sensor failure sentinel (-1)",IF(OR(O315&lt;'02_Parameters'!$B$18,O315&gt;'02_Parameters'!$B$19),"Out of accepted range","Valid"))))</f>
        <v/>
      </c>
      <c r="S315" s="16"/>
      <c r="T315" s="16" t="str">
        <f>IF(AND(ISNUMBER(S315),S315&lt;&gt;-1,S315&gt;='02_Parameters'!$B$20,S315&lt;='02_Parameters'!$B$21),S315,"")</f>
        <v/>
      </c>
      <c r="U315" s="16"/>
      <c r="V315" t="str">
        <f>IF(B315&lt;&gt;"Sensor Snapshot","",IF(S315="","Missing",IF(S315=-1,"Sensor failure sentinel (-1)",IF(OR(S315&lt;'02_Parameters'!$B$20,S315&gt;'02_Parameters'!$B$21),"Out of accepted range","Valid"))))</f>
        <v/>
      </c>
      <c r="W315" s="16"/>
      <c r="X315" s="16" t="str">
        <f t="shared" si="58"/>
        <v/>
      </c>
      <c r="Y315" t="str">
        <f t="shared" si="59"/>
        <v/>
      </c>
      <c r="Z315" s="16"/>
      <c r="AB315" t="str">
        <f>IF(B315&lt;&gt;"Sensor Snapshot","",IF(ISNUMBER(AA315),--(AA315&lt;&gt;0),IF(ISNUMBER(Z315),--(Z315&lt;'02_Parameters'!$B$15),"")))</f>
        <v/>
      </c>
      <c r="AC315" t="str">
        <f>IF(B315&lt;&gt;"Sensor Snapshot","",IF(ISNUMBER(X315),--(X315&gt;='02_Parameters'!$B$16),""))</f>
        <v/>
      </c>
      <c r="AD315">
        <v>0</v>
      </c>
      <c r="AE315" t="str">
        <f t="shared" si="60"/>
        <v/>
      </c>
      <c r="AF315" s="3" t="str">
        <f t="shared" si="61"/>
        <v/>
      </c>
      <c r="AG315" s="16"/>
      <c r="AH315" s="16" t="str">
        <f>IF(B315&lt;&gt;"Sensor Snapshot","",IF(ISNUMBER(AG315),IF(AG315&lt;0,"",IF(AG315&gt;10,AG315/'02_Parameters'!$B$17,AG315)),""))</f>
        <v/>
      </c>
      <c r="AI315" t="str">
        <f t="shared" si="62"/>
        <v/>
      </c>
      <c r="AJ315" t="str">
        <f t="shared" si="63"/>
        <v/>
      </c>
      <c r="AK315" t="str">
        <f t="shared" si="64"/>
        <v/>
      </c>
      <c r="AM315" t="str">
        <f t="shared" si="65"/>
        <v/>
      </c>
      <c r="AN315" t="str">
        <f>IF(B315&lt;&gt;"Sensor Snapshot","",--(N315&gt;='02_Parameters'!$B$13))</f>
        <v/>
      </c>
      <c r="AO315" t="str">
        <f>IF(B315&lt;&gt;"Sensor Snapshot","",--(AND(L315="PUMPING",ISNUMBER(AH315),AH315&lt;='02_Parameters'!$B$10)))</f>
        <v/>
      </c>
      <c r="AP315" s="16"/>
      <c r="AQ315" s="16" t="str">
        <f t="shared" si="66"/>
        <v/>
      </c>
      <c r="AR315" s="16" t="str">
        <f t="shared" si="67"/>
        <v/>
      </c>
      <c r="AW315" s="3" t="s">
        <v>377</v>
      </c>
      <c r="AX315" s="3" t="str">
        <f t="shared" si="68"/>
        <v/>
      </c>
      <c r="AY315" s="3" t="str">
        <f t="shared" si="69"/>
        <v/>
      </c>
      <c r="AZ315" s="3" t="s">
        <v>247</v>
      </c>
      <c r="BA315" s="3"/>
    </row>
    <row r="316" spans="1:53" ht="27.6">
      <c r="A316" t="s">
        <v>633</v>
      </c>
      <c r="B316" t="s">
        <v>231</v>
      </c>
      <c r="C316" s="14">
        <v>1002823</v>
      </c>
      <c r="D316" s="15">
        <f t="shared" si="56"/>
        <v>1002.823</v>
      </c>
      <c r="E316" t="s">
        <v>232</v>
      </c>
      <c r="G316" t="s">
        <v>234</v>
      </c>
      <c r="H316" t="s">
        <v>235</v>
      </c>
      <c r="I316" s="3"/>
      <c r="J316" s="3"/>
      <c r="K316">
        <v>2</v>
      </c>
      <c r="L316" t="s">
        <v>604</v>
      </c>
      <c r="M316">
        <f t="shared" si="57"/>
        <v>4</v>
      </c>
      <c r="N316">
        <v>0</v>
      </c>
      <c r="O316" s="16">
        <v>27.7</v>
      </c>
      <c r="P316" s="16">
        <f>IF(AND(ISNUMBER(O316),O316&lt;&gt;-1,O316&gt;='02_Parameters'!$B$18,O316&lt;='02_Parameters'!$B$19),O316,"")</f>
        <v>27.7</v>
      </c>
      <c r="Q316" s="16">
        <v>27.7</v>
      </c>
      <c r="R316" t="str">
        <f>IF(B316&lt;&gt;"Sensor Snapshot","",IF(O316="","Missing",IF(O316=-1,"Sensor failure sentinel (-1)",IF(OR(O316&lt;'02_Parameters'!$B$18,O316&gt;'02_Parameters'!$B$19),"Out of accepted range","Valid"))))</f>
        <v>Valid</v>
      </c>
      <c r="S316" s="16">
        <v>70.400000000000006</v>
      </c>
      <c r="T316" s="16">
        <f>IF(AND(ISNUMBER(S316),S316&lt;&gt;-1,S316&gt;='02_Parameters'!$B$20,S316&lt;='02_Parameters'!$B$21),S316,"")</f>
        <v>70.400000000000006</v>
      </c>
      <c r="U316" s="16">
        <v>70.400000000000006</v>
      </c>
      <c r="V316" t="str">
        <f>IF(B316&lt;&gt;"Sensor Snapshot","",IF(S316="","Missing",IF(S316=-1,"Sensor failure sentinel (-1)",IF(OR(S316&lt;'02_Parameters'!$B$20,S316&gt;'02_Parameters'!$B$21),"Out of accepted range","Valid"))))</f>
        <v>Valid</v>
      </c>
      <c r="W316" s="16">
        <v>-1.7</v>
      </c>
      <c r="X316" s="16">
        <f t="shared" si="58"/>
        <v>1.7</v>
      </c>
      <c r="Y316" t="str">
        <f t="shared" si="59"/>
        <v>Sign corrected to positive</v>
      </c>
      <c r="Z316" s="16"/>
      <c r="AA316">
        <v>1</v>
      </c>
      <c r="AB316">
        <f>IF(B316&lt;&gt;"Sensor Snapshot","",IF(ISNUMBER(AA316),--(AA316&lt;&gt;0),IF(ISNUMBER(Z316),--(Z316&lt;'02_Parameters'!$B$15),"")))</f>
        <v>1</v>
      </c>
      <c r="AC316">
        <f>IF(B316&lt;&gt;"Sensor Snapshot","",IF(ISNUMBER(X316),--(X316&gt;='02_Parameters'!$B$16),""))</f>
        <v>0</v>
      </c>
      <c r="AD316">
        <v>0</v>
      </c>
      <c r="AE316">
        <f t="shared" si="60"/>
        <v>0</v>
      </c>
      <c r="AF316" s="3" t="str">
        <f t="shared" si="61"/>
        <v>Partial detection only</v>
      </c>
      <c r="AG316" s="16">
        <v>88.16</v>
      </c>
      <c r="AH316" s="16">
        <f>IF(B316&lt;&gt;"Sensor Snapshot","",IF(ISNUMBER(AG316),IF(AG316&lt;0,"",IF(AG316&gt;10,AG316/'02_Parameters'!$B$17,AG316)),""))</f>
        <v>0.88159999999999994</v>
      </c>
      <c r="AI316" t="str">
        <f t="shared" si="62"/>
        <v>Normalized from high-scale log</v>
      </c>
      <c r="AJ316">
        <f t="shared" si="63"/>
        <v>0</v>
      </c>
      <c r="AK316">
        <f t="shared" si="64"/>
        <v>1</v>
      </c>
      <c r="AL316">
        <v>0</v>
      </c>
      <c r="AM316">
        <f t="shared" si="65"/>
        <v>0</v>
      </c>
      <c r="AN316">
        <f>IF(B316&lt;&gt;"Sensor Snapshot","",--(N316&gt;='02_Parameters'!$B$13))</f>
        <v>0</v>
      </c>
      <c r="AO316">
        <f>IF(B316&lt;&gt;"Sensor Snapshot","",--(AND(L316="PUMPING",ISNUMBER(AH316),AH316&lt;='02_Parameters'!$B$10)))</f>
        <v>0</v>
      </c>
      <c r="AP316" s="16"/>
      <c r="AQ316" s="16" t="str">
        <f t="shared" si="66"/>
        <v/>
      </c>
      <c r="AR316" s="16" t="str">
        <f t="shared" si="67"/>
        <v/>
      </c>
      <c r="AU316" t="s">
        <v>236</v>
      </c>
      <c r="AV316" t="s">
        <v>237</v>
      </c>
      <c r="AW316" s="3" t="s">
        <v>325</v>
      </c>
      <c r="AX316" s="3">
        <f t="shared" si="68"/>
        <v>100</v>
      </c>
      <c r="AY316" s="3" t="str">
        <f t="shared" si="69"/>
        <v>A</v>
      </c>
      <c r="AZ316" s="3" t="s">
        <v>386</v>
      </c>
      <c r="BA316" s="3"/>
    </row>
    <row r="317" spans="1:53" ht="27.6">
      <c r="A317" t="s">
        <v>634</v>
      </c>
      <c r="B317" t="s">
        <v>231</v>
      </c>
      <c r="C317" s="14">
        <v>1007805</v>
      </c>
      <c r="D317" s="15">
        <f t="shared" si="56"/>
        <v>1007.8049999999999</v>
      </c>
      <c r="E317" t="s">
        <v>232</v>
      </c>
      <c r="G317" t="s">
        <v>234</v>
      </c>
      <c r="H317" t="s">
        <v>235</v>
      </c>
      <c r="I317" s="3"/>
      <c r="J317" s="3"/>
      <c r="K317">
        <v>2</v>
      </c>
      <c r="L317" t="s">
        <v>604</v>
      </c>
      <c r="M317">
        <f t="shared" si="57"/>
        <v>4</v>
      </c>
      <c r="N317">
        <v>0</v>
      </c>
      <c r="O317" s="16">
        <v>27.7</v>
      </c>
      <c r="P317" s="16">
        <f>IF(AND(ISNUMBER(O317),O317&lt;&gt;-1,O317&gt;='02_Parameters'!$B$18,O317&lt;='02_Parameters'!$B$19),O317,"")</f>
        <v>27.7</v>
      </c>
      <c r="Q317" s="16">
        <v>27.7</v>
      </c>
      <c r="R317" t="str">
        <f>IF(B317&lt;&gt;"Sensor Snapshot","",IF(O317="","Missing",IF(O317=-1,"Sensor failure sentinel (-1)",IF(OR(O317&lt;'02_Parameters'!$B$18,O317&gt;'02_Parameters'!$B$19),"Out of accepted range","Valid"))))</f>
        <v>Valid</v>
      </c>
      <c r="S317" s="16">
        <v>72</v>
      </c>
      <c r="T317" s="16">
        <f>IF(AND(ISNUMBER(S317),S317&lt;&gt;-1,S317&gt;='02_Parameters'!$B$20,S317&lt;='02_Parameters'!$B$21),S317,"")</f>
        <v>72</v>
      </c>
      <c r="U317" s="16">
        <v>72</v>
      </c>
      <c r="V317" t="str">
        <f>IF(B317&lt;&gt;"Sensor Snapshot","",IF(S317="","Missing",IF(S317=-1,"Sensor failure sentinel (-1)",IF(OR(S317&lt;'02_Parameters'!$B$20,S317&gt;'02_Parameters'!$B$21),"Out of accepted range","Valid"))))</f>
        <v>Valid</v>
      </c>
      <c r="W317" s="16">
        <v>-1.9</v>
      </c>
      <c r="X317" s="16">
        <f t="shared" si="58"/>
        <v>1.9</v>
      </c>
      <c r="Y317" t="str">
        <f t="shared" si="59"/>
        <v>Sign corrected to positive</v>
      </c>
      <c r="Z317" s="16"/>
      <c r="AA317">
        <v>1</v>
      </c>
      <c r="AB317">
        <f>IF(B317&lt;&gt;"Sensor Snapshot","",IF(ISNUMBER(AA317),--(AA317&lt;&gt;0),IF(ISNUMBER(Z317),--(Z317&lt;'02_Parameters'!$B$15),"")))</f>
        <v>1</v>
      </c>
      <c r="AC317">
        <f>IF(B317&lt;&gt;"Sensor Snapshot","",IF(ISNUMBER(X317),--(X317&gt;='02_Parameters'!$B$16),""))</f>
        <v>0</v>
      </c>
      <c r="AD317">
        <v>0</v>
      </c>
      <c r="AE317">
        <f t="shared" si="60"/>
        <v>0</v>
      </c>
      <c r="AF317" s="3" t="str">
        <f t="shared" si="61"/>
        <v>Partial detection only</v>
      </c>
      <c r="AG317" s="16">
        <v>0.107</v>
      </c>
      <c r="AH317" s="16">
        <f>IF(B317&lt;&gt;"Sensor Snapshot","",IF(ISNUMBER(AG317),IF(AG317&lt;0,"",IF(AG317&gt;10,AG317/'02_Parameters'!$B$17,AG317)),""))</f>
        <v>0.107</v>
      </c>
      <c r="AI317" t="str">
        <f t="shared" si="62"/>
        <v>Valid</v>
      </c>
      <c r="AJ317">
        <f t="shared" si="63"/>
        <v>0</v>
      </c>
      <c r="AK317">
        <f t="shared" si="64"/>
        <v>1</v>
      </c>
      <c r="AL317">
        <v>0</v>
      </c>
      <c r="AM317">
        <f t="shared" si="65"/>
        <v>0</v>
      </c>
      <c r="AN317">
        <f>IF(B317&lt;&gt;"Sensor Snapshot","",--(N317&gt;='02_Parameters'!$B$13))</f>
        <v>0</v>
      </c>
      <c r="AO317">
        <f>IF(B317&lt;&gt;"Sensor Snapshot","",--(AND(L317="PUMPING",ISNUMBER(AH317),AH317&lt;='02_Parameters'!$B$10)))</f>
        <v>0</v>
      </c>
      <c r="AP317" s="16"/>
      <c r="AQ317" s="16" t="str">
        <f t="shared" si="66"/>
        <v/>
      </c>
      <c r="AR317" s="16" t="str">
        <f t="shared" si="67"/>
        <v/>
      </c>
      <c r="AU317" t="s">
        <v>236</v>
      </c>
      <c r="AV317" t="s">
        <v>237</v>
      </c>
      <c r="AW317" s="3" t="s">
        <v>238</v>
      </c>
      <c r="AX317" s="3">
        <f t="shared" si="68"/>
        <v>100</v>
      </c>
      <c r="AY317" s="3" t="str">
        <f t="shared" si="69"/>
        <v>A</v>
      </c>
      <c r="AZ317" s="3" t="s">
        <v>386</v>
      </c>
      <c r="BA317" s="3"/>
    </row>
    <row r="318" spans="1:53" ht="27.6">
      <c r="A318" t="s">
        <v>635</v>
      </c>
      <c r="B318" t="s">
        <v>242</v>
      </c>
      <c r="C318" s="14">
        <v>1007805</v>
      </c>
      <c r="D318" s="15">
        <f t="shared" si="56"/>
        <v>1007.8049999999999</v>
      </c>
      <c r="E318" t="s">
        <v>232</v>
      </c>
      <c r="G318" t="s">
        <v>157</v>
      </c>
      <c r="H318" t="s">
        <v>374</v>
      </c>
      <c r="I318" s="3" t="s">
        <v>607</v>
      </c>
      <c r="J318" s="3" t="s">
        <v>608</v>
      </c>
      <c r="K318">
        <v>2</v>
      </c>
      <c r="L318" t="s">
        <v>604</v>
      </c>
      <c r="M318">
        <f t="shared" si="57"/>
        <v>4</v>
      </c>
      <c r="O318" s="16"/>
      <c r="P318" s="16" t="str">
        <f>IF(AND(ISNUMBER(O318),O318&lt;&gt;-1,O318&gt;='02_Parameters'!$B$18,O318&lt;='02_Parameters'!$B$19),O318,"")</f>
        <v/>
      </c>
      <c r="Q318" s="16"/>
      <c r="R318" t="str">
        <f>IF(B318&lt;&gt;"Sensor Snapshot","",IF(O318="","Missing",IF(O318=-1,"Sensor failure sentinel (-1)",IF(OR(O318&lt;'02_Parameters'!$B$18,O318&gt;'02_Parameters'!$B$19),"Out of accepted range","Valid"))))</f>
        <v/>
      </c>
      <c r="S318" s="16"/>
      <c r="T318" s="16" t="str">
        <f>IF(AND(ISNUMBER(S318),S318&lt;&gt;-1,S318&gt;='02_Parameters'!$B$20,S318&lt;='02_Parameters'!$B$21),S318,"")</f>
        <v/>
      </c>
      <c r="U318" s="16"/>
      <c r="V318" t="str">
        <f>IF(B318&lt;&gt;"Sensor Snapshot","",IF(S318="","Missing",IF(S318=-1,"Sensor failure sentinel (-1)",IF(OR(S318&lt;'02_Parameters'!$B$20,S318&gt;'02_Parameters'!$B$21),"Out of accepted range","Valid"))))</f>
        <v/>
      </c>
      <c r="W318" s="16"/>
      <c r="X318" s="16" t="str">
        <f t="shared" si="58"/>
        <v/>
      </c>
      <c r="Y318" t="str">
        <f t="shared" si="59"/>
        <v/>
      </c>
      <c r="Z318" s="16"/>
      <c r="AB318" t="str">
        <f>IF(B318&lt;&gt;"Sensor Snapshot","",IF(ISNUMBER(AA318),--(AA318&lt;&gt;0),IF(ISNUMBER(Z318),--(Z318&lt;'02_Parameters'!$B$15),"")))</f>
        <v/>
      </c>
      <c r="AC318" t="str">
        <f>IF(B318&lt;&gt;"Sensor Snapshot","",IF(ISNUMBER(X318),--(X318&gt;='02_Parameters'!$B$16),""))</f>
        <v/>
      </c>
      <c r="AD318">
        <v>0</v>
      </c>
      <c r="AE318" t="str">
        <f t="shared" si="60"/>
        <v/>
      </c>
      <c r="AF318" s="3" t="str">
        <f t="shared" si="61"/>
        <v/>
      </c>
      <c r="AG318" s="16"/>
      <c r="AH318" s="16" t="str">
        <f>IF(B318&lt;&gt;"Sensor Snapshot","",IF(ISNUMBER(AG318),IF(AG318&lt;0,"",IF(AG318&gt;10,AG318/'02_Parameters'!$B$17,AG318)),""))</f>
        <v/>
      </c>
      <c r="AI318" t="str">
        <f t="shared" si="62"/>
        <v/>
      </c>
      <c r="AJ318" t="str">
        <f t="shared" si="63"/>
        <v/>
      </c>
      <c r="AK318" t="str">
        <f t="shared" si="64"/>
        <v/>
      </c>
      <c r="AM318" t="str">
        <f t="shared" si="65"/>
        <v/>
      </c>
      <c r="AN318" t="str">
        <f>IF(B318&lt;&gt;"Sensor Snapshot","",--(N318&gt;='02_Parameters'!$B$13))</f>
        <v/>
      </c>
      <c r="AO318" t="str">
        <f>IF(B318&lt;&gt;"Sensor Snapshot","",--(AND(L318="PUMPING",ISNUMBER(AH318),AH318&lt;='02_Parameters'!$B$10)))</f>
        <v/>
      </c>
      <c r="AP318" s="16"/>
      <c r="AQ318" s="16" t="str">
        <f t="shared" si="66"/>
        <v/>
      </c>
      <c r="AR318" s="16" t="str">
        <f t="shared" si="67"/>
        <v/>
      </c>
      <c r="AW318" s="3" t="s">
        <v>377</v>
      </c>
      <c r="AX318" s="3" t="str">
        <f t="shared" si="68"/>
        <v/>
      </c>
      <c r="AY318" s="3" t="str">
        <f t="shared" si="69"/>
        <v/>
      </c>
      <c r="AZ318" s="3" t="s">
        <v>247</v>
      </c>
      <c r="BA318" s="3"/>
    </row>
    <row r="319" spans="1:53" ht="27.6">
      <c r="A319" t="s">
        <v>636</v>
      </c>
      <c r="B319" t="s">
        <v>231</v>
      </c>
      <c r="C319" s="14">
        <v>1012823</v>
      </c>
      <c r="D319" s="15">
        <f t="shared" si="56"/>
        <v>1012.823</v>
      </c>
      <c r="E319" t="s">
        <v>232</v>
      </c>
      <c r="G319" t="s">
        <v>234</v>
      </c>
      <c r="H319" t="s">
        <v>235</v>
      </c>
      <c r="I319" s="3"/>
      <c r="J319" s="3"/>
      <c r="K319">
        <v>2</v>
      </c>
      <c r="L319" t="s">
        <v>610</v>
      </c>
      <c r="M319">
        <f t="shared" si="57"/>
        <v>5</v>
      </c>
      <c r="N319">
        <v>0</v>
      </c>
      <c r="O319" s="16">
        <v>27.8</v>
      </c>
      <c r="P319" s="16">
        <f>IF(AND(ISNUMBER(O319),O319&lt;&gt;-1,O319&gt;='02_Parameters'!$B$18,O319&lt;='02_Parameters'!$B$19),O319,"")</f>
        <v>27.8</v>
      </c>
      <c r="Q319" s="16">
        <v>27.8</v>
      </c>
      <c r="R319" t="str">
        <f>IF(B319&lt;&gt;"Sensor Snapshot","",IF(O319="","Missing",IF(O319=-1,"Sensor failure sentinel (-1)",IF(OR(O319&lt;'02_Parameters'!$B$18,O319&gt;'02_Parameters'!$B$19),"Out of accepted range","Valid"))))</f>
        <v>Valid</v>
      </c>
      <c r="S319" s="16">
        <v>76.900000000000006</v>
      </c>
      <c r="T319" s="16">
        <f>IF(AND(ISNUMBER(S319),S319&lt;&gt;-1,S319&gt;='02_Parameters'!$B$20,S319&lt;='02_Parameters'!$B$21),S319,"")</f>
        <v>76.900000000000006</v>
      </c>
      <c r="U319" s="16">
        <v>76.900000000000006</v>
      </c>
      <c r="V319" t="str">
        <f>IF(B319&lt;&gt;"Sensor Snapshot","",IF(S319="","Missing",IF(S319=-1,"Sensor failure sentinel (-1)",IF(OR(S319&lt;'02_Parameters'!$B$20,S319&gt;'02_Parameters'!$B$21),"Out of accepted range","Valid"))))</f>
        <v>Valid</v>
      </c>
      <c r="W319" s="16">
        <v>-1.8</v>
      </c>
      <c r="X319" s="16">
        <f t="shared" si="58"/>
        <v>1.8</v>
      </c>
      <c r="Y319" t="str">
        <f t="shared" si="59"/>
        <v>Sign corrected to positive</v>
      </c>
      <c r="Z319" s="16"/>
      <c r="AA319">
        <v>1</v>
      </c>
      <c r="AB319">
        <f>IF(B319&lt;&gt;"Sensor Snapshot","",IF(ISNUMBER(AA319),--(AA319&lt;&gt;0),IF(ISNUMBER(Z319),--(Z319&lt;'02_Parameters'!$B$15),"")))</f>
        <v>1</v>
      </c>
      <c r="AC319">
        <f>IF(B319&lt;&gt;"Sensor Snapshot","",IF(ISNUMBER(X319),--(X319&gt;='02_Parameters'!$B$16),""))</f>
        <v>0</v>
      </c>
      <c r="AD319">
        <v>0</v>
      </c>
      <c r="AE319">
        <f t="shared" si="60"/>
        <v>0</v>
      </c>
      <c r="AF319" s="3" t="str">
        <f t="shared" si="61"/>
        <v>Partial detection only</v>
      </c>
      <c r="AG319" s="16">
        <v>0</v>
      </c>
      <c r="AH319" s="16">
        <f>IF(B319&lt;&gt;"Sensor Snapshot","",IF(ISNUMBER(AG319),IF(AG319&lt;0,"",IF(AG319&gt;10,AG319/'02_Parameters'!$B$17,AG319)),""))</f>
        <v>0</v>
      </c>
      <c r="AI319" t="str">
        <f t="shared" si="62"/>
        <v>Valid</v>
      </c>
      <c r="AJ319">
        <f t="shared" si="63"/>
        <v>0</v>
      </c>
      <c r="AK319">
        <f t="shared" si="64"/>
        <v>0</v>
      </c>
      <c r="AL319">
        <v>0</v>
      </c>
      <c r="AM319">
        <f t="shared" si="65"/>
        <v>0</v>
      </c>
      <c r="AN319">
        <f>IF(B319&lt;&gt;"Sensor Snapshot","",--(N319&gt;='02_Parameters'!$B$13))</f>
        <v>0</v>
      </c>
      <c r="AO319">
        <f>IF(B319&lt;&gt;"Sensor Snapshot","",--(AND(L319="PUMPING",ISNUMBER(AH319),AH319&lt;='02_Parameters'!$B$10)))</f>
        <v>0</v>
      </c>
      <c r="AP319" s="16"/>
      <c r="AQ319" s="16" t="str">
        <f t="shared" si="66"/>
        <v/>
      </c>
      <c r="AR319" s="16" t="str">
        <f t="shared" si="67"/>
        <v/>
      </c>
      <c r="AU319" t="s">
        <v>236</v>
      </c>
      <c r="AV319" t="s">
        <v>237</v>
      </c>
      <c r="AW319" s="3" t="s">
        <v>238</v>
      </c>
      <c r="AX319" s="3">
        <f t="shared" si="68"/>
        <v>100</v>
      </c>
      <c r="AY319" s="3" t="str">
        <f t="shared" si="69"/>
        <v>A</v>
      </c>
      <c r="AZ319" s="3" t="s">
        <v>386</v>
      </c>
      <c r="BA319" s="3"/>
    </row>
    <row r="320" spans="1:53" ht="27.6">
      <c r="A320" t="s">
        <v>637</v>
      </c>
      <c r="B320" t="s">
        <v>231</v>
      </c>
      <c r="C320" s="14">
        <v>1017824</v>
      </c>
      <c r="D320" s="15">
        <f t="shared" si="56"/>
        <v>1017.824</v>
      </c>
      <c r="E320" t="s">
        <v>232</v>
      </c>
      <c r="G320" t="s">
        <v>234</v>
      </c>
      <c r="H320" t="s">
        <v>235</v>
      </c>
      <c r="I320" s="3"/>
      <c r="J320" s="3"/>
      <c r="K320">
        <v>2</v>
      </c>
      <c r="L320" t="s">
        <v>385</v>
      </c>
      <c r="M320">
        <f t="shared" si="57"/>
        <v>0</v>
      </c>
      <c r="N320">
        <v>0</v>
      </c>
      <c r="O320" s="16">
        <v>27.8</v>
      </c>
      <c r="P320" s="16">
        <f>IF(AND(ISNUMBER(O320),O320&lt;&gt;-1,O320&gt;='02_Parameters'!$B$18,O320&lt;='02_Parameters'!$B$19),O320,"")</f>
        <v>27.8</v>
      </c>
      <c r="Q320" s="16">
        <v>27.8</v>
      </c>
      <c r="R320" t="str">
        <f>IF(B320&lt;&gt;"Sensor Snapshot","",IF(O320="","Missing",IF(O320=-1,"Sensor failure sentinel (-1)",IF(OR(O320&lt;'02_Parameters'!$B$18,O320&gt;'02_Parameters'!$B$19),"Out of accepted range","Valid"))))</f>
        <v>Valid</v>
      </c>
      <c r="S320" s="16">
        <v>77</v>
      </c>
      <c r="T320" s="16">
        <f>IF(AND(ISNUMBER(S320),S320&lt;&gt;-1,S320&gt;='02_Parameters'!$B$20,S320&lt;='02_Parameters'!$B$21),S320,"")</f>
        <v>77</v>
      </c>
      <c r="U320" s="16">
        <v>77</v>
      </c>
      <c r="V320" t="str">
        <f>IF(B320&lt;&gt;"Sensor Snapshot","",IF(S320="","Missing",IF(S320=-1,"Sensor failure sentinel (-1)",IF(OR(S320&lt;'02_Parameters'!$B$20,S320&gt;'02_Parameters'!$B$21),"Out of accepted range","Valid"))))</f>
        <v>Valid</v>
      </c>
      <c r="W320" s="16">
        <v>-2.2000000000000002</v>
      </c>
      <c r="X320" s="16">
        <f t="shared" si="58"/>
        <v>2.2000000000000002</v>
      </c>
      <c r="Y320" t="str">
        <f t="shared" si="59"/>
        <v>Sign corrected to positive</v>
      </c>
      <c r="Z320" s="16"/>
      <c r="AA320">
        <v>1</v>
      </c>
      <c r="AB320">
        <f>IF(B320&lt;&gt;"Sensor Snapshot","",IF(ISNUMBER(AA320),--(AA320&lt;&gt;0),IF(ISNUMBER(Z320),--(Z320&lt;'02_Parameters'!$B$15),"")))</f>
        <v>1</v>
      </c>
      <c r="AC320">
        <f>IF(B320&lt;&gt;"Sensor Snapshot","",IF(ISNUMBER(X320),--(X320&gt;='02_Parameters'!$B$16),""))</f>
        <v>0</v>
      </c>
      <c r="AD320">
        <v>0</v>
      </c>
      <c r="AE320">
        <f t="shared" si="60"/>
        <v>0</v>
      </c>
      <c r="AF320" s="3" t="str">
        <f t="shared" si="61"/>
        <v>Partial detection only</v>
      </c>
      <c r="AG320" s="16">
        <v>0</v>
      </c>
      <c r="AH320" s="16">
        <f>IF(B320&lt;&gt;"Sensor Snapshot","",IF(ISNUMBER(AG320),IF(AG320&lt;0,"",IF(AG320&gt;10,AG320/'02_Parameters'!$B$17,AG320)),""))</f>
        <v>0</v>
      </c>
      <c r="AI320" t="str">
        <f t="shared" si="62"/>
        <v>Valid</v>
      </c>
      <c r="AJ320">
        <f t="shared" si="63"/>
        <v>0</v>
      </c>
      <c r="AK320">
        <f t="shared" si="64"/>
        <v>0</v>
      </c>
      <c r="AL320">
        <v>0</v>
      </c>
      <c r="AM320">
        <f t="shared" si="65"/>
        <v>0</v>
      </c>
      <c r="AN320">
        <f>IF(B320&lt;&gt;"Sensor Snapshot","",--(N320&gt;='02_Parameters'!$B$13))</f>
        <v>0</v>
      </c>
      <c r="AO320">
        <f>IF(B320&lt;&gt;"Sensor Snapshot","",--(AND(L320="PUMPING",ISNUMBER(AH320),AH320&lt;='02_Parameters'!$B$10)))</f>
        <v>0</v>
      </c>
      <c r="AP320" s="16"/>
      <c r="AQ320" s="16" t="str">
        <f t="shared" si="66"/>
        <v/>
      </c>
      <c r="AR320" s="16" t="str">
        <f t="shared" si="67"/>
        <v/>
      </c>
      <c r="AU320" t="s">
        <v>236</v>
      </c>
      <c r="AV320" t="s">
        <v>237</v>
      </c>
      <c r="AW320" s="3" t="s">
        <v>238</v>
      </c>
      <c r="AX320" s="3">
        <f t="shared" si="68"/>
        <v>100</v>
      </c>
      <c r="AY320" s="3" t="str">
        <f t="shared" si="69"/>
        <v>A</v>
      </c>
      <c r="AZ320" s="3" t="s">
        <v>386</v>
      </c>
      <c r="BA320" s="3"/>
    </row>
    <row r="321" spans="1:53" ht="27.6">
      <c r="A321" t="s">
        <v>638</v>
      </c>
      <c r="B321" t="s">
        <v>231</v>
      </c>
      <c r="C321" s="14">
        <v>1022841</v>
      </c>
      <c r="D321" s="15">
        <f t="shared" si="56"/>
        <v>1022.841</v>
      </c>
      <c r="E321" t="s">
        <v>232</v>
      </c>
      <c r="G321" t="s">
        <v>234</v>
      </c>
      <c r="H321" t="s">
        <v>235</v>
      </c>
      <c r="I321" s="3"/>
      <c r="J321" s="3"/>
      <c r="K321">
        <v>2</v>
      </c>
      <c r="L321" t="s">
        <v>385</v>
      </c>
      <c r="M321">
        <f t="shared" si="57"/>
        <v>0</v>
      </c>
      <c r="N321">
        <v>0</v>
      </c>
      <c r="O321" s="16">
        <v>27.8</v>
      </c>
      <c r="P321" s="16">
        <f>IF(AND(ISNUMBER(O321),O321&lt;&gt;-1,O321&gt;='02_Parameters'!$B$18,O321&lt;='02_Parameters'!$B$19),O321,"")</f>
        <v>27.8</v>
      </c>
      <c r="Q321" s="16">
        <v>27.8</v>
      </c>
      <c r="R321" t="str">
        <f>IF(B321&lt;&gt;"Sensor Snapshot","",IF(O321="","Missing",IF(O321=-1,"Sensor failure sentinel (-1)",IF(OR(O321&lt;'02_Parameters'!$B$18,O321&gt;'02_Parameters'!$B$19),"Out of accepted range","Valid"))))</f>
        <v>Valid</v>
      </c>
      <c r="S321" s="16">
        <v>78.2</v>
      </c>
      <c r="T321" s="16">
        <f>IF(AND(ISNUMBER(S321),S321&lt;&gt;-1,S321&gt;='02_Parameters'!$B$20,S321&lt;='02_Parameters'!$B$21),S321,"")</f>
        <v>78.2</v>
      </c>
      <c r="U321" s="16">
        <v>78.2</v>
      </c>
      <c r="V321" t="str">
        <f>IF(B321&lt;&gt;"Sensor Snapshot","",IF(S321="","Missing",IF(S321=-1,"Sensor failure sentinel (-1)",IF(OR(S321&lt;'02_Parameters'!$B$20,S321&gt;'02_Parameters'!$B$21),"Out of accepted range","Valid"))))</f>
        <v>Valid</v>
      </c>
      <c r="W321" s="16">
        <v>-2.2000000000000002</v>
      </c>
      <c r="X321" s="16">
        <f t="shared" si="58"/>
        <v>2.2000000000000002</v>
      </c>
      <c r="Y321" t="str">
        <f t="shared" si="59"/>
        <v>Sign corrected to positive</v>
      </c>
      <c r="Z321" s="16"/>
      <c r="AA321">
        <v>1</v>
      </c>
      <c r="AB321">
        <f>IF(B321&lt;&gt;"Sensor Snapshot","",IF(ISNUMBER(AA321),--(AA321&lt;&gt;0),IF(ISNUMBER(Z321),--(Z321&lt;'02_Parameters'!$B$15),"")))</f>
        <v>1</v>
      </c>
      <c r="AC321">
        <f>IF(B321&lt;&gt;"Sensor Snapshot","",IF(ISNUMBER(X321),--(X321&gt;='02_Parameters'!$B$16),""))</f>
        <v>0</v>
      </c>
      <c r="AD321">
        <v>0</v>
      </c>
      <c r="AE321">
        <f t="shared" si="60"/>
        <v>0</v>
      </c>
      <c r="AF321" s="3" t="str">
        <f t="shared" si="61"/>
        <v>Partial detection only</v>
      </c>
      <c r="AG321" s="16">
        <v>0</v>
      </c>
      <c r="AH321" s="16">
        <f>IF(B321&lt;&gt;"Sensor Snapshot","",IF(ISNUMBER(AG321),IF(AG321&lt;0,"",IF(AG321&gt;10,AG321/'02_Parameters'!$B$17,AG321)),""))</f>
        <v>0</v>
      </c>
      <c r="AI321" t="str">
        <f t="shared" si="62"/>
        <v>Valid</v>
      </c>
      <c r="AJ321">
        <f t="shared" si="63"/>
        <v>0</v>
      </c>
      <c r="AK321">
        <f t="shared" si="64"/>
        <v>0</v>
      </c>
      <c r="AL321">
        <v>0</v>
      </c>
      <c r="AM321">
        <f t="shared" si="65"/>
        <v>0</v>
      </c>
      <c r="AN321">
        <f>IF(B321&lt;&gt;"Sensor Snapshot","",--(N321&gt;='02_Parameters'!$B$13))</f>
        <v>0</v>
      </c>
      <c r="AO321">
        <f>IF(B321&lt;&gt;"Sensor Snapshot","",--(AND(L321="PUMPING",ISNUMBER(AH321),AH321&lt;='02_Parameters'!$B$10)))</f>
        <v>0</v>
      </c>
      <c r="AP321" s="16"/>
      <c r="AQ321" s="16" t="str">
        <f t="shared" si="66"/>
        <v/>
      </c>
      <c r="AR321" s="16" t="str">
        <f t="shared" si="67"/>
        <v/>
      </c>
      <c r="AU321" t="s">
        <v>236</v>
      </c>
      <c r="AV321" t="s">
        <v>237</v>
      </c>
      <c r="AW321" s="3" t="s">
        <v>238</v>
      </c>
      <c r="AX321" s="3">
        <f t="shared" si="68"/>
        <v>100</v>
      </c>
      <c r="AY321" s="3" t="str">
        <f t="shared" si="69"/>
        <v>A</v>
      </c>
      <c r="AZ321" s="3" t="s">
        <v>386</v>
      </c>
      <c r="BA321" s="3"/>
    </row>
    <row r="322" spans="1:53" ht="27.6">
      <c r="A322" t="s">
        <v>639</v>
      </c>
      <c r="B322" t="s">
        <v>231</v>
      </c>
      <c r="C322" s="14">
        <v>1027859</v>
      </c>
      <c r="D322" s="15">
        <f t="shared" si="56"/>
        <v>1027.8589999999999</v>
      </c>
      <c r="E322" t="s">
        <v>232</v>
      </c>
      <c r="G322" t="s">
        <v>234</v>
      </c>
      <c r="H322" t="s">
        <v>235</v>
      </c>
      <c r="I322" s="3"/>
      <c r="J322" s="3"/>
      <c r="K322">
        <v>2</v>
      </c>
      <c r="L322" t="s">
        <v>385</v>
      </c>
      <c r="M322">
        <f t="shared" si="57"/>
        <v>0</v>
      </c>
      <c r="N322">
        <v>0</v>
      </c>
      <c r="O322" s="16">
        <v>27.8</v>
      </c>
      <c r="P322" s="16">
        <f>IF(AND(ISNUMBER(O322),O322&lt;&gt;-1,O322&gt;='02_Parameters'!$B$18,O322&lt;='02_Parameters'!$B$19),O322,"")</f>
        <v>27.8</v>
      </c>
      <c r="Q322" s="16">
        <v>27.8</v>
      </c>
      <c r="R322" t="str">
        <f>IF(B322&lt;&gt;"Sensor Snapshot","",IF(O322="","Missing",IF(O322=-1,"Sensor failure sentinel (-1)",IF(OR(O322&lt;'02_Parameters'!$B$18,O322&gt;'02_Parameters'!$B$19),"Out of accepted range","Valid"))))</f>
        <v>Valid</v>
      </c>
      <c r="S322" s="16">
        <v>78.7</v>
      </c>
      <c r="T322" s="16">
        <f>IF(AND(ISNUMBER(S322),S322&lt;&gt;-1,S322&gt;='02_Parameters'!$B$20,S322&lt;='02_Parameters'!$B$21),S322,"")</f>
        <v>78.7</v>
      </c>
      <c r="U322" s="16">
        <v>78.7</v>
      </c>
      <c r="V322" t="str">
        <f>IF(B322&lt;&gt;"Sensor Snapshot","",IF(S322="","Missing",IF(S322=-1,"Sensor failure sentinel (-1)",IF(OR(S322&lt;'02_Parameters'!$B$20,S322&gt;'02_Parameters'!$B$21),"Out of accepted range","Valid"))))</f>
        <v>Valid</v>
      </c>
      <c r="W322" s="16">
        <v>-2.2999999999999998</v>
      </c>
      <c r="X322" s="16">
        <f t="shared" si="58"/>
        <v>2.2999999999999998</v>
      </c>
      <c r="Y322" t="str">
        <f t="shared" si="59"/>
        <v>Sign corrected to positive</v>
      </c>
      <c r="Z322" s="16"/>
      <c r="AA322">
        <v>1</v>
      </c>
      <c r="AB322">
        <f>IF(B322&lt;&gt;"Sensor Snapshot","",IF(ISNUMBER(AA322),--(AA322&lt;&gt;0),IF(ISNUMBER(Z322),--(Z322&lt;'02_Parameters'!$B$15),"")))</f>
        <v>1</v>
      </c>
      <c r="AC322">
        <f>IF(B322&lt;&gt;"Sensor Snapshot","",IF(ISNUMBER(X322),--(X322&gt;='02_Parameters'!$B$16),""))</f>
        <v>0</v>
      </c>
      <c r="AD322">
        <v>0</v>
      </c>
      <c r="AE322">
        <f t="shared" si="60"/>
        <v>0</v>
      </c>
      <c r="AF322" s="3" t="str">
        <f t="shared" si="61"/>
        <v>Partial detection only</v>
      </c>
      <c r="AG322" s="16">
        <v>0</v>
      </c>
      <c r="AH322" s="16">
        <f>IF(B322&lt;&gt;"Sensor Snapshot","",IF(ISNUMBER(AG322),IF(AG322&lt;0,"",IF(AG322&gt;10,AG322/'02_Parameters'!$B$17,AG322)),""))</f>
        <v>0</v>
      </c>
      <c r="AI322" t="str">
        <f t="shared" si="62"/>
        <v>Valid</v>
      </c>
      <c r="AJ322">
        <f t="shared" si="63"/>
        <v>0</v>
      </c>
      <c r="AK322">
        <f t="shared" si="64"/>
        <v>0</v>
      </c>
      <c r="AL322">
        <v>0</v>
      </c>
      <c r="AM322">
        <f t="shared" si="65"/>
        <v>0</v>
      </c>
      <c r="AN322">
        <f>IF(B322&lt;&gt;"Sensor Snapshot","",--(N322&gt;='02_Parameters'!$B$13))</f>
        <v>0</v>
      </c>
      <c r="AO322">
        <f>IF(B322&lt;&gt;"Sensor Snapshot","",--(AND(L322="PUMPING",ISNUMBER(AH322),AH322&lt;='02_Parameters'!$B$10)))</f>
        <v>0</v>
      </c>
      <c r="AP322" s="16"/>
      <c r="AQ322" s="16" t="str">
        <f t="shared" si="66"/>
        <v/>
      </c>
      <c r="AR322" s="16" t="str">
        <f t="shared" si="67"/>
        <v/>
      </c>
      <c r="AU322" t="s">
        <v>236</v>
      </c>
      <c r="AV322" t="s">
        <v>237</v>
      </c>
      <c r="AW322" s="3" t="s">
        <v>238</v>
      </c>
      <c r="AX322" s="3">
        <f t="shared" si="68"/>
        <v>100</v>
      </c>
      <c r="AY322" s="3" t="str">
        <f t="shared" si="69"/>
        <v>A</v>
      </c>
      <c r="AZ322" s="3" t="s">
        <v>386</v>
      </c>
      <c r="BA322" s="3"/>
    </row>
    <row r="323" spans="1:53" ht="27.6">
      <c r="A323" t="s">
        <v>640</v>
      </c>
      <c r="B323" t="s">
        <v>231</v>
      </c>
      <c r="C323" s="14">
        <v>1032878</v>
      </c>
      <c r="D323" s="15">
        <f t="shared" ref="D323:D372" si="70">IF(ISNUMBER(C323),C323/1000,"")</f>
        <v>1032.8779999999999</v>
      </c>
      <c r="E323" t="s">
        <v>232</v>
      </c>
      <c r="G323" t="s">
        <v>234</v>
      </c>
      <c r="H323" t="s">
        <v>235</v>
      </c>
      <c r="I323" s="3"/>
      <c r="J323" s="3"/>
      <c r="K323">
        <v>2</v>
      </c>
      <c r="L323" t="s">
        <v>385</v>
      </c>
      <c r="M323">
        <f t="shared" ref="M323:M372" si="71">IF(L323="IDLE",0,IF(L323="FIRE_DETECTED",1,IF(L323="PUMPING",2,IF(L323="BLOCKED",3,IF(L323="HUMIDIFYING",4,IF(L323="STABLE",5,""))))))</f>
        <v>0</v>
      </c>
      <c r="N323">
        <v>0</v>
      </c>
      <c r="O323" s="16">
        <v>27.8</v>
      </c>
      <c r="P323" s="16">
        <f>IF(AND(ISNUMBER(O323),O323&lt;&gt;-1,O323&gt;='02_Parameters'!$B$18,O323&lt;='02_Parameters'!$B$19),O323,"")</f>
        <v>27.8</v>
      </c>
      <c r="Q323" s="16">
        <v>27.8</v>
      </c>
      <c r="R323" t="str">
        <f>IF(B323&lt;&gt;"Sensor Snapshot","",IF(O323="","Missing",IF(O323=-1,"Sensor failure sentinel (-1)",IF(OR(O323&lt;'02_Parameters'!$B$18,O323&gt;'02_Parameters'!$B$19),"Out of accepted range","Valid"))))</f>
        <v>Valid</v>
      </c>
      <c r="S323" s="16">
        <v>79</v>
      </c>
      <c r="T323" s="16">
        <f>IF(AND(ISNUMBER(S323),S323&lt;&gt;-1,S323&gt;='02_Parameters'!$B$20,S323&lt;='02_Parameters'!$B$21),S323,"")</f>
        <v>79</v>
      </c>
      <c r="U323" s="16">
        <v>79</v>
      </c>
      <c r="V323" t="str">
        <f>IF(B323&lt;&gt;"Sensor Snapshot","",IF(S323="","Missing",IF(S323=-1,"Sensor failure sentinel (-1)",IF(OR(S323&lt;'02_Parameters'!$B$20,S323&gt;'02_Parameters'!$B$21),"Out of accepted range","Valid"))))</f>
        <v>Valid</v>
      </c>
      <c r="W323" s="16">
        <v>-2</v>
      </c>
      <c r="X323" s="16">
        <f t="shared" ref="X323:X372" si="72">IF(ISNUMBER(W323),ABS(W323),"")</f>
        <v>2</v>
      </c>
      <c r="Y323" t="str">
        <f t="shared" ref="Y323:Y372" si="73">IF(B323="Calibration Trial","Calibration magnitude",IF(B323&lt;&gt;"Sensor Snapshot","",IF(W323="","Missing",IF(W323&lt;0,"Sign corrected to positive","Valid"))))</f>
        <v>Sign corrected to positive</v>
      </c>
      <c r="Z323" s="16"/>
      <c r="AA323">
        <v>1</v>
      </c>
      <c r="AB323">
        <f>IF(B323&lt;&gt;"Sensor Snapshot","",IF(ISNUMBER(AA323),--(AA323&lt;&gt;0),IF(ISNUMBER(Z323),--(Z323&lt;'02_Parameters'!$B$15),"")))</f>
        <v>1</v>
      </c>
      <c r="AC323">
        <f>IF(B323&lt;&gt;"Sensor Snapshot","",IF(ISNUMBER(X323),--(X323&gt;='02_Parameters'!$B$16),""))</f>
        <v>0</v>
      </c>
      <c r="AD323">
        <v>0</v>
      </c>
      <c r="AE323">
        <f t="shared" ref="AE323:AE372" si="74">IF(B323&lt;&gt;"Sensor Snapshot","",IF(AD323=1,1,IF(AND(AB323=1,AC323=1),1,0)))</f>
        <v>0</v>
      </c>
      <c r="AF323" s="3" t="str">
        <f t="shared" ref="AF323:AF372" si="75">IF(B323&lt;&gt;"Sensor Snapshot","",IF(AD323=1,"Logged dual-sensor event",IF(AE323=1,"Derived: optical AND weight",IF(OR(AB323=1,AC323=1),"Partial detection only","No detection"))))</f>
        <v>Partial detection only</v>
      </c>
      <c r="AG323" s="16">
        <v>0</v>
      </c>
      <c r="AH323" s="16">
        <f>IF(B323&lt;&gt;"Sensor Snapshot","",IF(ISNUMBER(AG323),IF(AG323&lt;0,"",IF(AG323&gt;10,AG323/'02_Parameters'!$B$17,AG323)),""))</f>
        <v>0</v>
      </c>
      <c r="AI323" t="str">
        <f t="shared" ref="AI323:AI372" si="76">IF(B323&lt;&gt;"Sensor Snapshot","",IF(AG323="","Missing",IF(AG323&lt;0,"Invalid negative flow",IF(AG323&gt;10,"Normalized from high-scale log","Valid"))))</f>
        <v>Valid</v>
      </c>
      <c r="AJ323">
        <f t="shared" ref="AJ323:AJ372" si="77">IF(B323&lt;&gt;"Sensor Snapshot","",--(L323="PUMPING"))</f>
        <v>0</v>
      </c>
      <c r="AK323">
        <f t="shared" ref="AK323:AK372" si="78">IF(B323&lt;&gt;"Sensor Snapshot","",--(L323="HUMIDIFYING"))</f>
        <v>0</v>
      </c>
      <c r="AL323">
        <v>0</v>
      </c>
      <c r="AM323">
        <f t="shared" ref="AM323:AM372" si="79">IF(B323&lt;&gt;"Sensor Snapshot","",--(OR(L323="FIRE_DETECTED",L323="BLOCKED")))</f>
        <v>0</v>
      </c>
      <c r="AN323">
        <f>IF(B323&lt;&gt;"Sensor Snapshot","",--(N323&gt;='02_Parameters'!$B$13))</f>
        <v>0</v>
      </c>
      <c r="AO323">
        <f>IF(B323&lt;&gt;"Sensor Snapshot","",--(AND(L323="PUMPING",ISNUMBER(AH323),AH323&lt;='02_Parameters'!$B$10)))</f>
        <v>0</v>
      </c>
      <c r="AP323" s="16"/>
      <c r="AQ323" s="16" t="str">
        <f t="shared" ref="AQ323:AQ372" si="80">IF(B323="Calibration Trial",X323-AP323,"")</f>
        <v/>
      </c>
      <c r="AR323" s="16" t="str">
        <f t="shared" ref="AR323:AR372" si="81">IF(AND(B323="Calibration Trial",AP323&lt;&gt;0),AQ323/AP323*100,"")</f>
        <v/>
      </c>
      <c r="AU323" t="s">
        <v>236</v>
      </c>
      <c r="AV323" t="s">
        <v>237</v>
      </c>
      <c r="AW323" s="3" t="s">
        <v>238</v>
      </c>
      <c r="AX323" s="3">
        <f t="shared" ref="AX323:AX372" si="82">IF(B323&lt;&gt;"Sensor Snapshot","",IF(P323&lt;&gt;"",20,0)+IF(T323&lt;&gt;"",20,0)+IF(X323&lt;&gt;"",20,0)+IF(AB323&lt;&gt;"",20,0)+IF(AH323&lt;&gt;"",20,0))</f>
        <v>100</v>
      </c>
      <c r="AY323" s="3" t="str">
        <f t="shared" ref="AY323:AY372" si="83">IF(AX323="","",IF(AX323&gt;=90,"A",IF(AX323&gt;=75,"B",IF(AX323&gt;=60,"C","D"))))</f>
        <v>A</v>
      </c>
      <c r="AZ323" s="3" t="s">
        <v>386</v>
      </c>
      <c r="BA323" s="3"/>
    </row>
    <row r="324" spans="1:53" ht="27.6">
      <c r="A324" t="s">
        <v>641</v>
      </c>
      <c r="B324" t="s">
        <v>231</v>
      </c>
      <c r="C324" s="14">
        <v>1037896</v>
      </c>
      <c r="D324" s="15">
        <f t="shared" si="70"/>
        <v>1037.896</v>
      </c>
      <c r="E324" t="s">
        <v>232</v>
      </c>
      <c r="G324" t="s">
        <v>234</v>
      </c>
      <c r="H324" t="s">
        <v>235</v>
      </c>
      <c r="I324" s="3"/>
      <c r="J324" s="3"/>
      <c r="K324">
        <v>3</v>
      </c>
      <c r="L324" t="s">
        <v>385</v>
      </c>
      <c r="M324">
        <f t="shared" si="71"/>
        <v>0</v>
      </c>
      <c r="N324">
        <v>0</v>
      </c>
      <c r="O324" s="16">
        <v>27.9</v>
      </c>
      <c r="P324" s="16">
        <f>IF(AND(ISNUMBER(O324),O324&lt;&gt;-1,O324&gt;='02_Parameters'!$B$18,O324&lt;='02_Parameters'!$B$19),O324,"")</f>
        <v>27.9</v>
      </c>
      <c r="Q324" s="16">
        <v>27.9</v>
      </c>
      <c r="R324" t="str">
        <f>IF(B324&lt;&gt;"Sensor Snapshot","",IF(O324="","Missing",IF(O324=-1,"Sensor failure sentinel (-1)",IF(OR(O324&lt;'02_Parameters'!$B$18,O324&gt;'02_Parameters'!$B$19),"Out of accepted range","Valid"))))</f>
        <v>Valid</v>
      </c>
      <c r="S324" s="16">
        <v>80.599999999999994</v>
      </c>
      <c r="T324" s="16">
        <f>IF(AND(ISNUMBER(S324),S324&lt;&gt;-1,S324&gt;='02_Parameters'!$B$20,S324&lt;='02_Parameters'!$B$21),S324,"")</f>
        <v>80.599999999999994</v>
      </c>
      <c r="U324" s="16">
        <v>80.599999999999994</v>
      </c>
      <c r="V324" t="str">
        <f>IF(B324&lt;&gt;"Sensor Snapshot","",IF(S324="","Missing",IF(S324=-1,"Sensor failure sentinel (-1)",IF(OR(S324&lt;'02_Parameters'!$B$20,S324&gt;'02_Parameters'!$B$21),"Out of accepted range","Valid"))))</f>
        <v>Valid</v>
      </c>
      <c r="W324" s="16">
        <v>-2.1</v>
      </c>
      <c r="X324" s="16">
        <f t="shared" si="72"/>
        <v>2.1</v>
      </c>
      <c r="Y324" t="str">
        <f t="shared" si="73"/>
        <v>Sign corrected to positive</v>
      </c>
      <c r="Z324" s="16"/>
      <c r="AA324">
        <v>1</v>
      </c>
      <c r="AB324">
        <f>IF(B324&lt;&gt;"Sensor Snapshot","",IF(ISNUMBER(AA324),--(AA324&lt;&gt;0),IF(ISNUMBER(Z324),--(Z324&lt;'02_Parameters'!$B$15),"")))</f>
        <v>1</v>
      </c>
      <c r="AC324">
        <f>IF(B324&lt;&gt;"Sensor Snapshot","",IF(ISNUMBER(X324),--(X324&gt;='02_Parameters'!$B$16),""))</f>
        <v>0</v>
      </c>
      <c r="AD324">
        <v>0</v>
      </c>
      <c r="AE324">
        <f t="shared" si="74"/>
        <v>0</v>
      </c>
      <c r="AF324" s="3" t="str">
        <f t="shared" si="75"/>
        <v>Partial detection only</v>
      </c>
      <c r="AG324" s="16">
        <v>0</v>
      </c>
      <c r="AH324" s="16">
        <f>IF(B324&lt;&gt;"Sensor Snapshot","",IF(ISNUMBER(AG324),IF(AG324&lt;0,"",IF(AG324&gt;10,AG324/'02_Parameters'!$B$17,AG324)),""))</f>
        <v>0</v>
      </c>
      <c r="AI324" t="str">
        <f t="shared" si="76"/>
        <v>Valid</v>
      </c>
      <c r="AJ324">
        <f t="shared" si="77"/>
        <v>0</v>
      </c>
      <c r="AK324">
        <f t="shared" si="78"/>
        <v>0</v>
      </c>
      <c r="AL324">
        <v>1</v>
      </c>
      <c r="AM324">
        <f t="shared" si="79"/>
        <v>0</v>
      </c>
      <c r="AN324">
        <f>IF(B324&lt;&gt;"Sensor Snapshot","",--(N324&gt;='02_Parameters'!$B$13))</f>
        <v>0</v>
      </c>
      <c r="AO324">
        <f>IF(B324&lt;&gt;"Sensor Snapshot","",--(AND(L324="PUMPING",ISNUMBER(AH324),AH324&lt;='02_Parameters'!$B$10)))</f>
        <v>0</v>
      </c>
      <c r="AP324" s="16"/>
      <c r="AQ324" s="16" t="str">
        <f t="shared" si="80"/>
        <v/>
      </c>
      <c r="AR324" s="16" t="str">
        <f t="shared" si="81"/>
        <v/>
      </c>
      <c r="AU324" t="s">
        <v>236</v>
      </c>
      <c r="AV324" t="s">
        <v>237</v>
      </c>
      <c r="AW324" s="3" t="s">
        <v>238</v>
      </c>
      <c r="AX324" s="3">
        <f t="shared" si="82"/>
        <v>100</v>
      </c>
      <c r="AY324" s="3" t="str">
        <f t="shared" si="83"/>
        <v>A</v>
      </c>
      <c r="AZ324" s="3" t="s">
        <v>386</v>
      </c>
      <c r="BA324" s="3" t="s">
        <v>642</v>
      </c>
    </row>
    <row r="325" spans="1:53" ht="27.6">
      <c r="A325" t="s">
        <v>643</v>
      </c>
      <c r="B325" t="s">
        <v>242</v>
      </c>
      <c r="C325" s="14">
        <v>1037896</v>
      </c>
      <c r="D325" s="15">
        <f t="shared" si="70"/>
        <v>1037.896</v>
      </c>
      <c r="E325" t="s">
        <v>232</v>
      </c>
      <c r="G325" t="s">
        <v>157</v>
      </c>
      <c r="H325" t="s">
        <v>374</v>
      </c>
      <c r="I325" s="3" t="s">
        <v>244</v>
      </c>
      <c r="J325" s="3" t="s">
        <v>563</v>
      </c>
      <c r="K325">
        <v>2</v>
      </c>
      <c r="L325" t="s">
        <v>385</v>
      </c>
      <c r="M325">
        <f t="shared" si="71"/>
        <v>0</v>
      </c>
      <c r="O325" s="16"/>
      <c r="P325" s="16" t="str">
        <f>IF(AND(ISNUMBER(O325),O325&lt;&gt;-1,O325&gt;='02_Parameters'!$B$18,O325&lt;='02_Parameters'!$B$19),O325,"")</f>
        <v/>
      </c>
      <c r="Q325" s="16"/>
      <c r="R325" t="str">
        <f>IF(B325&lt;&gt;"Sensor Snapshot","",IF(O325="","Missing",IF(O325=-1,"Sensor failure sentinel (-1)",IF(OR(O325&lt;'02_Parameters'!$B$18,O325&gt;'02_Parameters'!$B$19),"Out of accepted range","Valid"))))</f>
        <v/>
      </c>
      <c r="S325" s="16"/>
      <c r="T325" s="16" t="str">
        <f>IF(AND(ISNUMBER(S325),S325&lt;&gt;-1,S325&gt;='02_Parameters'!$B$20,S325&lt;='02_Parameters'!$B$21),S325,"")</f>
        <v/>
      </c>
      <c r="U325" s="16"/>
      <c r="V325" t="str">
        <f>IF(B325&lt;&gt;"Sensor Snapshot","",IF(S325="","Missing",IF(S325=-1,"Sensor failure sentinel (-1)",IF(OR(S325&lt;'02_Parameters'!$B$20,S325&gt;'02_Parameters'!$B$21),"Out of accepted range","Valid"))))</f>
        <v/>
      </c>
      <c r="W325" s="16"/>
      <c r="X325" s="16" t="str">
        <f t="shared" si="72"/>
        <v/>
      </c>
      <c r="Y325" t="str">
        <f t="shared" si="73"/>
        <v/>
      </c>
      <c r="Z325" s="16"/>
      <c r="AB325" t="str">
        <f>IF(B325&lt;&gt;"Sensor Snapshot","",IF(ISNUMBER(AA325),--(AA325&lt;&gt;0),IF(ISNUMBER(Z325),--(Z325&lt;'02_Parameters'!$B$15),"")))</f>
        <v/>
      </c>
      <c r="AC325" t="str">
        <f>IF(B325&lt;&gt;"Sensor Snapshot","",IF(ISNUMBER(X325),--(X325&gt;='02_Parameters'!$B$16),""))</f>
        <v/>
      </c>
      <c r="AD325">
        <v>0</v>
      </c>
      <c r="AE325" t="str">
        <f t="shared" si="74"/>
        <v/>
      </c>
      <c r="AF325" s="3" t="str">
        <f t="shared" si="75"/>
        <v/>
      </c>
      <c r="AG325" s="16"/>
      <c r="AH325" s="16" t="str">
        <f>IF(B325&lt;&gt;"Sensor Snapshot","",IF(ISNUMBER(AG325),IF(AG325&lt;0,"",IF(AG325&gt;10,AG325/'02_Parameters'!$B$17,AG325)),""))</f>
        <v/>
      </c>
      <c r="AI325" t="str">
        <f t="shared" si="76"/>
        <v/>
      </c>
      <c r="AJ325" t="str">
        <f t="shared" si="77"/>
        <v/>
      </c>
      <c r="AK325" t="str">
        <f t="shared" si="78"/>
        <v/>
      </c>
      <c r="AL325">
        <v>1</v>
      </c>
      <c r="AM325" t="str">
        <f t="shared" si="79"/>
        <v/>
      </c>
      <c r="AN325" t="str">
        <f>IF(B325&lt;&gt;"Sensor Snapshot","",--(N325&gt;='02_Parameters'!$B$13))</f>
        <v/>
      </c>
      <c r="AO325" t="str">
        <f>IF(B325&lt;&gt;"Sensor Snapshot","",--(AND(L325="PUMPING",ISNUMBER(AH325),AH325&lt;='02_Parameters'!$B$10)))</f>
        <v/>
      </c>
      <c r="AP325" s="16"/>
      <c r="AQ325" s="16" t="str">
        <f t="shared" si="80"/>
        <v/>
      </c>
      <c r="AR325" s="16" t="str">
        <f t="shared" si="81"/>
        <v/>
      </c>
      <c r="AW325" s="3" t="s">
        <v>377</v>
      </c>
      <c r="AX325" s="3" t="str">
        <f t="shared" si="82"/>
        <v/>
      </c>
      <c r="AY325" s="3" t="str">
        <f t="shared" si="83"/>
        <v/>
      </c>
      <c r="AZ325" s="3" t="s">
        <v>247</v>
      </c>
      <c r="BA325" s="3"/>
    </row>
    <row r="326" spans="1:53" ht="27.6">
      <c r="A326" t="s">
        <v>644</v>
      </c>
      <c r="B326" t="s">
        <v>242</v>
      </c>
      <c r="C326" s="14">
        <v>1037896</v>
      </c>
      <c r="D326" s="15">
        <f t="shared" si="70"/>
        <v>1037.896</v>
      </c>
      <c r="E326" t="s">
        <v>232</v>
      </c>
      <c r="G326" t="s">
        <v>157</v>
      </c>
      <c r="H326" t="s">
        <v>374</v>
      </c>
      <c r="I326" s="3" t="s">
        <v>305</v>
      </c>
      <c r="J326" s="3" t="s">
        <v>565</v>
      </c>
      <c r="K326">
        <v>3</v>
      </c>
      <c r="L326" t="s">
        <v>385</v>
      </c>
      <c r="M326">
        <f t="shared" si="71"/>
        <v>0</v>
      </c>
      <c r="O326" s="16"/>
      <c r="P326" s="16" t="str">
        <f>IF(AND(ISNUMBER(O326),O326&lt;&gt;-1,O326&gt;='02_Parameters'!$B$18,O326&lt;='02_Parameters'!$B$19),O326,"")</f>
        <v/>
      </c>
      <c r="Q326" s="16"/>
      <c r="R326" t="str">
        <f>IF(B326&lt;&gt;"Sensor Snapshot","",IF(O326="","Missing",IF(O326=-1,"Sensor failure sentinel (-1)",IF(OR(O326&lt;'02_Parameters'!$B$18,O326&gt;'02_Parameters'!$B$19),"Out of accepted range","Valid"))))</f>
        <v/>
      </c>
      <c r="S326" s="16"/>
      <c r="T326" s="16" t="str">
        <f>IF(AND(ISNUMBER(S326),S326&lt;&gt;-1,S326&gt;='02_Parameters'!$B$20,S326&lt;='02_Parameters'!$B$21),S326,"")</f>
        <v/>
      </c>
      <c r="U326" s="16"/>
      <c r="V326" t="str">
        <f>IF(B326&lt;&gt;"Sensor Snapshot","",IF(S326="","Missing",IF(S326=-1,"Sensor failure sentinel (-1)",IF(OR(S326&lt;'02_Parameters'!$B$20,S326&gt;'02_Parameters'!$B$21),"Out of accepted range","Valid"))))</f>
        <v/>
      </c>
      <c r="W326" s="16"/>
      <c r="X326" s="16" t="str">
        <f t="shared" si="72"/>
        <v/>
      </c>
      <c r="Y326" t="str">
        <f t="shared" si="73"/>
        <v/>
      </c>
      <c r="Z326" s="16"/>
      <c r="AB326" t="str">
        <f>IF(B326&lt;&gt;"Sensor Snapshot","",IF(ISNUMBER(AA326),--(AA326&lt;&gt;0),IF(ISNUMBER(Z326),--(Z326&lt;'02_Parameters'!$B$15),"")))</f>
        <v/>
      </c>
      <c r="AC326" t="str">
        <f>IF(B326&lt;&gt;"Sensor Snapshot","",IF(ISNUMBER(X326),--(X326&gt;='02_Parameters'!$B$16),""))</f>
        <v/>
      </c>
      <c r="AD326">
        <v>0</v>
      </c>
      <c r="AE326" t="str">
        <f t="shared" si="74"/>
        <v/>
      </c>
      <c r="AF326" s="3" t="str">
        <f t="shared" si="75"/>
        <v/>
      </c>
      <c r="AG326" s="16"/>
      <c r="AH326" s="16" t="str">
        <f>IF(B326&lt;&gt;"Sensor Snapshot","",IF(ISNUMBER(AG326),IF(AG326&lt;0,"",IF(AG326&gt;10,AG326/'02_Parameters'!$B$17,AG326)),""))</f>
        <v/>
      </c>
      <c r="AI326" t="str">
        <f t="shared" si="76"/>
        <v/>
      </c>
      <c r="AJ326" t="str">
        <f t="shared" si="77"/>
        <v/>
      </c>
      <c r="AK326" t="str">
        <f t="shared" si="78"/>
        <v/>
      </c>
      <c r="AM326" t="str">
        <f t="shared" si="79"/>
        <v/>
      </c>
      <c r="AN326" t="str">
        <f>IF(B326&lt;&gt;"Sensor Snapshot","",--(N326&gt;='02_Parameters'!$B$13))</f>
        <v/>
      </c>
      <c r="AO326" t="str">
        <f>IF(B326&lt;&gt;"Sensor Snapshot","",--(AND(L326="PUMPING",ISNUMBER(AH326),AH326&lt;='02_Parameters'!$B$10)))</f>
        <v/>
      </c>
      <c r="AP326" s="16"/>
      <c r="AQ326" s="16" t="str">
        <f t="shared" si="80"/>
        <v/>
      </c>
      <c r="AR326" s="16" t="str">
        <f t="shared" si="81"/>
        <v/>
      </c>
      <c r="AW326" s="3" t="s">
        <v>377</v>
      </c>
      <c r="AX326" s="3" t="str">
        <f t="shared" si="82"/>
        <v/>
      </c>
      <c r="AY326" s="3" t="str">
        <f t="shared" si="83"/>
        <v/>
      </c>
      <c r="AZ326" s="3" t="s">
        <v>247</v>
      </c>
      <c r="BA326" s="3"/>
    </row>
    <row r="327" spans="1:53" ht="27.6">
      <c r="A327" t="s">
        <v>645</v>
      </c>
      <c r="B327" t="s">
        <v>231</v>
      </c>
      <c r="C327" s="14">
        <v>1042970</v>
      </c>
      <c r="D327" s="15">
        <f t="shared" si="70"/>
        <v>1042.97</v>
      </c>
      <c r="E327" t="s">
        <v>232</v>
      </c>
      <c r="G327" t="s">
        <v>234</v>
      </c>
      <c r="H327" t="s">
        <v>235</v>
      </c>
      <c r="I327" s="3"/>
      <c r="J327" s="3"/>
      <c r="K327">
        <v>3</v>
      </c>
      <c r="L327" t="s">
        <v>567</v>
      </c>
      <c r="M327">
        <f t="shared" si="71"/>
        <v>1</v>
      </c>
      <c r="N327">
        <v>0</v>
      </c>
      <c r="O327" s="16">
        <v>28.1</v>
      </c>
      <c r="P327" s="16">
        <f>IF(AND(ISNUMBER(O327),O327&lt;&gt;-1,O327&gt;='02_Parameters'!$B$18,O327&lt;='02_Parameters'!$B$19),O327,"")</f>
        <v>28.1</v>
      </c>
      <c r="Q327" s="16">
        <v>28.1</v>
      </c>
      <c r="R327" t="str">
        <f>IF(B327&lt;&gt;"Sensor Snapshot","",IF(O327="","Missing",IF(O327=-1,"Sensor failure sentinel (-1)",IF(OR(O327&lt;'02_Parameters'!$B$18,O327&gt;'02_Parameters'!$B$19),"Out of accepted range","Valid"))))</f>
        <v>Valid</v>
      </c>
      <c r="S327" s="16">
        <v>84.2</v>
      </c>
      <c r="T327" s="16">
        <f>IF(AND(ISNUMBER(S327),S327&lt;&gt;-1,S327&gt;='02_Parameters'!$B$20,S327&lt;='02_Parameters'!$B$21),S327,"")</f>
        <v>84.2</v>
      </c>
      <c r="U327" s="16">
        <v>84.2</v>
      </c>
      <c r="V327" t="str">
        <f>IF(B327&lt;&gt;"Sensor Snapshot","",IF(S327="","Missing",IF(S327=-1,"Sensor failure sentinel (-1)",IF(OR(S327&lt;'02_Parameters'!$B$20,S327&gt;'02_Parameters'!$B$21),"Out of accepted range","Valid"))))</f>
        <v>Valid</v>
      </c>
      <c r="W327" s="16">
        <v>-1.9</v>
      </c>
      <c r="X327" s="16">
        <f t="shared" si="72"/>
        <v>1.9</v>
      </c>
      <c r="Y327" t="str">
        <f t="shared" si="73"/>
        <v>Sign corrected to positive</v>
      </c>
      <c r="Z327" s="16"/>
      <c r="AA327">
        <v>1</v>
      </c>
      <c r="AB327">
        <f>IF(B327&lt;&gt;"Sensor Snapshot","",IF(ISNUMBER(AA327),--(AA327&lt;&gt;0),IF(ISNUMBER(Z327),--(Z327&lt;'02_Parameters'!$B$15),"")))</f>
        <v>1</v>
      </c>
      <c r="AC327">
        <f>IF(B327&lt;&gt;"Sensor Snapshot","",IF(ISNUMBER(X327),--(X327&gt;='02_Parameters'!$B$16),""))</f>
        <v>0</v>
      </c>
      <c r="AD327">
        <v>0</v>
      </c>
      <c r="AE327">
        <f t="shared" si="74"/>
        <v>0</v>
      </c>
      <c r="AF327" s="3" t="str">
        <f t="shared" si="75"/>
        <v>Partial detection only</v>
      </c>
      <c r="AG327" s="16">
        <v>0</v>
      </c>
      <c r="AH327" s="16">
        <f>IF(B327&lt;&gt;"Sensor Snapshot","",IF(ISNUMBER(AG327),IF(AG327&lt;0,"",IF(AG327&gt;10,AG327/'02_Parameters'!$B$17,AG327)),""))</f>
        <v>0</v>
      </c>
      <c r="AI327" t="str">
        <f t="shared" si="76"/>
        <v>Valid</v>
      </c>
      <c r="AJ327">
        <f t="shared" si="77"/>
        <v>0</v>
      </c>
      <c r="AK327">
        <f t="shared" si="78"/>
        <v>0</v>
      </c>
      <c r="AL327">
        <v>0</v>
      </c>
      <c r="AM327">
        <f t="shared" si="79"/>
        <v>1</v>
      </c>
      <c r="AN327">
        <f>IF(B327&lt;&gt;"Sensor Snapshot","",--(N327&gt;='02_Parameters'!$B$13))</f>
        <v>0</v>
      </c>
      <c r="AO327">
        <f>IF(B327&lt;&gt;"Sensor Snapshot","",--(AND(L327="PUMPING",ISNUMBER(AH327),AH327&lt;='02_Parameters'!$B$10)))</f>
        <v>0</v>
      </c>
      <c r="AP327" s="16"/>
      <c r="AQ327" s="16" t="str">
        <f t="shared" si="80"/>
        <v/>
      </c>
      <c r="AR327" s="16" t="str">
        <f t="shared" si="81"/>
        <v/>
      </c>
      <c r="AU327" t="s">
        <v>236</v>
      </c>
      <c r="AV327" t="s">
        <v>237</v>
      </c>
      <c r="AW327" s="3" t="s">
        <v>238</v>
      </c>
      <c r="AX327" s="3">
        <f t="shared" si="82"/>
        <v>100</v>
      </c>
      <c r="AY327" s="3" t="str">
        <f t="shared" si="83"/>
        <v>A</v>
      </c>
      <c r="AZ327" s="3" t="s">
        <v>386</v>
      </c>
      <c r="BA327" s="3"/>
    </row>
    <row r="328" spans="1:53" ht="27.6">
      <c r="A328" t="s">
        <v>646</v>
      </c>
      <c r="B328" t="s">
        <v>242</v>
      </c>
      <c r="C328" s="14">
        <v>1042970</v>
      </c>
      <c r="D328" s="15">
        <f t="shared" si="70"/>
        <v>1042.97</v>
      </c>
      <c r="E328" t="s">
        <v>232</v>
      </c>
      <c r="G328" t="s">
        <v>157</v>
      </c>
      <c r="H328" t="s">
        <v>374</v>
      </c>
      <c r="I328" s="3" t="s">
        <v>259</v>
      </c>
      <c r="J328" s="3" t="s">
        <v>569</v>
      </c>
      <c r="K328">
        <v>3</v>
      </c>
      <c r="L328" t="s">
        <v>567</v>
      </c>
      <c r="M328">
        <f t="shared" si="71"/>
        <v>1</v>
      </c>
      <c r="O328" s="16"/>
      <c r="P328" s="16" t="str">
        <f>IF(AND(ISNUMBER(O328),O328&lt;&gt;-1,O328&gt;='02_Parameters'!$B$18,O328&lt;='02_Parameters'!$B$19),O328,"")</f>
        <v/>
      </c>
      <c r="Q328" s="16"/>
      <c r="R328" t="str">
        <f>IF(B328&lt;&gt;"Sensor Snapshot","",IF(O328="","Missing",IF(O328=-1,"Sensor failure sentinel (-1)",IF(OR(O328&lt;'02_Parameters'!$B$18,O328&gt;'02_Parameters'!$B$19),"Out of accepted range","Valid"))))</f>
        <v/>
      </c>
      <c r="S328" s="16"/>
      <c r="T328" s="16" t="str">
        <f>IF(AND(ISNUMBER(S328),S328&lt;&gt;-1,S328&gt;='02_Parameters'!$B$20,S328&lt;='02_Parameters'!$B$21),S328,"")</f>
        <v/>
      </c>
      <c r="U328" s="16"/>
      <c r="V328" t="str">
        <f>IF(B328&lt;&gt;"Sensor Snapshot","",IF(S328="","Missing",IF(S328=-1,"Sensor failure sentinel (-1)",IF(OR(S328&lt;'02_Parameters'!$B$20,S328&gt;'02_Parameters'!$B$21),"Out of accepted range","Valid"))))</f>
        <v/>
      </c>
      <c r="W328" s="16"/>
      <c r="X328" s="16" t="str">
        <f t="shared" si="72"/>
        <v/>
      </c>
      <c r="Y328" t="str">
        <f t="shared" si="73"/>
        <v/>
      </c>
      <c r="Z328" s="16"/>
      <c r="AB328" t="str">
        <f>IF(B328&lt;&gt;"Sensor Snapshot","",IF(ISNUMBER(AA328),--(AA328&lt;&gt;0),IF(ISNUMBER(Z328),--(Z328&lt;'02_Parameters'!$B$15),"")))</f>
        <v/>
      </c>
      <c r="AC328" t="str">
        <f>IF(B328&lt;&gt;"Sensor Snapshot","",IF(ISNUMBER(X328),--(X328&gt;='02_Parameters'!$B$16),""))</f>
        <v/>
      </c>
      <c r="AD328">
        <v>0</v>
      </c>
      <c r="AE328" t="str">
        <f t="shared" si="74"/>
        <v/>
      </c>
      <c r="AF328" s="3" t="str">
        <f t="shared" si="75"/>
        <v/>
      </c>
      <c r="AG328" s="16"/>
      <c r="AH328" s="16" t="str">
        <f>IF(B328&lt;&gt;"Sensor Snapshot","",IF(ISNUMBER(AG328),IF(AG328&lt;0,"",IF(AG328&gt;10,AG328/'02_Parameters'!$B$17,AG328)),""))</f>
        <v/>
      </c>
      <c r="AI328" t="str">
        <f t="shared" si="76"/>
        <v/>
      </c>
      <c r="AJ328" t="str">
        <f t="shared" si="77"/>
        <v/>
      </c>
      <c r="AK328" t="str">
        <f t="shared" si="78"/>
        <v/>
      </c>
      <c r="AL328">
        <v>0</v>
      </c>
      <c r="AM328" t="str">
        <f t="shared" si="79"/>
        <v/>
      </c>
      <c r="AN328" t="str">
        <f>IF(B328&lt;&gt;"Sensor Snapshot","",--(N328&gt;='02_Parameters'!$B$13))</f>
        <v/>
      </c>
      <c r="AO328" t="str">
        <f>IF(B328&lt;&gt;"Sensor Snapshot","",--(AND(L328="PUMPING",ISNUMBER(AH328),AH328&lt;='02_Parameters'!$B$10)))</f>
        <v/>
      </c>
      <c r="AP328" s="16"/>
      <c r="AQ328" s="16" t="str">
        <f t="shared" si="80"/>
        <v/>
      </c>
      <c r="AR328" s="16" t="str">
        <f t="shared" si="81"/>
        <v/>
      </c>
      <c r="AW328" s="3" t="s">
        <v>377</v>
      </c>
      <c r="AX328" s="3" t="str">
        <f t="shared" si="82"/>
        <v/>
      </c>
      <c r="AY328" s="3" t="str">
        <f t="shared" si="83"/>
        <v/>
      </c>
      <c r="AZ328" s="3" t="s">
        <v>247</v>
      </c>
      <c r="BA328" s="3"/>
    </row>
    <row r="329" spans="1:53" ht="27.6">
      <c r="A329" t="s">
        <v>647</v>
      </c>
      <c r="B329" t="s">
        <v>231</v>
      </c>
      <c r="C329" s="14">
        <v>1047928</v>
      </c>
      <c r="D329" s="15">
        <f t="shared" si="70"/>
        <v>1047.9280000000001</v>
      </c>
      <c r="E329" t="s">
        <v>232</v>
      </c>
      <c r="G329" t="s">
        <v>234</v>
      </c>
      <c r="H329" t="s">
        <v>235</v>
      </c>
      <c r="I329" s="3"/>
      <c r="J329" s="3"/>
      <c r="K329">
        <v>3</v>
      </c>
      <c r="L329" t="s">
        <v>571</v>
      </c>
      <c r="M329">
        <f t="shared" si="71"/>
        <v>2</v>
      </c>
      <c r="N329">
        <v>0</v>
      </c>
      <c r="O329" s="16">
        <v>28.4</v>
      </c>
      <c r="P329" s="16">
        <f>IF(AND(ISNUMBER(O329),O329&lt;&gt;-1,O329&gt;='02_Parameters'!$B$18,O329&lt;='02_Parameters'!$B$19),O329,"")</f>
        <v>28.4</v>
      </c>
      <c r="Q329" s="16">
        <v>28.4</v>
      </c>
      <c r="R329" t="str">
        <f>IF(B329&lt;&gt;"Sensor Snapshot","",IF(O329="","Missing",IF(O329=-1,"Sensor failure sentinel (-1)",IF(OR(O329&lt;'02_Parameters'!$B$18,O329&gt;'02_Parameters'!$B$19),"Out of accepted range","Valid"))))</f>
        <v>Valid</v>
      </c>
      <c r="S329" s="16">
        <v>86.5</v>
      </c>
      <c r="T329" s="16">
        <f>IF(AND(ISNUMBER(S329),S329&lt;&gt;-1,S329&gt;='02_Parameters'!$B$20,S329&lt;='02_Parameters'!$B$21),S329,"")</f>
        <v>86.5</v>
      </c>
      <c r="U329" s="16">
        <v>86.5</v>
      </c>
      <c r="V329" t="str">
        <f>IF(B329&lt;&gt;"Sensor Snapshot","",IF(S329="","Missing",IF(S329=-1,"Sensor failure sentinel (-1)",IF(OR(S329&lt;'02_Parameters'!$B$20,S329&gt;'02_Parameters'!$B$21),"Out of accepted range","Valid"))))</f>
        <v>Valid</v>
      </c>
      <c r="W329" s="16">
        <v>-1.6</v>
      </c>
      <c r="X329" s="16">
        <f t="shared" si="72"/>
        <v>1.6</v>
      </c>
      <c r="Y329" t="str">
        <f t="shared" si="73"/>
        <v>Sign corrected to positive</v>
      </c>
      <c r="Z329" s="16"/>
      <c r="AA329">
        <v>1</v>
      </c>
      <c r="AB329">
        <f>IF(B329&lt;&gt;"Sensor Snapshot","",IF(ISNUMBER(AA329),--(AA329&lt;&gt;0),IF(ISNUMBER(Z329),--(Z329&lt;'02_Parameters'!$B$15),"")))</f>
        <v>1</v>
      </c>
      <c r="AC329">
        <f>IF(B329&lt;&gt;"Sensor Snapshot","",IF(ISNUMBER(X329),--(X329&gt;='02_Parameters'!$B$16),""))</f>
        <v>0</v>
      </c>
      <c r="AD329">
        <v>0</v>
      </c>
      <c r="AE329">
        <f t="shared" si="74"/>
        <v>0</v>
      </c>
      <c r="AF329" s="3" t="str">
        <f t="shared" si="75"/>
        <v>Partial detection only</v>
      </c>
      <c r="AG329" s="16">
        <v>0</v>
      </c>
      <c r="AH329" s="16">
        <f>IF(B329&lt;&gt;"Sensor Snapshot","",IF(ISNUMBER(AG329),IF(AG329&lt;0,"",IF(AG329&gt;10,AG329/'02_Parameters'!$B$17,AG329)),""))</f>
        <v>0</v>
      </c>
      <c r="AI329" t="str">
        <f t="shared" si="76"/>
        <v>Valid</v>
      </c>
      <c r="AJ329">
        <f t="shared" si="77"/>
        <v>1</v>
      </c>
      <c r="AK329">
        <f t="shared" si="78"/>
        <v>0</v>
      </c>
      <c r="AL329">
        <v>0</v>
      </c>
      <c r="AM329">
        <f t="shared" si="79"/>
        <v>0</v>
      </c>
      <c r="AN329">
        <f>IF(B329&lt;&gt;"Sensor Snapshot","",--(N329&gt;='02_Parameters'!$B$13))</f>
        <v>0</v>
      </c>
      <c r="AO329">
        <f>IF(B329&lt;&gt;"Sensor Snapshot","",--(AND(L329="PUMPING",ISNUMBER(AH329),AH329&lt;='02_Parameters'!$B$10)))</f>
        <v>1</v>
      </c>
      <c r="AP329" s="16"/>
      <c r="AQ329" s="16" t="str">
        <f t="shared" si="80"/>
        <v/>
      </c>
      <c r="AR329" s="16" t="str">
        <f t="shared" si="81"/>
        <v/>
      </c>
      <c r="AU329" t="s">
        <v>236</v>
      </c>
      <c r="AV329" t="s">
        <v>237</v>
      </c>
      <c r="AW329" s="3" t="s">
        <v>238</v>
      </c>
      <c r="AX329" s="3">
        <f t="shared" si="82"/>
        <v>100</v>
      </c>
      <c r="AY329" s="3" t="str">
        <f t="shared" si="83"/>
        <v>A</v>
      </c>
      <c r="AZ329" s="3" t="s">
        <v>386</v>
      </c>
      <c r="BA329" s="3"/>
    </row>
    <row r="330" spans="1:53" ht="27.6">
      <c r="A330" t="s">
        <v>648</v>
      </c>
      <c r="B330" t="s">
        <v>242</v>
      </c>
      <c r="C330" s="14">
        <v>1047928</v>
      </c>
      <c r="D330" s="15">
        <f t="shared" si="70"/>
        <v>1047.9280000000001</v>
      </c>
      <c r="E330" t="s">
        <v>232</v>
      </c>
      <c r="G330" t="s">
        <v>157</v>
      </c>
      <c r="H330" t="s">
        <v>374</v>
      </c>
      <c r="I330" s="3" t="s">
        <v>575</v>
      </c>
      <c r="J330" s="3" t="s">
        <v>576</v>
      </c>
      <c r="K330">
        <v>3</v>
      </c>
      <c r="L330" t="s">
        <v>571</v>
      </c>
      <c r="M330">
        <f t="shared" si="71"/>
        <v>2</v>
      </c>
      <c r="O330" s="16"/>
      <c r="P330" s="16" t="str">
        <f>IF(AND(ISNUMBER(O330),O330&lt;&gt;-1,O330&gt;='02_Parameters'!$B$18,O330&lt;='02_Parameters'!$B$19),O330,"")</f>
        <v/>
      </c>
      <c r="Q330" s="16"/>
      <c r="R330" t="str">
        <f>IF(B330&lt;&gt;"Sensor Snapshot","",IF(O330="","Missing",IF(O330=-1,"Sensor failure sentinel (-1)",IF(OR(O330&lt;'02_Parameters'!$B$18,O330&gt;'02_Parameters'!$B$19),"Out of accepted range","Valid"))))</f>
        <v/>
      </c>
      <c r="S330" s="16"/>
      <c r="T330" s="16" t="str">
        <f>IF(AND(ISNUMBER(S330),S330&lt;&gt;-1,S330&gt;='02_Parameters'!$B$20,S330&lt;='02_Parameters'!$B$21),S330,"")</f>
        <v/>
      </c>
      <c r="U330" s="16"/>
      <c r="V330" t="str">
        <f>IF(B330&lt;&gt;"Sensor Snapshot","",IF(S330="","Missing",IF(S330=-1,"Sensor failure sentinel (-1)",IF(OR(S330&lt;'02_Parameters'!$B$20,S330&gt;'02_Parameters'!$B$21),"Out of accepted range","Valid"))))</f>
        <v/>
      </c>
      <c r="W330" s="16"/>
      <c r="X330" s="16" t="str">
        <f t="shared" si="72"/>
        <v/>
      </c>
      <c r="Y330" t="str">
        <f t="shared" si="73"/>
        <v/>
      </c>
      <c r="Z330" s="16"/>
      <c r="AB330" t="str">
        <f>IF(B330&lt;&gt;"Sensor Snapshot","",IF(ISNUMBER(AA330),--(AA330&lt;&gt;0),IF(ISNUMBER(Z330),--(Z330&lt;'02_Parameters'!$B$15),"")))</f>
        <v/>
      </c>
      <c r="AC330" t="str">
        <f>IF(B330&lt;&gt;"Sensor Snapshot","",IF(ISNUMBER(X330),--(X330&gt;='02_Parameters'!$B$16),""))</f>
        <v/>
      </c>
      <c r="AD330">
        <v>0</v>
      </c>
      <c r="AE330" t="str">
        <f t="shared" si="74"/>
        <v/>
      </c>
      <c r="AF330" s="3" t="str">
        <f t="shared" si="75"/>
        <v/>
      </c>
      <c r="AG330" s="16"/>
      <c r="AH330" s="16" t="str">
        <f>IF(B330&lt;&gt;"Sensor Snapshot","",IF(ISNUMBER(AG330),IF(AG330&lt;0,"",IF(AG330&gt;10,AG330/'02_Parameters'!$B$17,AG330)),""))</f>
        <v/>
      </c>
      <c r="AI330" t="str">
        <f t="shared" si="76"/>
        <v/>
      </c>
      <c r="AJ330" t="str">
        <f t="shared" si="77"/>
        <v/>
      </c>
      <c r="AK330" t="str">
        <f t="shared" si="78"/>
        <v/>
      </c>
      <c r="AM330" t="str">
        <f t="shared" si="79"/>
        <v/>
      </c>
      <c r="AN330" t="str">
        <f>IF(B330&lt;&gt;"Sensor Snapshot","",--(N330&gt;='02_Parameters'!$B$13))</f>
        <v/>
      </c>
      <c r="AO330" t="str">
        <f>IF(B330&lt;&gt;"Sensor Snapshot","",--(AND(L330="PUMPING",ISNUMBER(AH330),AH330&lt;='02_Parameters'!$B$10)))</f>
        <v/>
      </c>
      <c r="AP330" s="16"/>
      <c r="AQ330" s="16" t="str">
        <f t="shared" si="80"/>
        <v/>
      </c>
      <c r="AR330" s="16" t="str">
        <f t="shared" si="81"/>
        <v/>
      </c>
      <c r="AW330" s="3" t="s">
        <v>377</v>
      </c>
      <c r="AX330" s="3" t="str">
        <f t="shared" si="82"/>
        <v/>
      </c>
      <c r="AY330" s="3" t="str">
        <f t="shared" si="83"/>
        <v/>
      </c>
      <c r="AZ330" s="3" t="s">
        <v>247</v>
      </c>
      <c r="BA330" s="3"/>
    </row>
    <row r="331" spans="1:53" ht="55.2">
      <c r="A331" t="s">
        <v>649</v>
      </c>
      <c r="B331" t="s">
        <v>231</v>
      </c>
      <c r="C331" s="14">
        <v>1052972</v>
      </c>
      <c r="D331" s="15">
        <f t="shared" si="70"/>
        <v>1052.972</v>
      </c>
      <c r="E331" t="s">
        <v>232</v>
      </c>
      <c r="G331" t="s">
        <v>234</v>
      </c>
      <c r="H331" t="s">
        <v>235</v>
      </c>
      <c r="I331" s="3"/>
      <c r="J331" s="3"/>
      <c r="K331">
        <v>3</v>
      </c>
      <c r="L331" t="s">
        <v>571</v>
      </c>
      <c r="M331">
        <f t="shared" si="71"/>
        <v>2</v>
      </c>
      <c r="N331">
        <v>0</v>
      </c>
      <c r="O331" s="16">
        <v>-1</v>
      </c>
      <c r="P331" s="16" t="str">
        <f>IF(AND(ISNUMBER(O331),O331&lt;&gt;-1,O331&gt;='02_Parameters'!$B$18,O331&lt;='02_Parameters'!$B$19),O331,"")</f>
        <v/>
      </c>
      <c r="Q331" s="16">
        <v>28.4</v>
      </c>
      <c r="R331" t="str">
        <f>IF(B331&lt;&gt;"Sensor Snapshot","",IF(O331="","Missing",IF(O331=-1,"Sensor failure sentinel (-1)",IF(OR(O331&lt;'02_Parameters'!$B$18,O331&gt;'02_Parameters'!$B$19),"Out of accepted range","Valid"))))</f>
        <v>Sensor failure sentinel (-1)</v>
      </c>
      <c r="S331" s="16">
        <v>-1</v>
      </c>
      <c r="T331" s="16" t="str">
        <f>IF(AND(ISNUMBER(S331),S331&lt;&gt;-1,S331&gt;='02_Parameters'!$B$20,S331&lt;='02_Parameters'!$B$21),S331,"")</f>
        <v/>
      </c>
      <c r="U331" s="16">
        <v>86.5</v>
      </c>
      <c r="V331" t="str">
        <f>IF(B331&lt;&gt;"Sensor Snapshot","",IF(S331="","Missing",IF(S331=-1,"Sensor failure sentinel (-1)",IF(OR(S331&lt;'02_Parameters'!$B$20,S331&gt;'02_Parameters'!$B$21),"Out of accepted range","Valid"))))</f>
        <v>Sensor failure sentinel (-1)</v>
      </c>
      <c r="W331" s="16">
        <v>-1.5</v>
      </c>
      <c r="X331" s="16">
        <f t="shared" si="72"/>
        <v>1.5</v>
      </c>
      <c r="Y331" t="str">
        <f t="shared" si="73"/>
        <v>Sign corrected to positive</v>
      </c>
      <c r="Z331" s="16"/>
      <c r="AA331">
        <v>1</v>
      </c>
      <c r="AB331">
        <f>IF(B331&lt;&gt;"Sensor Snapshot","",IF(ISNUMBER(AA331),--(AA331&lt;&gt;0),IF(ISNUMBER(Z331),--(Z331&lt;'02_Parameters'!$B$15),"")))</f>
        <v>1</v>
      </c>
      <c r="AC331">
        <f>IF(B331&lt;&gt;"Sensor Snapshot","",IF(ISNUMBER(X331),--(X331&gt;='02_Parameters'!$B$16),""))</f>
        <v>0</v>
      </c>
      <c r="AD331">
        <v>0</v>
      </c>
      <c r="AE331">
        <f t="shared" si="74"/>
        <v>0</v>
      </c>
      <c r="AF331" s="3" t="str">
        <f t="shared" si="75"/>
        <v>Partial detection only</v>
      </c>
      <c r="AG331" s="16">
        <v>86.266999999999996</v>
      </c>
      <c r="AH331" s="16">
        <f>IF(B331&lt;&gt;"Sensor Snapshot","",IF(ISNUMBER(AG331),IF(AG331&lt;0,"",IF(AG331&gt;10,AG331/'02_Parameters'!$B$17,AG331)),""))</f>
        <v>0.86266999999999994</v>
      </c>
      <c r="AI331" t="str">
        <f t="shared" si="76"/>
        <v>Normalized from high-scale log</v>
      </c>
      <c r="AJ331">
        <f t="shared" si="77"/>
        <v>1</v>
      </c>
      <c r="AK331">
        <f t="shared" si="78"/>
        <v>0</v>
      </c>
      <c r="AL331">
        <v>1</v>
      </c>
      <c r="AM331">
        <f t="shared" si="79"/>
        <v>0</v>
      </c>
      <c r="AN331">
        <f>IF(B331&lt;&gt;"Sensor Snapshot","",--(N331&gt;='02_Parameters'!$B$13))</f>
        <v>0</v>
      </c>
      <c r="AO331">
        <f>IF(B331&lt;&gt;"Sensor Snapshot","",--(AND(L331="PUMPING",ISNUMBER(AH331),AH331&lt;='02_Parameters'!$B$10)))</f>
        <v>0</v>
      </c>
      <c r="AP331" s="16"/>
      <c r="AQ331" s="16" t="str">
        <f t="shared" si="80"/>
        <v/>
      </c>
      <c r="AR331" s="16" t="str">
        <f t="shared" si="81"/>
        <v/>
      </c>
      <c r="AU331" t="s">
        <v>236</v>
      </c>
      <c r="AV331" t="s">
        <v>237</v>
      </c>
      <c r="AW331" s="3" t="s">
        <v>330</v>
      </c>
      <c r="AX331" s="3">
        <f t="shared" si="82"/>
        <v>60</v>
      </c>
      <c r="AY331" s="3" t="str">
        <f t="shared" si="83"/>
        <v>C</v>
      </c>
      <c r="AZ331" s="3" t="s">
        <v>386</v>
      </c>
      <c r="BA331" s="3"/>
    </row>
    <row r="332" spans="1:53" ht="27.6">
      <c r="A332" t="s">
        <v>650</v>
      </c>
      <c r="B332" t="s">
        <v>242</v>
      </c>
      <c r="C332" s="14">
        <v>1052972</v>
      </c>
      <c r="D332" s="15">
        <f t="shared" si="70"/>
        <v>1052.972</v>
      </c>
      <c r="E332" t="s">
        <v>232</v>
      </c>
      <c r="G332" t="s">
        <v>157</v>
      </c>
      <c r="H332" t="s">
        <v>374</v>
      </c>
      <c r="I332" s="3" t="s">
        <v>244</v>
      </c>
      <c r="J332" s="3" t="s">
        <v>563</v>
      </c>
      <c r="K332">
        <v>3</v>
      </c>
      <c r="L332" t="s">
        <v>571</v>
      </c>
      <c r="M332">
        <f t="shared" si="71"/>
        <v>2</v>
      </c>
      <c r="O332" s="16"/>
      <c r="P332" s="16" t="str">
        <f>IF(AND(ISNUMBER(O332),O332&lt;&gt;-1,O332&gt;='02_Parameters'!$B$18,O332&lt;='02_Parameters'!$B$19),O332,"")</f>
        <v/>
      </c>
      <c r="Q332" s="16"/>
      <c r="R332" t="str">
        <f>IF(B332&lt;&gt;"Sensor Snapshot","",IF(O332="","Missing",IF(O332=-1,"Sensor failure sentinel (-1)",IF(OR(O332&lt;'02_Parameters'!$B$18,O332&gt;'02_Parameters'!$B$19),"Out of accepted range","Valid"))))</f>
        <v/>
      </c>
      <c r="S332" s="16"/>
      <c r="T332" s="16" t="str">
        <f>IF(AND(ISNUMBER(S332),S332&lt;&gt;-1,S332&gt;='02_Parameters'!$B$20,S332&lt;='02_Parameters'!$B$21),S332,"")</f>
        <v/>
      </c>
      <c r="U332" s="16"/>
      <c r="V332" t="str">
        <f>IF(B332&lt;&gt;"Sensor Snapshot","",IF(S332="","Missing",IF(S332=-1,"Sensor failure sentinel (-1)",IF(OR(S332&lt;'02_Parameters'!$B$20,S332&gt;'02_Parameters'!$B$21),"Out of accepted range","Valid"))))</f>
        <v/>
      </c>
      <c r="W332" s="16"/>
      <c r="X332" s="16" t="str">
        <f t="shared" si="72"/>
        <v/>
      </c>
      <c r="Y332" t="str">
        <f t="shared" si="73"/>
        <v/>
      </c>
      <c r="Z332" s="16"/>
      <c r="AB332" t="str">
        <f>IF(B332&lt;&gt;"Sensor Snapshot","",IF(ISNUMBER(AA332),--(AA332&lt;&gt;0),IF(ISNUMBER(Z332),--(Z332&lt;'02_Parameters'!$B$15),"")))</f>
        <v/>
      </c>
      <c r="AC332" t="str">
        <f>IF(B332&lt;&gt;"Sensor Snapshot","",IF(ISNUMBER(X332),--(X332&gt;='02_Parameters'!$B$16),""))</f>
        <v/>
      </c>
      <c r="AD332">
        <v>0</v>
      </c>
      <c r="AE332" t="str">
        <f t="shared" si="74"/>
        <v/>
      </c>
      <c r="AF332" s="3" t="str">
        <f t="shared" si="75"/>
        <v/>
      </c>
      <c r="AG332" s="16"/>
      <c r="AH332" s="16" t="str">
        <f>IF(B332&lt;&gt;"Sensor Snapshot","",IF(ISNUMBER(AG332),IF(AG332&lt;0,"",IF(AG332&gt;10,AG332/'02_Parameters'!$B$17,AG332)),""))</f>
        <v/>
      </c>
      <c r="AI332" t="str">
        <f t="shared" si="76"/>
        <v/>
      </c>
      <c r="AJ332" t="str">
        <f t="shared" si="77"/>
        <v/>
      </c>
      <c r="AK332" t="str">
        <f t="shared" si="78"/>
        <v/>
      </c>
      <c r="AL332">
        <v>1</v>
      </c>
      <c r="AM332" t="str">
        <f t="shared" si="79"/>
        <v/>
      </c>
      <c r="AN332" t="str">
        <f>IF(B332&lt;&gt;"Sensor Snapshot","",--(N332&gt;='02_Parameters'!$B$13))</f>
        <v/>
      </c>
      <c r="AO332" t="str">
        <f>IF(B332&lt;&gt;"Sensor Snapshot","",--(AND(L332="PUMPING",ISNUMBER(AH332),AH332&lt;='02_Parameters'!$B$10)))</f>
        <v/>
      </c>
      <c r="AP332" s="16"/>
      <c r="AQ332" s="16" t="str">
        <f t="shared" si="80"/>
        <v/>
      </c>
      <c r="AR332" s="16" t="str">
        <f t="shared" si="81"/>
        <v/>
      </c>
      <c r="AW332" s="3" t="s">
        <v>377</v>
      </c>
      <c r="AX332" s="3" t="str">
        <f t="shared" si="82"/>
        <v/>
      </c>
      <c r="AY332" s="3" t="str">
        <f t="shared" si="83"/>
        <v/>
      </c>
      <c r="AZ332" s="3" t="s">
        <v>247</v>
      </c>
      <c r="BA332" s="3"/>
    </row>
    <row r="333" spans="1:53" ht="41.4">
      <c r="A333" t="s">
        <v>651</v>
      </c>
      <c r="B333" t="s">
        <v>231</v>
      </c>
      <c r="C333" s="14">
        <v>1057940</v>
      </c>
      <c r="D333" s="15">
        <f t="shared" si="70"/>
        <v>1057.94</v>
      </c>
      <c r="E333" t="s">
        <v>232</v>
      </c>
      <c r="G333" t="s">
        <v>234</v>
      </c>
      <c r="H333" t="s">
        <v>235</v>
      </c>
      <c r="I333" s="3"/>
      <c r="J333" s="3"/>
      <c r="K333">
        <v>3</v>
      </c>
      <c r="L333" t="s">
        <v>571</v>
      </c>
      <c r="M333">
        <f t="shared" si="71"/>
        <v>2</v>
      </c>
      <c r="N333">
        <v>0</v>
      </c>
      <c r="O333" s="16">
        <v>7.1</v>
      </c>
      <c r="P333" s="16">
        <f>IF(AND(ISNUMBER(O333),O333&lt;&gt;-1,O333&gt;='02_Parameters'!$B$18,O333&lt;='02_Parameters'!$B$19),O333,"")</f>
        <v>7.1</v>
      </c>
      <c r="Q333" s="16">
        <v>7.1</v>
      </c>
      <c r="R333" t="str">
        <f>IF(B333&lt;&gt;"Sensor Snapshot","",IF(O333="","Missing",IF(O333=-1,"Sensor failure sentinel (-1)",IF(OR(O333&lt;'02_Parameters'!$B$18,O333&gt;'02_Parameters'!$B$19),"Out of accepted range","Valid"))))</f>
        <v>Valid</v>
      </c>
      <c r="S333" s="16">
        <v>223</v>
      </c>
      <c r="T333" s="16" t="str">
        <f>IF(AND(ISNUMBER(S333),S333&lt;&gt;-1,S333&gt;='02_Parameters'!$B$20,S333&lt;='02_Parameters'!$B$21),S333,"")</f>
        <v/>
      </c>
      <c r="U333" s="16">
        <v>86.5</v>
      </c>
      <c r="V333" t="str">
        <f>IF(B333&lt;&gt;"Sensor Snapshot","",IF(S333="","Missing",IF(S333=-1,"Sensor failure sentinel (-1)",IF(OR(S333&lt;'02_Parameters'!$B$20,S333&gt;'02_Parameters'!$B$21),"Out of accepted range","Valid"))))</f>
        <v>Out of accepted range</v>
      </c>
      <c r="W333" s="16">
        <v>-1.6</v>
      </c>
      <c r="X333" s="16">
        <f t="shared" si="72"/>
        <v>1.6</v>
      </c>
      <c r="Y333" t="str">
        <f t="shared" si="73"/>
        <v>Sign corrected to positive</v>
      </c>
      <c r="Z333" s="16"/>
      <c r="AA333">
        <v>1</v>
      </c>
      <c r="AB333">
        <f>IF(B333&lt;&gt;"Sensor Snapshot","",IF(ISNUMBER(AA333),--(AA333&lt;&gt;0),IF(ISNUMBER(Z333),--(Z333&lt;'02_Parameters'!$B$15),"")))</f>
        <v>1</v>
      </c>
      <c r="AC333">
        <f>IF(B333&lt;&gt;"Sensor Snapshot","",IF(ISNUMBER(X333),--(X333&gt;='02_Parameters'!$B$16),""))</f>
        <v>0</v>
      </c>
      <c r="AD333">
        <v>0</v>
      </c>
      <c r="AE333">
        <f t="shared" si="74"/>
        <v>0</v>
      </c>
      <c r="AF333" s="3" t="str">
        <f t="shared" si="75"/>
        <v>Partial detection only</v>
      </c>
      <c r="AG333" s="16">
        <v>83.84</v>
      </c>
      <c r="AH333" s="16">
        <f>IF(B333&lt;&gt;"Sensor Snapshot","",IF(ISNUMBER(AG333),IF(AG333&lt;0,"",IF(AG333&gt;10,AG333/'02_Parameters'!$B$17,AG333)),""))</f>
        <v>0.83840000000000003</v>
      </c>
      <c r="AI333" t="str">
        <f t="shared" si="76"/>
        <v>Normalized from high-scale log</v>
      </c>
      <c r="AJ333">
        <f t="shared" si="77"/>
        <v>1</v>
      </c>
      <c r="AK333">
        <f t="shared" si="78"/>
        <v>0</v>
      </c>
      <c r="AL333">
        <v>1</v>
      </c>
      <c r="AM333">
        <f t="shared" si="79"/>
        <v>0</v>
      </c>
      <c r="AN333">
        <f>IF(B333&lt;&gt;"Sensor Snapshot","",--(N333&gt;='02_Parameters'!$B$13))</f>
        <v>0</v>
      </c>
      <c r="AO333">
        <f>IF(B333&lt;&gt;"Sensor Snapshot","",--(AND(L333="PUMPING",ISNUMBER(AH333),AH333&lt;='02_Parameters'!$B$10)))</f>
        <v>0</v>
      </c>
      <c r="AP333" s="16"/>
      <c r="AQ333" s="16" t="str">
        <f t="shared" si="80"/>
        <v/>
      </c>
      <c r="AR333" s="16" t="str">
        <f t="shared" si="81"/>
        <v/>
      </c>
      <c r="AU333" t="s">
        <v>236</v>
      </c>
      <c r="AV333" t="s">
        <v>237</v>
      </c>
      <c r="AW333" s="3" t="s">
        <v>652</v>
      </c>
      <c r="AX333" s="3">
        <f t="shared" si="82"/>
        <v>80</v>
      </c>
      <c r="AY333" s="3" t="str">
        <f t="shared" si="83"/>
        <v>B</v>
      </c>
      <c r="AZ333" s="3" t="s">
        <v>386</v>
      </c>
      <c r="BA333" s="3"/>
    </row>
    <row r="334" spans="1:53" ht="27.6">
      <c r="A334" t="s">
        <v>653</v>
      </c>
      <c r="B334" t="s">
        <v>242</v>
      </c>
      <c r="C334" s="14">
        <v>1057940</v>
      </c>
      <c r="D334" s="15">
        <f t="shared" si="70"/>
        <v>1057.94</v>
      </c>
      <c r="E334" t="s">
        <v>232</v>
      </c>
      <c r="G334" t="s">
        <v>157</v>
      </c>
      <c r="H334" t="s">
        <v>374</v>
      </c>
      <c r="I334" s="3" t="s">
        <v>575</v>
      </c>
      <c r="J334" s="3" t="s">
        <v>576</v>
      </c>
      <c r="K334">
        <v>3</v>
      </c>
      <c r="L334" t="s">
        <v>571</v>
      </c>
      <c r="M334">
        <f t="shared" si="71"/>
        <v>2</v>
      </c>
      <c r="O334" s="16"/>
      <c r="P334" s="16" t="str">
        <f>IF(AND(ISNUMBER(O334),O334&lt;&gt;-1,O334&gt;='02_Parameters'!$B$18,O334&lt;='02_Parameters'!$B$19),O334,"")</f>
        <v/>
      </c>
      <c r="Q334" s="16"/>
      <c r="R334" t="str">
        <f>IF(B334&lt;&gt;"Sensor Snapshot","",IF(O334="","Missing",IF(O334=-1,"Sensor failure sentinel (-1)",IF(OR(O334&lt;'02_Parameters'!$B$18,O334&gt;'02_Parameters'!$B$19),"Out of accepted range","Valid"))))</f>
        <v/>
      </c>
      <c r="S334" s="16"/>
      <c r="T334" s="16" t="str">
        <f>IF(AND(ISNUMBER(S334),S334&lt;&gt;-1,S334&gt;='02_Parameters'!$B$20,S334&lt;='02_Parameters'!$B$21),S334,"")</f>
        <v/>
      </c>
      <c r="U334" s="16"/>
      <c r="V334" t="str">
        <f>IF(B334&lt;&gt;"Sensor Snapshot","",IF(S334="","Missing",IF(S334=-1,"Sensor failure sentinel (-1)",IF(OR(S334&lt;'02_Parameters'!$B$20,S334&gt;'02_Parameters'!$B$21),"Out of accepted range","Valid"))))</f>
        <v/>
      </c>
      <c r="W334" s="16"/>
      <c r="X334" s="16" t="str">
        <f t="shared" si="72"/>
        <v/>
      </c>
      <c r="Y334" t="str">
        <f t="shared" si="73"/>
        <v/>
      </c>
      <c r="Z334" s="16"/>
      <c r="AB334" t="str">
        <f>IF(B334&lt;&gt;"Sensor Snapshot","",IF(ISNUMBER(AA334),--(AA334&lt;&gt;0),IF(ISNUMBER(Z334),--(Z334&lt;'02_Parameters'!$B$15),"")))</f>
        <v/>
      </c>
      <c r="AC334" t="str">
        <f>IF(B334&lt;&gt;"Sensor Snapshot","",IF(ISNUMBER(X334),--(X334&gt;='02_Parameters'!$B$16),""))</f>
        <v/>
      </c>
      <c r="AD334">
        <v>0</v>
      </c>
      <c r="AE334" t="str">
        <f t="shared" si="74"/>
        <v/>
      </c>
      <c r="AF334" s="3" t="str">
        <f t="shared" si="75"/>
        <v/>
      </c>
      <c r="AG334" s="16"/>
      <c r="AH334" s="16" t="str">
        <f>IF(B334&lt;&gt;"Sensor Snapshot","",IF(ISNUMBER(AG334),IF(AG334&lt;0,"",IF(AG334&gt;10,AG334/'02_Parameters'!$B$17,AG334)),""))</f>
        <v/>
      </c>
      <c r="AI334" t="str">
        <f t="shared" si="76"/>
        <v/>
      </c>
      <c r="AJ334" t="str">
        <f t="shared" si="77"/>
        <v/>
      </c>
      <c r="AK334" t="str">
        <f t="shared" si="78"/>
        <v/>
      </c>
      <c r="AM334" t="str">
        <f t="shared" si="79"/>
        <v/>
      </c>
      <c r="AN334" t="str">
        <f>IF(B334&lt;&gt;"Sensor Snapshot","",--(N334&gt;='02_Parameters'!$B$13))</f>
        <v/>
      </c>
      <c r="AO334" t="str">
        <f>IF(B334&lt;&gt;"Sensor Snapshot","",--(AND(L334="PUMPING",ISNUMBER(AH334),AH334&lt;='02_Parameters'!$B$10)))</f>
        <v/>
      </c>
      <c r="AP334" s="16"/>
      <c r="AQ334" s="16" t="str">
        <f t="shared" si="80"/>
        <v/>
      </c>
      <c r="AR334" s="16" t="str">
        <f t="shared" si="81"/>
        <v/>
      </c>
      <c r="AW334" s="3" t="s">
        <v>377</v>
      </c>
      <c r="AX334" s="3" t="str">
        <f t="shared" si="82"/>
        <v/>
      </c>
      <c r="AY334" s="3" t="str">
        <f t="shared" si="83"/>
        <v/>
      </c>
      <c r="AZ334" s="3" t="s">
        <v>247</v>
      </c>
      <c r="BA334" s="3"/>
    </row>
    <row r="335" spans="1:53" ht="55.2">
      <c r="A335" t="s">
        <v>654</v>
      </c>
      <c r="B335" t="s">
        <v>231</v>
      </c>
      <c r="C335" s="14">
        <v>1062969</v>
      </c>
      <c r="D335" s="15">
        <f t="shared" si="70"/>
        <v>1062.9690000000001</v>
      </c>
      <c r="E335" t="s">
        <v>232</v>
      </c>
      <c r="G335" t="s">
        <v>234</v>
      </c>
      <c r="H335" t="s">
        <v>235</v>
      </c>
      <c r="I335" s="3"/>
      <c r="J335" s="3"/>
      <c r="K335">
        <v>3</v>
      </c>
      <c r="L335" t="s">
        <v>571</v>
      </c>
      <c r="M335">
        <f t="shared" si="71"/>
        <v>2</v>
      </c>
      <c r="N335">
        <v>0</v>
      </c>
      <c r="O335" s="16">
        <v>-1</v>
      </c>
      <c r="P335" s="16" t="str">
        <f>IF(AND(ISNUMBER(O335),O335&lt;&gt;-1,O335&gt;='02_Parameters'!$B$18,O335&lt;='02_Parameters'!$B$19),O335,"")</f>
        <v/>
      </c>
      <c r="Q335" s="16">
        <v>7.1</v>
      </c>
      <c r="R335" t="str">
        <f>IF(B335&lt;&gt;"Sensor Snapshot","",IF(O335="","Missing",IF(O335=-1,"Sensor failure sentinel (-1)",IF(OR(O335&lt;'02_Parameters'!$B$18,O335&gt;'02_Parameters'!$B$19),"Out of accepted range","Valid"))))</f>
        <v>Sensor failure sentinel (-1)</v>
      </c>
      <c r="S335" s="16">
        <v>-1</v>
      </c>
      <c r="T335" s="16" t="str">
        <f>IF(AND(ISNUMBER(S335),S335&lt;&gt;-1,S335&gt;='02_Parameters'!$B$20,S335&lt;='02_Parameters'!$B$21),S335,"")</f>
        <v/>
      </c>
      <c r="U335" s="16">
        <v>86.5</v>
      </c>
      <c r="V335" t="str">
        <f>IF(B335&lt;&gt;"Sensor Snapshot","",IF(S335="","Missing",IF(S335=-1,"Sensor failure sentinel (-1)",IF(OR(S335&lt;'02_Parameters'!$B$20,S335&gt;'02_Parameters'!$B$21),"Out of accepted range","Valid"))))</f>
        <v>Sensor failure sentinel (-1)</v>
      </c>
      <c r="W335" s="16">
        <v>-1.6</v>
      </c>
      <c r="X335" s="16">
        <f t="shared" si="72"/>
        <v>1.6</v>
      </c>
      <c r="Y335" t="str">
        <f t="shared" si="73"/>
        <v>Sign corrected to positive</v>
      </c>
      <c r="Z335" s="16"/>
      <c r="AA335">
        <v>1</v>
      </c>
      <c r="AB335">
        <f>IF(B335&lt;&gt;"Sensor Snapshot","",IF(ISNUMBER(AA335),--(AA335&lt;&gt;0),IF(ISNUMBER(Z335),--(Z335&lt;'02_Parameters'!$B$15),"")))</f>
        <v>1</v>
      </c>
      <c r="AC335">
        <f>IF(B335&lt;&gt;"Sensor Snapshot","",IF(ISNUMBER(X335),--(X335&gt;='02_Parameters'!$B$16),""))</f>
        <v>0</v>
      </c>
      <c r="AD335">
        <v>0</v>
      </c>
      <c r="AE335">
        <f t="shared" si="74"/>
        <v>0</v>
      </c>
      <c r="AF335" s="3" t="str">
        <f t="shared" si="75"/>
        <v>Partial detection only</v>
      </c>
      <c r="AG335" s="16">
        <v>80.266999999999996</v>
      </c>
      <c r="AH335" s="16">
        <f>IF(B335&lt;&gt;"Sensor Snapshot","",IF(ISNUMBER(AG335),IF(AG335&lt;0,"",IF(AG335&gt;10,AG335/'02_Parameters'!$B$17,AG335)),""))</f>
        <v>0.80266999999999999</v>
      </c>
      <c r="AI335" t="str">
        <f t="shared" si="76"/>
        <v>Normalized from high-scale log</v>
      </c>
      <c r="AJ335">
        <f t="shared" si="77"/>
        <v>1</v>
      </c>
      <c r="AK335">
        <f t="shared" si="78"/>
        <v>0</v>
      </c>
      <c r="AL335">
        <v>1</v>
      </c>
      <c r="AM335">
        <f t="shared" si="79"/>
        <v>0</v>
      </c>
      <c r="AN335">
        <f>IF(B335&lt;&gt;"Sensor Snapshot","",--(N335&gt;='02_Parameters'!$B$13))</f>
        <v>0</v>
      </c>
      <c r="AO335">
        <f>IF(B335&lt;&gt;"Sensor Snapshot","",--(AND(L335="PUMPING",ISNUMBER(AH335),AH335&lt;='02_Parameters'!$B$10)))</f>
        <v>0</v>
      </c>
      <c r="AP335" s="16"/>
      <c r="AQ335" s="16" t="str">
        <f t="shared" si="80"/>
        <v/>
      </c>
      <c r="AR335" s="16" t="str">
        <f t="shared" si="81"/>
        <v/>
      </c>
      <c r="AU335" t="s">
        <v>236</v>
      </c>
      <c r="AV335" t="s">
        <v>237</v>
      </c>
      <c r="AW335" s="3" t="s">
        <v>330</v>
      </c>
      <c r="AX335" s="3">
        <f t="shared" si="82"/>
        <v>60</v>
      </c>
      <c r="AY335" s="3" t="str">
        <f t="shared" si="83"/>
        <v>C</v>
      </c>
      <c r="AZ335" s="3" t="s">
        <v>386</v>
      </c>
      <c r="BA335" s="3"/>
    </row>
    <row r="336" spans="1:53" ht="27.6">
      <c r="A336" t="s">
        <v>655</v>
      </c>
      <c r="B336" t="s">
        <v>242</v>
      </c>
      <c r="C336" s="14">
        <v>1062969</v>
      </c>
      <c r="D336" s="15">
        <f t="shared" si="70"/>
        <v>1062.9690000000001</v>
      </c>
      <c r="E336" t="s">
        <v>232</v>
      </c>
      <c r="G336" t="s">
        <v>157</v>
      </c>
      <c r="H336" t="s">
        <v>374</v>
      </c>
      <c r="I336" s="3" t="s">
        <v>575</v>
      </c>
      <c r="J336" s="3" t="s">
        <v>576</v>
      </c>
      <c r="K336">
        <v>3</v>
      </c>
      <c r="L336" t="s">
        <v>571</v>
      </c>
      <c r="M336">
        <f t="shared" si="71"/>
        <v>2</v>
      </c>
      <c r="O336" s="16"/>
      <c r="P336" s="16" t="str">
        <f>IF(AND(ISNUMBER(O336),O336&lt;&gt;-1,O336&gt;='02_Parameters'!$B$18,O336&lt;='02_Parameters'!$B$19),O336,"")</f>
        <v/>
      </c>
      <c r="Q336" s="16"/>
      <c r="R336" t="str">
        <f>IF(B336&lt;&gt;"Sensor Snapshot","",IF(O336="","Missing",IF(O336=-1,"Sensor failure sentinel (-1)",IF(OR(O336&lt;'02_Parameters'!$B$18,O336&gt;'02_Parameters'!$B$19),"Out of accepted range","Valid"))))</f>
        <v/>
      </c>
      <c r="S336" s="16"/>
      <c r="T336" s="16" t="str">
        <f>IF(AND(ISNUMBER(S336),S336&lt;&gt;-1,S336&gt;='02_Parameters'!$B$20,S336&lt;='02_Parameters'!$B$21),S336,"")</f>
        <v/>
      </c>
      <c r="U336" s="16"/>
      <c r="V336" t="str">
        <f>IF(B336&lt;&gt;"Sensor Snapshot","",IF(S336="","Missing",IF(S336=-1,"Sensor failure sentinel (-1)",IF(OR(S336&lt;'02_Parameters'!$B$20,S336&gt;'02_Parameters'!$B$21),"Out of accepted range","Valid"))))</f>
        <v/>
      </c>
      <c r="W336" s="16"/>
      <c r="X336" s="16" t="str">
        <f t="shared" si="72"/>
        <v/>
      </c>
      <c r="Y336" t="str">
        <f t="shared" si="73"/>
        <v/>
      </c>
      <c r="Z336" s="16"/>
      <c r="AB336" t="str">
        <f>IF(B336&lt;&gt;"Sensor Snapshot","",IF(ISNUMBER(AA336),--(AA336&lt;&gt;0),IF(ISNUMBER(Z336),--(Z336&lt;'02_Parameters'!$B$15),"")))</f>
        <v/>
      </c>
      <c r="AC336" t="str">
        <f>IF(B336&lt;&gt;"Sensor Snapshot","",IF(ISNUMBER(X336),--(X336&gt;='02_Parameters'!$B$16),""))</f>
        <v/>
      </c>
      <c r="AD336">
        <v>0</v>
      </c>
      <c r="AE336" t="str">
        <f t="shared" si="74"/>
        <v/>
      </c>
      <c r="AF336" s="3" t="str">
        <f t="shared" si="75"/>
        <v/>
      </c>
      <c r="AG336" s="16"/>
      <c r="AH336" s="16" t="str">
        <f>IF(B336&lt;&gt;"Sensor Snapshot","",IF(ISNUMBER(AG336),IF(AG336&lt;0,"",IF(AG336&gt;10,AG336/'02_Parameters'!$B$17,AG336)),""))</f>
        <v/>
      </c>
      <c r="AI336" t="str">
        <f t="shared" si="76"/>
        <v/>
      </c>
      <c r="AJ336" t="str">
        <f t="shared" si="77"/>
        <v/>
      </c>
      <c r="AK336" t="str">
        <f t="shared" si="78"/>
        <v/>
      </c>
      <c r="AM336" t="str">
        <f t="shared" si="79"/>
        <v/>
      </c>
      <c r="AN336" t="str">
        <f>IF(B336&lt;&gt;"Sensor Snapshot","",--(N336&gt;='02_Parameters'!$B$13))</f>
        <v/>
      </c>
      <c r="AO336" t="str">
        <f>IF(B336&lt;&gt;"Sensor Snapshot","",--(AND(L336="PUMPING",ISNUMBER(AH336),AH336&lt;='02_Parameters'!$B$10)))</f>
        <v/>
      </c>
      <c r="AP336" s="16"/>
      <c r="AQ336" s="16" t="str">
        <f t="shared" si="80"/>
        <v/>
      </c>
      <c r="AR336" s="16" t="str">
        <f t="shared" si="81"/>
        <v/>
      </c>
      <c r="AW336" s="3" t="s">
        <v>377</v>
      </c>
      <c r="AX336" s="3" t="str">
        <f t="shared" si="82"/>
        <v/>
      </c>
      <c r="AY336" s="3" t="str">
        <f t="shared" si="83"/>
        <v/>
      </c>
      <c r="AZ336" s="3" t="s">
        <v>247</v>
      </c>
      <c r="BA336" s="3"/>
    </row>
    <row r="337" spans="1:53" ht="41.4">
      <c r="A337" t="s">
        <v>656</v>
      </c>
      <c r="B337" t="s">
        <v>231</v>
      </c>
      <c r="C337" s="14">
        <v>1068476</v>
      </c>
      <c r="D337" s="15">
        <f t="shared" si="70"/>
        <v>1068.4760000000001</v>
      </c>
      <c r="E337" t="s">
        <v>232</v>
      </c>
      <c r="G337" t="s">
        <v>234</v>
      </c>
      <c r="H337" t="s">
        <v>235</v>
      </c>
      <c r="I337" s="3"/>
      <c r="J337" s="3"/>
      <c r="K337">
        <v>3</v>
      </c>
      <c r="L337" t="s">
        <v>571</v>
      </c>
      <c r="M337">
        <f t="shared" si="71"/>
        <v>2</v>
      </c>
      <c r="N337">
        <v>0</v>
      </c>
      <c r="O337" s="16">
        <v>-1</v>
      </c>
      <c r="P337" s="16" t="str">
        <f>IF(AND(ISNUMBER(O337),O337&lt;&gt;-1,O337&gt;='02_Parameters'!$B$18,O337&lt;='02_Parameters'!$B$19),O337,"")</f>
        <v/>
      </c>
      <c r="Q337" s="16">
        <v>7.1</v>
      </c>
      <c r="R337" t="str">
        <f>IF(B337&lt;&gt;"Sensor Snapshot","",IF(O337="","Missing",IF(O337=-1,"Sensor failure sentinel (-1)",IF(OR(O337&lt;'02_Parameters'!$B$18,O337&gt;'02_Parameters'!$B$19),"Out of accepted range","Valid"))))</f>
        <v>Sensor failure sentinel (-1)</v>
      </c>
      <c r="S337" s="16">
        <v>-1</v>
      </c>
      <c r="T337" s="16" t="str">
        <f>IF(AND(ISNUMBER(S337),S337&lt;&gt;-1,S337&gt;='02_Parameters'!$B$20,S337&lt;='02_Parameters'!$B$21),S337,"")</f>
        <v/>
      </c>
      <c r="U337" s="16">
        <v>86.5</v>
      </c>
      <c r="V337" t="str">
        <f>IF(B337&lt;&gt;"Sensor Snapshot","",IF(S337="","Missing",IF(S337=-1,"Sensor failure sentinel (-1)",IF(OR(S337&lt;'02_Parameters'!$B$20,S337&gt;'02_Parameters'!$B$21),"Out of accepted range","Valid"))))</f>
        <v>Sensor failure sentinel (-1)</v>
      </c>
      <c r="W337" s="16">
        <v>344.2</v>
      </c>
      <c r="X337" s="16">
        <f t="shared" si="72"/>
        <v>344.2</v>
      </c>
      <c r="Y337" t="str">
        <f t="shared" si="73"/>
        <v>Valid</v>
      </c>
      <c r="Z337" s="16"/>
      <c r="AA337">
        <v>1</v>
      </c>
      <c r="AB337">
        <f>IF(B337&lt;&gt;"Sensor Snapshot","",IF(ISNUMBER(AA337),--(AA337&lt;&gt;0),IF(ISNUMBER(Z337),--(Z337&lt;'02_Parameters'!$B$15),"")))</f>
        <v>1</v>
      </c>
      <c r="AC337">
        <f>IF(B337&lt;&gt;"Sensor Snapshot","",IF(ISNUMBER(X337),--(X337&gt;='02_Parameters'!$B$16),""))</f>
        <v>1</v>
      </c>
      <c r="AD337">
        <v>0</v>
      </c>
      <c r="AE337">
        <f t="shared" si="74"/>
        <v>1</v>
      </c>
      <c r="AF337" s="3" t="str">
        <f t="shared" si="75"/>
        <v>Derived: optical AND weight</v>
      </c>
      <c r="AG337" s="16">
        <v>88.052999999999997</v>
      </c>
      <c r="AH337" s="16">
        <f>IF(B337&lt;&gt;"Sensor Snapshot","",IF(ISNUMBER(AG337),IF(AG337&lt;0,"",IF(AG337&gt;10,AG337/'02_Parameters'!$B$17,AG337)),""))</f>
        <v>0.88052999999999992</v>
      </c>
      <c r="AI337" t="str">
        <f t="shared" si="76"/>
        <v>Normalized from high-scale log</v>
      </c>
      <c r="AJ337">
        <f t="shared" si="77"/>
        <v>1</v>
      </c>
      <c r="AK337">
        <f t="shared" si="78"/>
        <v>0</v>
      </c>
      <c r="AL337">
        <v>1</v>
      </c>
      <c r="AM337">
        <f t="shared" si="79"/>
        <v>0</v>
      </c>
      <c r="AN337">
        <f>IF(B337&lt;&gt;"Sensor Snapshot","",--(N337&gt;='02_Parameters'!$B$13))</f>
        <v>0</v>
      </c>
      <c r="AO337">
        <f>IF(B337&lt;&gt;"Sensor Snapshot","",--(AND(L337="PUMPING",ISNUMBER(AH337),AH337&lt;='02_Parameters'!$B$10)))</f>
        <v>0</v>
      </c>
      <c r="AP337" s="16"/>
      <c r="AQ337" s="16" t="str">
        <f t="shared" si="80"/>
        <v/>
      </c>
      <c r="AR337" s="16" t="str">
        <f t="shared" si="81"/>
        <v/>
      </c>
      <c r="AU337" t="s">
        <v>236</v>
      </c>
      <c r="AV337" t="s">
        <v>237</v>
      </c>
      <c r="AW337" s="3" t="s">
        <v>599</v>
      </c>
      <c r="AX337" s="3">
        <f t="shared" si="82"/>
        <v>60</v>
      </c>
      <c r="AY337" s="3" t="str">
        <f t="shared" si="83"/>
        <v>C</v>
      </c>
      <c r="AZ337" s="3" t="s">
        <v>386</v>
      </c>
      <c r="BA337" s="3"/>
    </row>
    <row r="338" spans="1:53" ht="27.6">
      <c r="A338" t="s">
        <v>657</v>
      </c>
      <c r="B338" t="s">
        <v>242</v>
      </c>
      <c r="C338" s="14">
        <v>1068476</v>
      </c>
      <c r="D338" s="15">
        <f t="shared" si="70"/>
        <v>1068.4760000000001</v>
      </c>
      <c r="E338" t="s">
        <v>232</v>
      </c>
      <c r="G338" t="s">
        <v>157</v>
      </c>
      <c r="H338" t="s">
        <v>374</v>
      </c>
      <c r="I338" s="3" t="s">
        <v>575</v>
      </c>
      <c r="J338" s="3" t="s">
        <v>576</v>
      </c>
      <c r="K338">
        <v>3</v>
      </c>
      <c r="L338" t="s">
        <v>571</v>
      </c>
      <c r="M338">
        <f t="shared" si="71"/>
        <v>2</v>
      </c>
      <c r="O338" s="16"/>
      <c r="P338" s="16" t="str">
        <f>IF(AND(ISNUMBER(O338),O338&lt;&gt;-1,O338&gt;='02_Parameters'!$B$18,O338&lt;='02_Parameters'!$B$19),O338,"")</f>
        <v/>
      </c>
      <c r="Q338" s="16"/>
      <c r="R338" t="str">
        <f>IF(B338&lt;&gt;"Sensor Snapshot","",IF(O338="","Missing",IF(O338=-1,"Sensor failure sentinel (-1)",IF(OR(O338&lt;'02_Parameters'!$B$18,O338&gt;'02_Parameters'!$B$19),"Out of accepted range","Valid"))))</f>
        <v/>
      </c>
      <c r="S338" s="16"/>
      <c r="T338" s="16" t="str">
        <f>IF(AND(ISNUMBER(S338),S338&lt;&gt;-1,S338&gt;='02_Parameters'!$B$20,S338&lt;='02_Parameters'!$B$21),S338,"")</f>
        <v/>
      </c>
      <c r="U338" s="16"/>
      <c r="V338" t="str">
        <f>IF(B338&lt;&gt;"Sensor Snapshot","",IF(S338="","Missing",IF(S338=-1,"Sensor failure sentinel (-1)",IF(OR(S338&lt;'02_Parameters'!$B$20,S338&gt;'02_Parameters'!$B$21),"Out of accepted range","Valid"))))</f>
        <v/>
      </c>
      <c r="W338" s="16"/>
      <c r="X338" s="16" t="str">
        <f t="shared" si="72"/>
        <v/>
      </c>
      <c r="Y338" t="str">
        <f t="shared" si="73"/>
        <v/>
      </c>
      <c r="Z338" s="16"/>
      <c r="AB338" t="str">
        <f>IF(B338&lt;&gt;"Sensor Snapshot","",IF(ISNUMBER(AA338),--(AA338&lt;&gt;0),IF(ISNUMBER(Z338),--(Z338&lt;'02_Parameters'!$B$15),"")))</f>
        <v/>
      </c>
      <c r="AC338" t="str">
        <f>IF(B338&lt;&gt;"Sensor Snapshot","",IF(ISNUMBER(X338),--(X338&gt;='02_Parameters'!$B$16),""))</f>
        <v/>
      </c>
      <c r="AD338">
        <v>0</v>
      </c>
      <c r="AE338" t="str">
        <f t="shared" si="74"/>
        <v/>
      </c>
      <c r="AF338" s="3" t="str">
        <f t="shared" si="75"/>
        <v/>
      </c>
      <c r="AG338" s="16"/>
      <c r="AH338" s="16" t="str">
        <f>IF(B338&lt;&gt;"Sensor Snapshot","",IF(ISNUMBER(AG338),IF(AG338&lt;0,"",IF(AG338&gt;10,AG338/'02_Parameters'!$B$17,AG338)),""))</f>
        <v/>
      </c>
      <c r="AI338" t="str">
        <f t="shared" si="76"/>
        <v/>
      </c>
      <c r="AJ338" t="str">
        <f t="shared" si="77"/>
        <v/>
      </c>
      <c r="AK338" t="str">
        <f t="shared" si="78"/>
        <v/>
      </c>
      <c r="AM338" t="str">
        <f t="shared" si="79"/>
        <v/>
      </c>
      <c r="AN338" t="str">
        <f>IF(B338&lt;&gt;"Sensor Snapshot","",--(N338&gt;='02_Parameters'!$B$13))</f>
        <v/>
      </c>
      <c r="AO338" t="str">
        <f>IF(B338&lt;&gt;"Sensor Snapshot","",--(AND(L338="PUMPING",ISNUMBER(AH338),AH338&lt;='02_Parameters'!$B$10)))</f>
        <v/>
      </c>
      <c r="AP338" s="16"/>
      <c r="AQ338" s="16" t="str">
        <f t="shared" si="80"/>
        <v/>
      </c>
      <c r="AR338" s="16" t="str">
        <f t="shared" si="81"/>
        <v/>
      </c>
      <c r="AW338" s="3" t="s">
        <v>377</v>
      </c>
      <c r="AX338" s="3" t="str">
        <f t="shared" si="82"/>
        <v/>
      </c>
      <c r="AY338" s="3" t="str">
        <f t="shared" si="83"/>
        <v/>
      </c>
      <c r="AZ338" s="3" t="s">
        <v>247</v>
      </c>
      <c r="BA338" s="3"/>
    </row>
    <row r="339" spans="1:53" ht="55.2">
      <c r="A339" t="s">
        <v>658</v>
      </c>
      <c r="B339" t="s">
        <v>231</v>
      </c>
      <c r="C339" s="14">
        <v>1073475</v>
      </c>
      <c r="D339" s="15">
        <f t="shared" si="70"/>
        <v>1073.4749999999999</v>
      </c>
      <c r="E339" t="s">
        <v>232</v>
      </c>
      <c r="G339" t="s">
        <v>234</v>
      </c>
      <c r="H339" t="s">
        <v>235</v>
      </c>
      <c r="I339" s="3"/>
      <c r="J339" s="3"/>
      <c r="K339">
        <v>3</v>
      </c>
      <c r="L339" t="s">
        <v>571</v>
      </c>
      <c r="M339">
        <f t="shared" si="71"/>
        <v>2</v>
      </c>
      <c r="N339">
        <v>0</v>
      </c>
      <c r="O339" s="16">
        <v>-1</v>
      </c>
      <c r="P339" s="16" t="str">
        <f>IF(AND(ISNUMBER(O339),O339&lt;&gt;-1,O339&gt;='02_Parameters'!$B$18,O339&lt;='02_Parameters'!$B$19),O339,"")</f>
        <v/>
      </c>
      <c r="Q339" s="16">
        <v>7.1</v>
      </c>
      <c r="R339" t="str">
        <f>IF(B339&lt;&gt;"Sensor Snapshot","",IF(O339="","Missing",IF(O339=-1,"Sensor failure sentinel (-1)",IF(OR(O339&lt;'02_Parameters'!$B$18,O339&gt;'02_Parameters'!$B$19),"Out of accepted range","Valid"))))</f>
        <v>Sensor failure sentinel (-1)</v>
      </c>
      <c r="S339" s="16">
        <v>-1</v>
      </c>
      <c r="T339" s="16" t="str">
        <f>IF(AND(ISNUMBER(S339),S339&lt;&gt;-1,S339&gt;='02_Parameters'!$B$20,S339&lt;='02_Parameters'!$B$21),S339,"")</f>
        <v/>
      </c>
      <c r="U339" s="16">
        <v>86.5</v>
      </c>
      <c r="V339" t="str">
        <f>IF(B339&lt;&gt;"Sensor Snapshot","",IF(S339="","Missing",IF(S339=-1,"Sensor failure sentinel (-1)",IF(OR(S339&lt;'02_Parameters'!$B$20,S339&gt;'02_Parameters'!$B$21),"Out of accepted range","Valid"))))</f>
        <v>Sensor failure sentinel (-1)</v>
      </c>
      <c r="W339" s="16">
        <v>-1.6</v>
      </c>
      <c r="X339" s="16">
        <f t="shared" si="72"/>
        <v>1.6</v>
      </c>
      <c r="Y339" t="str">
        <f t="shared" si="73"/>
        <v>Sign corrected to positive</v>
      </c>
      <c r="Z339" s="16"/>
      <c r="AA339">
        <v>1</v>
      </c>
      <c r="AB339">
        <f>IF(B339&lt;&gt;"Sensor Snapshot","",IF(ISNUMBER(AA339),--(AA339&lt;&gt;0),IF(ISNUMBER(Z339),--(Z339&lt;'02_Parameters'!$B$15),"")))</f>
        <v>1</v>
      </c>
      <c r="AC339">
        <f>IF(B339&lt;&gt;"Sensor Snapshot","",IF(ISNUMBER(X339),--(X339&gt;='02_Parameters'!$B$16),""))</f>
        <v>0</v>
      </c>
      <c r="AD339">
        <v>0</v>
      </c>
      <c r="AE339">
        <f t="shared" si="74"/>
        <v>0</v>
      </c>
      <c r="AF339" s="3" t="str">
        <f t="shared" si="75"/>
        <v>Partial detection only</v>
      </c>
      <c r="AG339" s="16">
        <v>80.88</v>
      </c>
      <c r="AH339" s="16">
        <f>IF(B339&lt;&gt;"Sensor Snapshot","",IF(ISNUMBER(AG339),IF(AG339&lt;0,"",IF(AG339&gt;10,AG339/'02_Parameters'!$B$17,AG339)),""))</f>
        <v>0.80879999999999996</v>
      </c>
      <c r="AI339" t="str">
        <f t="shared" si="76"/>
        <v>Normalized from high-scale log</v>
      </c>
      <c r="AJ339">
        <f t="shared" si="77"/>
        <v>1</v>
      </c>
      <c r="AK339">
        <f t="shared" si="78"/>
        <v>0</v>
      </c>
      <c r="AL339">
        <v>0</v>
      </c>
      <c r="AM339">
        <f t="shared" si="79"/>
        <v>0</v>
      </c>
      <c r="AN339">
        <f>IF(B339&lt;&gt;"Sensor Snapshot","",--(N339&gt;='02_Parameters'!$B$13))</f>
        <v>0</v>
      </c>
      <c r="AO339">
        <f>IF(B339&lt;&gt;"Sensor Snapshot","",--(AND(L339="PUMPING",ISNUMBER(AH339),AH339&lt;='02_Parameters'!$B$10)))</f>
        <v>0</v>
      </c>
      <c r="AP339" s="16"/>
      <c r="AQ339" s="16" t="str">
        <f t="shared" si="80"/>
        <v/>
      </c>
      <c r="AR339" s="16" t="str">
        <f t="shared" si="81"/>
        <v/>
      </c>
      <c r="AU339" t="s">
        <v>236</v>
      </c>
      <c r="AV339" t="s">
        <v>237</v>
      </c>
      <c r="AW339" s="3" t="s">
        <v>330</v>
      </c>
      <c r="AX339" s="3">
        <f t="shared" si="82"/>
        <v>60</v>
      </c>
      <c r="AY339" s="3" t="str">
        <f t="shared" si="83"/>
        <v>C</v>
      </c>
      <c r="AZ339" s="3" t="s">
        <v>386</v>
      </c>
      <c r="BA339" s="3"/>
    </row>
    <row r="340" spans="1:53" ht="27.6">
      <c r="A340" t="s">
        <v>659</v>
      </c>
      <c r="B340" t="s">
        <v>242</v>
      </c>
      <c r="C340" s="14">
        <v>1073475</v>
      </c>
      <c r="D340" s="15">
        <f t="shared" si="70"/>
        <v>1073.4749999999999</v>
      </c>
      <c r="E340" t="s">
        <v>232</v>
      </c>
      <c r="G340" t="s">
        <v>157</v>
      </c>
      <c r="H340" t="s">
        <v>374</v>
      </c>
      <c r="I340" s="3" t="s">
        <v>259</v>
      </c>
      <c r="J340" s="3" t="s">
        <v>569</v>
      </c>
      <c r="K340">
        <v>3</v>
      </c>
      <c r="L340" t="s">
        <v>571</v>
      </c>
      <c r="M340">
        <f t="shared" si="71"/>
        <v>2</v>
      </c>
      <c r="O340" s="16"/>
      <c r="P340" s="16" t="str">
        <f>IF(AND(ISNUMBER(O340),O340&lt;&gt;-1,O340&gt;='02_Parameters'!$B$18,O340&lt;='02_Parameters'!$B$19),O340,"")</f>
        <v/>
      </c>
      <c r="Q340" s="16"/>
      <c r="R340" t="str">
        <f>IF(B340&lt;&gt;"Sensor Snapshot","",IF(O340="","Missing",IF(O340=-1,"Sensor failure sentinel (-1)",IF(OR(O340&lt;'02_Parameters'!$B$18,O340&gt;'02_Parameters'!$B$19),"Out of accepted range","Valid"))))</f>
        <v/>
      </c>
      <c r="S340" s="16"/>
      <c r="T340" s="16" t="str">
        <f>IF(AND(ISNUMBER(S340),S340&lt;&gt;-1,S340&gt;='02_Parameters'!$B$20,S340&lt;='02_Parameters'!$B$21),S340,"")</f>
        <v/>
      </c>
      <c r="U340" s="16"/>
      <c r="V340" t="str">
        <f>IF(B340&lt;&gt;"Sensor Snapshot","",IF(S340="","Missing",IF(S340=-1,"Sensor failure sentinel (-1)",IF(OR(S340&lt;'02_Parameters'!$B$20,S340&gt;'02_Parameters'!$B$21),"Out of accepted range","Valid"))))</f>
        <v/>
      </c>
      <c r="W340" s="16"/>
      <c r="X340" s="16" t="str">
        <f t="shared" si="72"/>
        <v/>
      </c>
      <c r="Y340" t="str">
        <f t="shared" si="73"/>
        <v/>
      </c>
      <c r="Z340" s="16"/>
      <c r="AB340" t="str">
        <f>IF(B340&lt;&gt;"Sensor Snapshot","",IF(ISNUMBER(AA340),--(AA340&lt;&gt;0),IF(ISNUMBER(Z340),--(Z340&lt;'02_Parameters'!$B$15),"")))</f>
        <v/>
      </c>
      <c r="AC340" t="str">
        <f>IF(B340&lt;&gt;"Sensor Snapshot","",IF(ISNUMBER(X340),--(X340&gt;='02_Parameters'!$B$16),""))</f>
        <v/>
      </c>
      <c r="AD340">
        <v>0</v>
      </c>
      <c r="AE340" t="str">
        <f t="shared" si="74"/>
        <v/>
      </c>
      <c r="AF340" s="3" t="str">
        <f t="shared" si="75"/>
        <v/>
      </c>
      <c r="AG340" s="16"/>
      <c r="AH340" s="16" t="str">
        <f>IF(B340&lt;&gt;"Sensor Snapshot","",IF(ISNUMBER(AG340),IF(AG340&lt;0,"",IF(AG340&gt;10,AG340/'02_Parameters'!$B$17,AG340)),""))</f>
        <v/>
      </c>
      <c r="AI340" t="str">
        <f t="shared" si="76"/>
        <v/>
      </c>
      <c r="AJ340" t="str">
        <f t="shared" si="77"/>
        <v/>
      </c>
      <c r="AK340" t="str">
        <f t="shared" si="78"/>
        <v/>
      </c>
      <c r="AL340">
        <v>0</v>
      </c>
      <c r="AM340" t="str">
        <f t="shared" si="79"/>
        <v/>
      </c>
      <c r="AN340" t="str">
        <f>IF(B340&lt;&gt;"Sensor Snapshot","",--(N340&gt;='02_Parameters'!$B$13))</f>
        <v/>
      </c>
      <c r="AO340" t="str">
        <f>IF(B340&lt;&gt;"Sensor Snapshot","",--(AND(L340="PUMPING",ISNUMBER(AH340),AH340&lt;='02_Parameters'!$B$10)))</f>
        <v/>
      </c>
      <c r="AP340" s="16"/>
      <c r="AQ340" s="16" t="str">
        <f t="shared" si="80"/>
        <v/>
      </c>
      <c r="AR340" s="16" t="str">
        <f t="shared" si="81"/>
        <v/>
      </c>
      <c r="AW340" s="3" t="s">
        <v>377</v>
      </c>
      <c r="AX340" s="3" t="str">
        <f t="shared" si="82"/>
        <v/>
      </c>
      <c r="AY340" s="3" t="str">
        <f t="shared" si="83"/>
        <v/>
      </c>
      <c r="AZ340" s="3" t="s">
        <v>247</v>
      </c>
      <c r="BA340" s="3"/>
    </row>
    <row r="341" spans="1:53" ht="27.6">
      <c r="A341" t="s">
        <v>660</v>
      </c>
      <c r="B341" t="s">
        <v>231</v>
      </c>
      <c r="C341" s="14">
        <v>1078444</v>
      </c>
      <c r="D341" s="15">
        <f t="shared" si="70"/>
        <v>1078.444</v>
      </c>
      <c r="E341" t="s">
        <v>232</v>
      </c>
      <c r="G341" t="s">
        <v>234</v>
      </c>
      <c r="H341" t="s">
        <v>235</v>
      </c>
      <c r="I341" s="3"/>
      <c r="J341" s="3"/>
      <c r="K341">
        <v>3</v>
      </c>
      <c r="L341" t="s">
        <v>571</v>
      </c>
      <c r="M341">
        <f t="shared" si="71"/>
        <v>2</v>
      </c>
      <c r="N341">
        <v>0</v>
      </c>
      <c r="O341" s="16">
        <v>28.2</v>
      </c>
      <c r="P341" s="16">
        <f>IF(AND(ISNUMBER(O341),O341&lt;&gt;-1,O341&gt;='02_Parameters'!$B$18,O341&lt;='02_Parameters'!$B$19),O341,"")</f>
        <v>28.2</v>
      </c>
      <c r="Q341" s="16">
        <v>28.2</v>
      </c>
      <c r="R341" t="str">
        <f>IF(B341&lt;&gt;"Sensor Snapshot","",IF(O341="","Missing",IF(O341=-1,"Sensor failure sentinel (-1)",IF(OR(O341&lt;'02_Parameters'!$B$18,O341&gt;'02_Parameters'!$B$19),"Out of accepted range","Valid"))))</f>
        <v>Valid</v>
      </c>
      <c r="S341" s="16">
        <v>72.8</v>
      </c>
      <c r="T341" s="16">
        <f>IF(AND(ISNUMBER(S341),S341&lt;&gt;-1,S341&gt;='02_Parameters'!$B$20,S341&lt;='02_Parameters'!$B$21),S341,"")</f>
        <v>72.8</v>
      </c>
      <c r="U341" s="16">
        <v>72.8</v>
      </c>
      <c r="V341" t="str">
        <f>IF(B341&lt;&gt;"Sensor Snapshot","",IF(S341="","Missing",IF(S341=-1,"Sensor failure sentinel (-1)",IF(OR(S341&lt;'02_Parameters'!$B$20,S341&gt;'02_Parameters'!$B$21),"Out of accepted range","Valid"))))</f>
        <v>Valid</v>
      </c>
      <c r="W341" s="16">
        <v>-1.6</v>
      </c>
      <c r="X341" s="16">
        <f t="shared" si="72"/>
        <v>1.6</v>
      </c>
      <c r="Y341" t="str">
        <f t="shared" si="73"/>
        <v>Sign corrected to positive</v>
      </c>
      <c r="Z341" s="16"/>
      <c r="AA341">
        <v>1</v>
      </c>
      <c r="AB341">
        <f>IF(B341&lt;&gt;"Sensor Snapshot","",IF(ISNUMBER(AA341),--(AA341&lt;&gt;0),IF(ISNUMBER(Z341),--(Z341&lt;'02_Parameters'!$B$15),"")))</f>
        <v>1</v>
      </c>
      <c r="AC341">
        <f>IF(B341&lt;&gt;"Sensor Snapshot","",IF(ISNUMBER(X341),--(X341&gt;='02_Parameters'!$B$16),""))</f>
        <v>0</v>
      </c>
      <c r="AD341">
        <v>0</v>
      </c>
      <c r="AE341">
        <f t="shared" si="74"/>
        <v>0</v>
      </c>
      <c r="AF341" s="3" t="str">
        <f t="shared" si="75"/>
        <v>Partial detection only</v>
      </c>
      <c r="AG341" s="16">
        <v>78.772999999999996</v>
      </c>
      <c r="AH341" s="16">
        <f>IF(B341&lt;&gt;"Sensor Snapshot","",IF(ISNUMBER(AG341),IF(AG341&lt;0,"",IF(AG341&gt;10,AG341/'02_Parameters'!$B$17,AG341)),""))</f>
        <v>0.78772999999999993</v>
      </c>
      <c r="AI341" t="str">
        <f t="shared" si="76"/>
        <v>Normalized from high-scale log</v>
      </c>
      <c r="AJ341">
        <f t="shared" si="77"/>
        <v>1</v>
      </c>
      <c r="AK341">
        <f t="shared" si="78"/>
        <v>0</v>
      </c>
      <c r="AL341">
        <v>0</v>
      </c>
      <c r="AM341">
        <f t="shared" si="79"/>
        <v>0</v>
      </c>
      <c r="AN341">
        <f>IF(B341&lt;&gt;"Sensor Snapshot","",--(N341&gt;='02_Parameters'!$B$13))</f>
        <v>0</v>
      </c>
      <c r="AO341">
        <f>IF(B341&lt;&gt;"Sensor Snapshot","",--(AND(L341="PUMPING",ISNUMBER(AH341),AH341&lt;='02_Parameters'!$B$10)))</f>
        <v>0</v>
      </c>
      <c r="AP341" s="16"/>
      <c r="AQ341" s="16" t="str">
        <f t="shared" si="80"/>
        <v/>
      </c>
      <c r="AR341" s="16" t="str">
        <f t="shared" si="81"/>
        <v/>
      </c>
      <c r="AU341" t="s">
        <v>236</v>
      </c>
      <c r="AV341" t="s">
        <v>237</v>
      </c>
      <c r="AW341" s="3" t="s">
        <v>325</v>
      </c>
      <c r="AX341" s="3">
        <f t="shared" si="82"/>
        <v>100</v>
      </c>
      <c r="AY341" s="3" t="str">
        <f t="shared" si="83"/>
        <v>A</v>
      </c>
      <c r="AZ341" s="3" t="s">
        <v>386</v>
      </c>
      <c r="BA341" s="3"/>
    </row>
    <row r="342" spans="1:53" ht="27.6">
      <c r="A342" t="s">
        <v>661</v>
      </c>
      <c r="B342" t="s">
        <v>231</v>
      </c>
      <c r="C342" s="14">
        <v>1083444</v>
      </c>
      <c r="D342" s="15">
        <f t="shared" si="70"/>
        <v>1083.444</v>
      </c>
      <c r="E342" t="s">
        <v>232</v>
      </c>
      <c r="G342" t="s">
        <v>234</v>
      </c>
      <c r="H342" t="s">
        <v>235</v>
      </c>
      <c r="I342" s="3"/>
      <c r="J342" s="3"/>
      <c r="K342">
        <v>3</v>
      </c>
      <c r="L342" t="s">
        <v>571</v>
      </c>
      <c r="M342">
        <f t="shared" si="71"/>
        <v>2</v>
      </c>
      <c r="N342">
        <v>0</v>
      </c>
      <c r="O342" s="16">
        <v>28.2</v>
      </c>
      <c r="P342" s="16">
        <f>IF(AND(ISNUMBER(O342),O342&lt;&gt;-1,O342&gt;='02_Parameters'!$B$18,O342&lt;='02_Parameters'!$B$19),O342,"")</f>
        <v>28.2</v>
      </c>
      <c r="Q342" s="16">
        <v>28.2</v>
      </c>
      <c r="R342" t="str">
        <f>IF(B342&lt;&gt;"Sensor Snapshot","",IF(O342="","Missing",IF(O342=-1,"Sensor failure sentinel (-1)",IF(OR(O342&lt;'02_Parameters'!$B$18,O342&gt;'02_Parameters'!$B$19),"Out of accepted range","Valid"))))</f>
        <v>Valid</v>
      </c>
      <c r="S342" s="16">
        <v>72.5</v>
      </c>
      <c r="T342" s="16">
        <f>IF(AND(ISNUMBER(S342),S342&lt;&gt;-1,S342&gt;='02_Parameters'!$B$20,S342&lt;='02_Parameters'!$B$21),S342,"")</f>
        <v>72.5</v>
      </c>
      <c r="U342" s="16">
        <v>72.5</v>
      </c>
      <c r="V342" t="str">
        <f>IF(B342&lt;&gt;"Sensor Snapshot","",IF(S342="","Missing",IF(S342=-1,"Sensor failure sentinel (-1)",IF(OR(S342&lt;'02_Parameters'!$B$20,S342&gt;'02_Parameters'!$B$21),"Out of accepted range","Valid"))))</f>
        <v>Valid</v>
      </c>
      <c r="W342" s="16">
        <v>-1.1000000000000001</v>
      </c>
      <c r="X342" s="16">
        <f t="shared" si="72"/>
        <v>1.1000000000000001</v>
      </c>
      <c r="Y342" t="str">
        <f t="shared" si="73"/>
        <v>Sign corrected to positive</v>
      </c>
      <c r="Z342" s="16"/>
      <c r="AA342">
        <v>1</v>
      </c>
      <c r="AB342">
        <f>IF(B342&lt;&gt;"Sensor Snapshot","",IF(ISNUMBER(AA342),--(AA342&lt;&gt;0),IF(ISNUMBER(Z342),--(Z342&lt;'02_Parameters'!$B$15),"")))</f>
        <v>1</v>
      </c>
      <c r="AC342">
        <f>IF(B342&lt;&gt;"Sensor Snapshot","",IF(ISNUMBER(X342),--(X342&gt;='02_Parameters'!$B$16),""))</f>
        <v>0</v>
      </c>
      <c r="AD342">
        <v>0</v>
      </c>
      <c r="AE342">
        <f t="shared" si="74"/>
        <v>0</v>
      </c>
      <c r="AF342" s="3" t="str">
        <f t="shared" si="75"/>
        <v>Partial detection only</v>
      </c>
      <c r="AG342" s="16">
        <v>81.332999999999998</v>
      </c>
      <c r="AH342" s="16">
        <f>IF(B342&lt;&gt;"Sensor Snapshot","",IF(ISNUMBER(AG342),IF(AG342&lt;0,"",IF(AG342&gt;10,AG342/'02_Parameters'!$B$17,AG342)),""))</f>
        <v>0.81333</v>
      </c>
      <c r="AI342" t="str">
        <f t="shared" si="76"/>
        <v>Normalized from high-scale log</v>
      </c>
      <c r="AJ342">
        <f t="shared" si="77"/>
        <v>1</v>
      </c>
      <c r="AK342">
        <f t="shared" si="78"/>
        <v>0</v>
      </c>
      <c r="AL342">
        <v>0</v>
      </c>
      <c r="AM342">
        <f t="shared" si="79"/>
        <v>0</v>
      </c>
      <c r="AN342">
        <f>IF(B342&lt;&gt;"Sensor Snapshot","",--(N342&gt;='02_Parameters'!$B$13))</f>
        <v>0</v>
      </c>
      <c r="AO342">
        <f>IF(B342&lt;&gt;"Sensor Snapshot","",--(AND(L342="PUMPING",ISNUMBER(AH342),AH342&lt;='02_Parameters'!$B$10)))</f>
        <v>0</v>
      </c>
      <c r="AP342" s="16"/>
      <c r="AQ342" s="16" t="str">
        <f t="shared" si="80"/>
        <v/>
      </c>
      <c r="AR342" s="16" t="str">
        <f t="shared" si="81"/>
        <v/>
      </c>
      <c r="AU342" t="s">
        <v>236</v>
      </c>
      <c r="AV342" t="s">
        <v>237</v>
      </c>
      <c r="AW342" s="3" t="s">
        <v>325</v>
      </c>
      <c r="AX342" s="3">
        <f t="shared" si="82"/>
        <v>100</v>
      </c>
      <c r="AY342" s="3" t="str">
        <f t="shared" si="83"/>
        <v>A</v>
      </c>
      <c r="AZ342" s="3" t="s">
        <v>386</v>
      </c>
      <c r="BA342" s="3"/>
    </row>
    <row r="343" spans="1:53" ht="27.6">
      <c r="A343" t="s">
        <v>662</v>
      </c>
      <c r="B343" t="s">
        <v>231</v>
      </c>
      <c r="C343" s="14">
        <v>1088444</v>
      </c>
      <c r="D343" s="15">
        <f t="shared" si="70"/>
        <v>1088.444</v>
      </c>
      <c r="E343" t="s">
        <v>232</v>
      </c>
      <c r="G343" t="s">
        <v>234</v>
      </c>
      <c r="H343" t="s">
        <v>235</v>
      </c>
      <c r="I343" s="3"/>
      <c r="J343" s="3"/>
      <c r="K343">
        <v>3</v>
      </c>
      <c r="L343" t="s">
        <v>571</v>
      </c>
      <c r="M343">
        <f t="shared" si="71"/>
        <v>2</v>
      </c>
      <c r="N343">
        <v>0</v>
      </c>
      <c r="O343" s="16">
        <v>28.1</v>
      </c>
      <c r="P343" s="16">
        <f>IF(AND(ISNUMBER(O343),O343&lt;&gt;-1,O343&gt;='02_Parameters'!$B$18,O343&lt;='02_Parameters'!$B$19),O343,"")</f>
        <v>28.1</v>
      </c>
      <c r="Q343" s="16">
        <v>28.1</v>
      </c>
      <c r="R343" t="str">
        <f>IF(B343&lt;&gt;"Sensor Snapshot","",IF(O343="","Missing",IF(O343=-1,"Sensor failure sentinel (-1)",IF(OR(O343&lt;'02_Parameters'!$B$18,O343&gt;'02_Parameters'!$B$19),"Out of accepted range","Valid"))))</f>
        <v>Valid</v>
      </c>
      <c r="S343" s="16">
        <v>72.3</v>
      </c>
      <c r="T343" s="16">
        <f>IF(AND(ISNUMBER(S343),S343&lt;&gt;-1,S343&gt;='02_Parameters'!$B$20,S343&lt;='02_Parameters'!$B$21),S343,"")</f>
        <v>72.3</v>
      </c>
      <c r="U343" s="16">
        <v>72.3</v>
      </c>
      <c r="V343" t="str">
        <f>IF(B343&lt;&gt;"Sensor Snapshot","",IF(S343="","Missing",IF(S343=-1,"Sensor failure sentinel (-1)",IF(OR(S343&lt;'02_Parameters'!$B$20,S343&gt;'02_Parameters'!$B$21),"Out of accepted range","Valid"))))</f>
        <v>Valid</v>
      </c>
      <c r="W343" s="16">
        <v>-1.6</v>
      </c>
      <c r="X343" s="16">
        <f t="shared" si="72"/>
        <v>1.6</v>
      </c>
      <c r="Y343" t="str">
        <f t="shared" si="73"/>
        <v>Sign corrected to positive</v>
      </c>
      <c r="Z343" s="16"/>
      <c r="AA343">
        <v>1</v>
      </c>
      <c r="AB343">
        <f>IF(B343&lt;&gt;"Sensor Snapshot","",IF(ISNUMBER(AA343),--(AA343&lt;&gt;0),IF(ISNUMBER(Z343),--(Z343&lt;'02_Parameters'!$B$15),"")))</f>
        <v>1</v>
      </c>
      <c r="AC343">
        <f>IF(B343&lt;&gt;"Sensor Snapshot","",IF(ISNUMBER(X343),--(X343&gt;='02_Parameters'!$B$16),""))</f>
        <v>0</v>
      </c>
      <c r="AD343">
        <v>0</v>
      </c>
      <c r="AE343">
        <f t="shared" si="74"/>
        <v>0</v>
      </c>
      <c r="AF343" s="3" t="str">
        <f t="shared" si="75"/>
        <v>Partial detection only</v>
      </c>
      <c r="AG343" s="16">
        <v>83.066999999999993</v>
      </c>
      <c r="AH343" s="16">
        <f>IF(B343&lt;&gt;"Sensor Snapshot","",IF(ISNUMBER(AG343),IF(AG343&lt;0,"",IF(AG343&gt;10,AG343/'02_Parameters'!$B$17,AG343)),""))</f>
        <v>0.83066999999999991</v>
      </c>
      <c r="AI343" t="str">
        <f t="shared" si="76"/>
        <v>Normalized from high-scale log</v>
      </c>
      <c r="AJ343">
        <f t="shared" si="77"/>
        <v>1</v>
      </c>
      <c r="AK343">
        <f t="shared" si="78"/>
        <v>0</v>
      </c>
      <c r="AL343">
        <v>0</v>
      </c>
      <c r="AM343">
        <f t="shared" si="79"/>
        <v>0</v>
      </c>
      <c r="AN343">
        <f>IF(B343&lt;&gt;"Sensor Snapshot","",--(N343&gt;='02_Parameters'!$B$13))</f>
        <v>0</v>
      </c>
      <c r="AO343">
        <f>IF(B343&lt;&gt;"Sensor Snapshot","",--(AND(L343="PUMPING",ISNUMBER(AH343),AH343&lt;='02_Parameters'!$B$10)))</f>
        <v>0</v>
      </c>
      <c r="AP343" s="16"/>
      <c r="AQ343" s="16" t="str">
        <f t="shared" si="80"/>
        <v/>
      </c>
      <c r="AR343" s="16" t="str">
        <f t="shared" si="81"/>
        <v/>
      </c>
      <c r="AU343" t="s">
        <v>236</v>
      </c>
      <c r="AV343" t="s">
        <v>237</v>
      </c>
      <c r="AW343" s="3" t="s">
        <v>325</v>
      </c>
      <c r="AX343" s="3">
        <f t="shared" si="82"/>
        <v>100</v>
      </c>
      <c r="AY343" s="3" t="str">
        <f t="shared" si="83"/>
        <v>A</v>
      </c>
      <c r="AZ343" s="3" t="s">
        <v>386</v>
      </c>
      <c r="BA343" s="3"/>
    </row>
    <row r="344" spans="1:53" ht="27.6">
      <c r="A344" t="s">
        <v>663</v>
      </c>
      <c r="B344" t="s">
        <v>231</v>
      </c>
      <c r="C344" s="14">
        <v>1093443</v>
      </c>
      <c r="D344" s="15">
        <f t="shared" si="70"/>
        <v>1093.443</v>
      </c>
      <c r="E344" t="s">
        <v>232</v>
      </c>
      <c r="G344" t="s">
        <v>234</v>
      </c>
      <c r="H344" t="s">
        <v>235</v>
      </c>
      <c r="I344" s="3"/>
      <c r="J344" s="3"/>
      <c r="K344">
        <v>3</v>
      </c>
      <c r="L344" t="s">
        <v>571</v>
      </c>
      <c r="M344">
        <f t="shared" si="71"/>
        <v>2</v>
      </c>
      <c r="N344">
        <v>0</v>
      </c>
      <c r="O344" s="16">
        <v>28.1</v>
      </c>
      <c r="P344" s="16">
        <f>IF(AND(ISNUMBER(O344),O344&lt;&gt;-1,O344&gt;='02_Parameters'!$B$18,O344&lt;='02_Parameters'!$B$19),O344,"")</f>
        <v>28.1</v>
      </c>
      <c r="Q344" s="16">
        <v>28.1</v>
      </c>
      <c r="R344" t="str">
        <f>IF(B344&lt;&gt;"Sensor Snapshot","",IF(O344="","Missing",IF(O344=-1,"Sensor failure sentinel (-1)",IF(OR(O344&lt;'02_Parameters'!$B$18,O344&gt;'02_Parameters'!$B$19),"Out of accepted range","Valid"))))</f>
        <v>Valid</v>
      </c>
      <c r="S344" s="16">
        <v>71.8</v>
      </c>
      <c r="T344" s="16">
        <f>IF(AND(ISNUMBER(S344),S344&lt;&gt;-1,S344&gt;='02_Parameters'!$B$20,S344&lt;='02_Parameters'!$B$21),S344,"")</f>
        <v>71.8</v>
      </c>
      <c r="U344" s="16">
        <v>71.8</v>
      </c>
      <c r="V344" t="str">
        <f>IF(B344&lt;&gt;"Sensor Snapshot","",IF(S344="","Missing",IF(S344=-1,"Sensor failure sentinel (-1)",IF(OR(S344&lt;'02_Parameters'!$B$20,S344&gt;'02_Parameters'!$B$21),"Out of accepted range","Valid"))))</f>
        <v>Valid</v>
      </c>
      <c r="W344" s="16">
        <v>4.2</v>
      </c>
      <c r="X344" s="16">
        <f t="shared" si="72"/>
        <v>4.2</v>
      </c>
      <c r="Y344" t="str">
        <f t="shared" si="73"/>
        <v>Valid</v>
      </c>
      <c r="Z344" s="16"/>
      <c r="AA344">
        <v>1</v>
      </c>
      <c r="AB344">
        <f>IF(B344&lt;&gt;"Sensor Snapshot","",IF(ISNUMBER(AA344),--(AA344&lt;&gt;0),IF(ISNUMBER(Z344),--(Z344&lt;'02_Parameters'!$B$15),"")))</f>
        <v>1</v>
      </c>
      <c r="AC344">
        <f>IF(B344&lt;&gt;"Sensor Snapshot","",IF(ISNUMBER(X344),--(X344&gt;='02_Parameters'!$B$16),""))</f>
        <v>0</v>
      </c>
      <c r="AD344">
        <v>0</v>
      </c>
      <c r="AE344">
        <f t="shared" si="74"/>
        <v>0</v>
      </c>
      <c r="AF344" s="3" t="str">
        <f t="shared" si="75"/>
        <v>Partial detection only</v>
      </c>
      <c r="AG344" s="16">
        <v>81.787000000000006</v>
      </c>
      <c r="AH344" s="16">
        <f>IF(B344&lt;&gt;"Sensor Snapshot","",IF(ISNUMBER(AG344),IF(AG344&lt;0,"",IF(AG344&gt;10,AG344/'02_Parameters'!$B$17,AG344)),""))</f>
        <v>0.8178700000000001</v>
      </c>
      <c r="AI344" t="str">
        <f t="shared" si="76"/>
        <v>Normalized from high-scale log</v>
      </c>
      <c r="AJ344">
        <f t="shared" si="77"/>
        <v>1</v>
      </c>
      <c r="AK344">
        <f t="shared" si="78"/>
        <v>0</v>
      </c>
      <c r="AL344">
        <v>0</v>
      </c>
      <c r="AM344">
        <f t="shared" si="79"/>
        <v>0</v>
      </c>
      <c r="AN344">
        <f>IF(B344&lt;&gt;"Sensor Snapshot","",--(N344&gt;='02_Parameters'!$B$13))</f>
        <v>0</v>
      </c>
      <c r="AO344">
        <f>IF(B344&lt;&gt;"Sensor Snapshot","",--(AND(L344="PUMPING",ISNUMBER(AH344),AH344&lt;='02_Parameters'!$B$10)))</f>
        <v>0</v>
      </c>
      <c r="AP344" s="16"/>
      <c r="AQ344" s="16" t="str">
        <f t="shared" si="80"/>
        <v/>
      </c>
      <c r="AR344" s="16" t="str">
        <f t="shared" si="81"/>
        <v/>
      </c>
      <c r="AU344" t="s">
        <v>236</v>
      </c>
      <c r="AV344" t="s">
        <v>237</v>
      </c>
      <c r="AW344" s="3" t="s">
        <v>619</v>
      </c>
      <c r="AX344" s="3">
        <f t="shared" si="82"/>
        <v>100</v>
      </c>
      <c r="AY344" s="3" t="str">
        <f t="shared" si="83"/>
        <v>A</v>
      </c>
      <c r="AZ344" s="3" t="s">
        <v>386</v>
      </c>
      <c r="BA344" s="3"/>
    </row>
    <row r="345" spans="1:53" ht="27.6">
      <c r="A345" t="s">
        <v>664</v>
      </c>
      <c r="B345" t="s">
        <v>231</v>
      </c>
      <c r="C345" s="14">
        <v>1098443</v>
      </c>
      <c r="D345" s="15">
        <f t="shared" si="70"/>
        <v>1098.443</v>
      </c>
      <c r="E345" t="s">
        <v>232</v>
      </c>
      <c r="G345" t="s">
        <v>234</v>
      </c>
      <c r="H345" t="s">
        <v>235</v>
      </c>
      <c r="I345" s="3"/>
      <c r="J345" s="3"/>
      <c r="K345">
        <v>3</v>
      </c>
      <c r="L345" t="s">
        <v>571</v>
      </c>
      <c r="M345">
        <f t="shared" si="71"/>
        <v>2</v>
      </c>
      <c r="N345">
        <v>0</v>
      </c>
      <c r="O345" s="16">
        <v>28</v>
      </c>
      <c r="P345" s="16">
        <f>IF(AND(ISNUMBER(O345),O345&lt;&gt;-1,O345&gt;='02_Parameters'!$B$18,O345&lt;='02_Parameters'!$B$19),O345,"")</f>
        <v>28</v>
      </c>
      <c r="Q345" s="16">
        <v>28</v>
      </c>
      <c r="R345" t="str">
        <f>IF(B345&lt;&gt;"Sensor Snapshot","",IF(O345="","Missing",IF(O345=-1,"Sensor failure sentinel (-1)",IF(OR(O345&lt;'02_Parameters'!$B$18,O345&gt;'02_Parameters'!$B$19),"Out of accepted range","Valid"))))</f>
        <v>Valid</v>
      </c>
      <c r="S345" s="16">
        <v>71.599999999999994</v>
      </c>
      <c r="T345" s="16">
        <f>IF(AND(ISNUMBER(S345),S345&lt;&gt;-1,S345&gt;='02_Parameters'!$B$20,S345&lt;='02_Parameters'!$B$21),S345,"")</f>
        <v>71.599999999999994</v>
      </c>
      <c r="U345" s="16">
        <v>71.599999999999994</v>
      </c>
      <c r="V345" t="str">
        <f>IF(B345&lt;&gt;"Sensor Snapshot","",IF(S345="","Missing",IF(S345=-1,"Sensor failure sentinel (-1)",IF(OR(S345&lt;'02_Parameters'!$B$20,S345&gt;'02_Parameters'!$B$21),"Out of accepted range","Valid"))))</f>
        <v>Valid</v>
      </c>
      <c r="W345" s="16">
        <v>-2.4</v>
      </c>
      <c r="X345" s="16">
        <f t="shared" si="72"/>
        <v>2.4</v>
      </c>
      <c r="Y345" t="str">
        <f t="shared" si="73"/>
        <v>Sign corrected to positive</v>
      </c>
      <c r="Z345" s="16"/>
      <c r="AA345">
        <v>1</v>
      </c>
      <c r="AB345">
        <f>IF(B345&lt;&gt;"Sensor Snapshot","",IF(ISNUMBER(AA345),--(AA345&lt;&gt;0),IF(ISNUMBER(Z345),--(Z345&lt;'02_Parameters'!$B$15),"")))</f>
        <v>1</v>
      </c>
      <c r="AC345">
        <f>IF(B345&lt;&gt;"Sensor Snapshot","",IF(ISNUMBER(X345),--(X345&gt;='02_Parameters'!$B$16),""))</f>
        <v>0</v>
      </c>
      <c r="AD345">
        <v>0</v>
      </c>
      <c r="AE345">
        <f t="shared" si="74"/>
        <v>0</v>
      </c>
      <c r="AF345" s="3" t="str">
        <f t="shared" si="75"/>
        <v>Partial detection only</v>
      </c>
      <c r="AG345" s="16">
        <v>82.186999999999998</v>
      </c>
      <c r="AH345" s="16">
        <f>IF(B345&lt;&gt;"Sensor Snapshot","",IF(ISNUMBER(AG345),IF(AG345&lt;0,"",IF(AG345&gt;10,AG345/'02_Parameters'!$B$17,AG345)),""))</f>
        <v>0.82186999999999999</v>
      </c>
      <c r="AI345" t="str">
        <f t="shared" si="76"/>
        <v>Normalized from high-scale log</v>
      </c>
      <c r="AJ345">
        <f t="shared" si="77"/>
        <v>1</v>
      </c>
      <c r="AK345">
        <f t="shared" si="78"/>
        <v>0</v>
      </c>
      <c r="AL345">
        <v>0</v>
      </c>
      <c r="AM345">
        <f t="shared" si="79"/>
        <v>0</v>
      </c>
      <c r="AN345">
        <f>IF(B345&lt;&gt;"Sensor Snapshot","",--(N345&gt;='02_Parameters'!$B$13))</f>
        <v>0</v>
      </c>
      <c r="AO345">
        <f>IF(B345&lt;&gt;"Sensor Snapshot","",--(AND(L345="PUMPING",ISNUMBER(AH345),AH345&lt;='02_Parameters'!$B$10)))</f>
        <v>0</v>
      </c>
      <c r="AP345" s="16"/>
      <c r="AQ345" s="16" t="str">
        <f t="shared" si="80"/>
        <v/>
      </c>
      <c r="AR345" s="16" t="str">
        <f t="shared" si="81"/>
        <v/>
      </c>
      <c r="AU345" t="s">
        <v>236</v>
      </c>
      <c r="AV345" t="s">
        <v>237</v>
      </c>
      <c r="AW345" s="3" t="s">
        <v>325</v>
      </c>
      <c r="AX345" s="3">
        <f t="shared" si="82"/>
        <v>100</v>
      </c>
      <c r="AY345" s="3" t="str">
        <f t="shared" si="83"/>
        <v>A</v>
      </c>
      <c r="AZ345" s="3" t="s">
        <v>386</v>
      </c>
      <c r="BA345" s="3"/>
    </row>
    <row r="346" spans="1:53" ht="27.6">
      <c r="A346" t="s">
        <v>665</v>
      </c>
      <c r="B346" t="s">
        <v>242</v>
      </c>
      <c r="C346" s="14">
        <v>1098443</v>
      </c>
      <c r="D346" s="15">
        <f t="shared" si="70"/>
        <v>1098.443</v>
      </c>
      <c r="E346" t="s">
        <v>232</v>
      </c>
      <c r="G346" t="s">
        <v>157</v>
      </c>
      <c r="H346" t="s">
        <v>374</v>
      </c>
      <c r="I346" s="3" t="s">
        <v>601</v>
      </c>
      <c r="J346" s="3" t="s">
        <v>602</v>
      </c>
      <c r="K346">
        <v>3</v>
      </c>
      <c r="L346" t="s">
        <v>571</v>
      </c>
      <c r="M346">
        <f t="shared" si="71"/>
        <v>2</v>
      </c>
      <c r="O346" s="16"/>
      <c r="P346" s="16" t="str">
        <f>IF(AND(ISNUMBER(O346),O346&lt;&gt;-1,O346&gt;='02_Parameters'!$B$18,O346&lt;='02_Parameters'!$B$19),O346,"")</f>
        <v/>
      </c>
      <c r="Q346" s="16"/>
      <c r="R346" t="str">
        <f>IF(B346&lt;&gt;"Sensor Snapshot","",IF(O346="","Missing",IF(O346=-1,"Sensor failure sentinel (-1)",IF(OR(O346&lt;'02_Parameters'!$B$18,O346&gt;'02_Parameters'!$B$19),"Out of accepted range","Valid"))))</f>
        <v/>
      </c>
      <c r="S346" s="16"/>
      <c r="T346" s="16" t="str">
        <f>IF(AND(ISNUMBER(S346),S346&lt;&gt;-1,S346&gt;='02_Parameters'!$B$20,S346&lt;='02_Parameters'!$B$21),S346,"")</f>
        <v/>
      </c>
      <c r="U346" s="16"/>
      <c r="V346" t="str">
        <f>IF(B346&lt;&gt;"Sensor Snapshot","",IF(S346="","Missing",IF(S346=-1,"Sensor failure sentinel (-1)",IF(OR(S346&lt;'02_Parameters'!$B$20,S346&gt;'02_Parameters'!$B$21),"Out of accepted range","Valid"))))</f>
        <v/>
      </c>
      <c r="W346" s="16"/>
      <c r="X346" s="16" t="str">
        <f t="shared" si="72"/>
        <v/>
      </c>
      <c r="Y346" t="str">
        <f t="shared" si="73"/>
        <v/>
      </c>
      <c r="Z346" s="16"/>
      <c r="AB346" t="str">
        <f>IF(B346&lt;&gt;"Sensor Snapshot","",IF(ISNUMBER(AA346),--(AA346&lt;&gt;0),IF(ISNUMBER(Z346),--(Z346&lt;'02_Parameters'!$B$15),"")))</f>
        <v/>
      </c>
      <c r="AC346" t="str">
        <f>IF(B346&lt;&gt;"Sensor Snapshot","",IF(ISNUMBER(X346),--(X346&gt;='02_Parameters'!$B$16),""))</f>
        <v/>
      </c>
      <c r="AD346">
        <v>0</v>
      </c>
      <c r="AE346" t="str">
        <f t="shared" si="74"/>
        <v/>
      </c>
      <c r="AF346" s="3" t="str">
        <f t="shared" si="75"/>
        <v/>
      </c>
      <c r="AG346" s="16"/>
      <c r="AH346" s="16" t="str">
        <f>IF(B346&lt;&gt;"Sensor Snapshot","",IF(ISNUMBER(AG346),IF(AG346&lt;0,"",IF(AG346&gt;10,AG346/'02_Parameters'!$B$17,AG346)),""))</f>
        <v/>
      </c>
      <c r="AI346" t="str">
        <f t="shared" si="76"/>
        <v/>
      </c>
      <c r="AJ346" t="str">
        <f t="shared" si="77"/>
        <v/>
      </c>
      <c r="AK346" t="str">
        <f t="shared" si="78"/>
        <v/>
      </c>
      <c r="AM346" t="str">
        <f t="shared" si="79"/>
        <v/>
      </c>
      <c r="AN346" t="str">
        <f>IF(B346&lt;&gt;"Sensor Snapshot","",--(N346&gt;='02_Parameters'!$B$13))</f>
        <v/>
      </c>
      <c r="AO346" t="str">
        <f>IF(B346&lt;&gt;"Sensor Snapshot","",--(AND(L346="PUMPING",ISNUMBER(AH346),AH346&lt;='02_Parameters'!$B$10)))</f>
        <v/>
      </c>
      <c r="AP346" s="16"/>
      <c r="AQ346" s="16" t="str">
        <f t="shared" si="80"/>
        <v/>
      </c>
      <c r="AR346" s="16" t="str">
        <f t="shared" si="81"/>
        <v/>
      </c>
      <c r="AW346" s="3" t="s">
        <v>377</v>
      </c>
      <c r="AX346" s="3" t="str">
        <f t="shared" si="82"/>
        <v/>
      </c>
      <c r="AY346" s="3" t="str">
        <f t="shared" si="83"/>
        <v/>
      </c>
      <c r="AZ346" s="3" t="s">
        <v>247</v>
      </c>
      <c r="BA346" s="3"/>
    </row>
    <row r="347" spans="1:53" ht="27.6">
      <c r="A347" t="s">
        <v>666</v>
      </c>
      <c r="B347" t="s">
        <v>231</v>
      </c>
      <c r="C347" s="14">
        <v>1103461</v>
      </c>
      <c r="D347" s="15">
        <f t="shared" si="70"/>
        <v>1103.461</v>
      </c>
      <c r="E347" t="s">
        <v>232</v>
      </c>
      <c r="G347" t="s">
        <v>234</v>
      </c>
      <c r="H347" t="s">
        <v>235</v>
      </c>
      <c r="I347" s="3"/>
      <c r="J347" s="3"/>
      <c r="K347">
        <v>3</v>
      </c>
      <c r="L347" t="s">
        <v>604</v>
      </c>
      <c r="M347">
        <f t="shared" si="71"/>
        <v>4</v>
      </c>
      <c r="N347">
        <v>0</v>
      </c>
      <c r="O347" s="16">
        <v>27.9</v>
      </c>
      <c r="P347" s="16">
        <f>IF(AND(ISNUMBER(O347),O347&lt;&gt;-1,O347&gt;='02_Parameters'!$B$18,O347&lt;='02_Parameters'!$B$19),O347,"")</f>
        <v>27.9</v>
      </c>
      <c r="Q347" s="16">
        <v>27.9</v>
      </c>
      <c r="R347" t="str">
        <f>IF(B347&lt;&gt;"Sensor Snapshot","",IF(O347="","Missing",IF(O347=-1,"Sensor failure sentinel (-1)",IF(OR(O347&lt;'02_Parameters'!$B$18,O347&gt;'02_Parameters'!$B$19),"Out of accepted range","Valid"))))</f>
        <v>Valid</v>
      </c>
      <c r="S347" s="16">
        <v>71.5</v>
      </c>
      <c r="T347" s="16">
        <f>IF(AND(ISNUMBER(S347),S347&lt;&gt;-1,S347&gt;='02_Parameters'!$B$20,S347&lt;='02_Parameters'!$B$21),S347,"")</f>
        <v>71.5</v>
      </c>
      <c r="U347" s="16">
        <v>71.5</v>
      </c>
      <c r="V347" t="str">
        <f>IF(B347&lt;&gt;"Sensor Snapshot","",IF(S347="","Missing",IF(S347=-1,"Sensor failure sentinel (-1)",IF(OR(S347&lt;'02_Parameters'!$B$20,S347&gt;'02_Parameters'!$B$21),"Out of accepted range","Valid"))))</f>
        <v>Valid</v>
      </c>
      <c r="W347" s="16">
        <v>-2.2999999999999998</v>
      </c>
      <c r="X347" s="16">
        <f t="shared" si="72"/>
        <v>2.2999999999999998</v>
      </c>
      <c r="Y347" t="str">
        <f t="shared" si="73"/>
        <v>Sign corrected to positive</v>
      </c>
      <c r="Z347" s="16"/>
      <c r="AA347">
        <v>1</v>
      </c>
      <c r="AB347">
        <f>IF(B347&lt;&gt;"Sensor Snapshot","",IF(ISNUMBER(AA347),--(AA347&lt;&gt;0),IF(ISNUMBER(Z347),--(Z347&lt;'02_Parameters'!$B$15),"")))</f>
        <v>1</v>
      </c>
      <c r="AC347">
        <f>IF(B347&lt;&gt;"Sensor Snapshot","",IF(ISNUMBER(X347),--(X347&gt;='02_Parameters'!$B$16),""))</f>
        <v>0</v>
      </c>
      <c r="AD347">
        <v>0</v>
      </c>
      <c r="AE347">
        <f t="shared" si="74"/>
        <v>0</v>
      </c>
      <c r="AF347" s="3" t="str">
        <f t="shared" si="75"/>
        <v>Partial detection only</v>
      </c>
      <c r="AG347" s="16">
        <v>80.906999999999996</v>
      </c>
      <c r="AH347" s="16">
        <f>IF(B347&lt;&gt;"Sensor Snapshot","",IF(ISNUMBER(AG347),IF(AG347&lt;0,"",IF(AG347&gt;10,AG347/'02_Parameters'!$B$17,AG347)),""))</f>
        <v>0.80906999999999996</v>
      </c>
      <c r="AI347" t="str">
        <f t="shared" si="76"/>
        <v>Normalized from high-scale log</v>
      </c>
      <c r="AJ347">
        <f t="shared" si="77"/>
        <v>0</v>
      </c>
      <c r="AK347">
        <f t="shared" si="78"/>
        <v>1</v>
      </c>
      <c r="AL347">
        <v>0</v>
      </c>
      <c r="AM347">
        <f t="shared" si="79"/>
        <v>0</v>
      </c>
      <c r="AN347">
        <f>IF(B347&lt;&gt;"Sensor Snapshot","",--(N347&gt;='02_Parameters'!$B$13))</f>
        <v>0</v>
      </c>
      <c r="AO347">
        <f>IF(B347&lt;&gt;"Sensor Snapshot","",--(AND(L347="PUMPING",ISNUMBER(AH347),AH347&lt;='02_Parameters'!$B$10)))</f>
        <v>0</v>
      </c>
      <c r="AP347" s="16"/>
      <c r="AQ347" s="16" t="str">
        <f t="shared" si="80"/>
        <v/>
      </c>
      <c r="AR347" s="16" t="str">
        <f t="shared" si="81"/>
        <v/>
      </c>
      <c r="AU347" t="s">
        <v>236</v>
      </c>
      <c r="AV347" t="s">
        <v>237</v>
      </c>
      <c r="AW347" s="3" t="s">
        <v>325</v>
      </c>
      <c r="AX347" s="3">
        <f t="shared" si="82"/>
        <v>100</v>
      </c>
      <c r="AY347" s="3" t="str">
        <f t="shared" si="83"/>
        <v>A</v>
      </c>
      <c r="AZ347" s="3" t="s">
        <v>386</v>
      </c>
      <c r="BA347" s="3"/>
    </row>
    <row r="348" spans="1:53" ht="27.6">
      <c r="A348" t="s">
        <v>667</v>
      </c>
      <c r="B348" t="s">
        <v>231</v>
      </c>
      <c r="C348" s="14">
        <v>1108444</v>
      </c>
      <c r="D348" s="15">
        <f t="shared" si="70"/>
        <v>1108.444</v>
      </c>
      <c r="E348" t="s">
        <v>232</v>
      </c>
      <c r="G348" t="s">
        <v>234</v>
      </c>
      <c r="H348" t="s">
        <v>235</v>
      </c>
      <c r="I348" s="3"/>
      <c r="J348" s="3"/>
      <c r="K348">
        <v>3</v>
      </c>
      <c r="L348" t="s">
        <v>604</v>
      </c>
      <c r="M348">
        <f t="shared" si="71"/>
        <v>4</v>
      </c>
      <c r="N348">
        <v>0</v>
      </c>
      <c r="O348" s="16">
        <v>27.9</v>
      </c>
      <c r="P348" s="16">
        <f>IF(AND(ISNUMBER(O348),O348&lt;&gt;-1,O348&gt;='02_Parameters'!$B$18,O348&lt;='02_Parameters'!$B$19),O348,"")</f>
        <v>27.9</v>
      </c>
      <c r="Q348" s="16">
        <v>27.9</v>
      </c>
      <c r="R348" t="str">
        <f>IF(B348&lt;&gt;"Sensor Snapshot","",IF(O348="","Missing",IF(O348=-1,"Sensor failure sentinel (-1)",IF(OR(O348&lt;'02_Parameters'!$B$18,O348&gt;'02_Parameters'!$B$19),"Out of accepted range","Valid"))))</f>
        <v>Valid</v>
      </c>
      <c r="S348" s="16">
        <v>73.3</v>
      </c>
      <c r="T348" s="16">
        <f>IF(AND(ISNUMBER(S348),S348&lt;&gt;-1,S348&gt;='02_Parameters'!$B$20,S348&lt;='02_Parameters'!$B$21),S348,"")</f>
        <v>73.3</v>
      </c>
      <c r="U348" s="16">
        <v>73.3</v>
      </c>
      <c r="V348" t="str">
        <f>IF(B348&lt;&gt;"Sensor Snapshot","",IF(S348="","Missing",IF(S348=-1,"Sensor failure sentinel (-1)",IF(OR(S348&lt;'02_Parameters'!$B$20,S348&gt;'02_Parameters'!$B$21),"Out of accepted range","Valid"))))</f>
        <v>Valid</v>
      </c>
      <c r="W348" s="16">
        <v>-2</v>
      </c>
      <c r="X348" s="16">
        <f t="shared" si="72"/>
        <v>2</v>
      </c>
      <c r="Y348" t="str">
        <f t="shared" si="73"/>
        <v>Sign corrected to positive</v>
      </c>
      <c r="Z348" s="16"/>
      <c r="AA348">
        <v>1</v>
      </c>
      <c r="AB348">
        <f>IF(B348&lt;&gt;"Sensor Snapshot","",IF(ISNUMBER(AA348),--(AA348&lt;&gt;0),IF(ISNUMBER(Z348),--(Z348&lt;'02_Parameters'!$B$15),"")))</f>
        <v>1</v>
      </c>
      <c r="AC348">
        <f>IF(B348&lt;&gt;"Sensor Snapshot","",IF(ISNUMBER(X348),--(X348&gt;='02_Parameters'!$B$16),""))</f>
        <v>0</v>
      </c>
      <c r="AD348">
        <v>0</v>
      </c>
      <c r="AE348">
        <f t="shared" si="74"/>
        <v>0</v>
      </c>
      <c r="AF348" s="3" t="str">
        <f t="shared" si="75"/>
        <v>Partial detection only</v>
      </c>
      <c r="AG348" s="16">
        <v>0.107</v>
      </c>
      <c r="AH348" s="16">
        <f>IF(B348&lt;&gt;"Sensor Snapshot","",IF(ISNUMBER(AG348),IF(AG348&lt;0,"",IF(AG348&gt;10,AG348/'02_Parameters'!$B$17,AG348)),""))</f>
        <v>0.107</v>
      </c>
      <c r="AI348" t="str">
        <f t="shared" si="76"/>
        <v>Valid</v>
      </c>
      <c r="AJ348">
        <f t="shared" si="77"/>
        <v>0</v>
      </c>
      <c r="AK348">
        <f t="shared" si="78"/>
        <v>1</v>
      </c>
      <c r="AL348">
        <v>0</v>
      </c>
      <c r="AM348">
        <f t="shared" si="79"/>
        <v>0</v>
      </c>
      <c r="AN348">
        <f>IF(B348&lt;&gt;"Sensor Snapshot","",--(N348&gt;='02_Parameters'!$B$13))</f>
        <v>0</v>
      </c>
      <c r="AO348">
        <f>IF(B348&lt;&gt;"Sensor Snapshot","",--(AND(L348="PUMPING",ISNUMBER(AH348),AH348&lt;='02_Parameters'!$B$10)))</f>
        <v>0</v>
      </c>
      <c r="AP348" s="16"/>
      <c r="AQ348" s="16" t="str">
        <f t="shared" si="80"/>
        <v/>
      </c>
      <c r="AR348" s="16" t="str">
        <f t="shared" si="81"/>
        <v/>
      </c>
      <c r="AU348" t="s">
        <v>236</v>
      </c>
      <c r="AV348" t="s">
        <v>237</v>
      </c>
      <c r="AW348" s="3" t="s">
        <v>238</v>
      </c>
      <c r="AX348" s="3">
        <f t="shared" si="82"/>
        <v>100</v>
      </c>
      <c r="AY348" s="3" t="str">
        <f t="shared" si="83"/>
        <v>A</v>
      </c>
      <c r="AZ348" s="3" t="s">
        <v>386</v>
      </c>
      <c r="BA348" s="3"/>
    </row>
    <row r="349" spans="1:53" ht="27.6">
      <c r="A349" t="s">
        <v>668</v>
      </c>
      <c r="B349" t="s">
        <v>242</v>
      </c>
      <c r="C349" s="14">
        <v>1108444</v>
      </c>
      <c r="D349" s="15">
        <f t="shared" si="70"/>
        <v>1108.444</v>
      </c>
      <c r="E349" t="s">
        <v>232</v>
      </c>
      <c r="G349" t="s">
        <v>157</v>
      </c>
      <c r="H349" t="s">
        <v>374</v>
      </c>
      <c r="I349" s="3" t="s">
        <v>607</v>
      </c>
      <c r="J349" s="3" t="s">
        <v>608</v>
      </c>
      <c r="K349">
        <v>3</v>
      </c>
      <c r="L349" t="s">
        <v>604</v>
      </c>
      <c r="M349">
        <f t="shared" si="71"/>
        <v>4</v>
      </c>
      <c r="O349" s="16"/>
      <c r="P349" s="16" t="str">
        <f>IF(AND(ISNUMBER(O349),O349&lt;&gt;-1,O349&gt;='02_Parameters'!$B$18,O349&lt;='02_Parameters'!$B$19),O349,"")</f>
        <v/>
      </c>
      <c r="Q349" s="16"/>
      <c r="R349" t="str">
        <f>IF(B349&lt;&gt;"Sensor Snapshot","",IF(O349="","Missing",IF(O349=-1,"Sensor failure sentinel (-1)",IF(OR(O349&lt;'02_Parameters'!$B$18,O349&gt;'02_Parameters'!$B$19),"Out of accepted range","Valid"))))</f>
        <v/>
      </c>
      <c r="S349" s="16"/>
      <c r="T349" s="16" t="str">
        <f>IF(AND(ISNUMBER(S349),S349&lt;&gt;-1,S349&gt;='02_Parameters'!$B$20,S349&lt;='02_Parameters'!$B$21),S349,"")</f>
        <v/>
      </c>
      <c r="U349" s="16"/>
      <c r="V349" t="str">
        <f>IF(B349&lt;&gt;"Sensor Snapshot","",IF(S349="","Missing",IF(S349=-1,"Sensor failure sentinel (-1)",IF(OR(S349&lt;'02_Parameters'!$B$20,S349&gt;'02_Parameters'!$B$21),"Out of accepted range","Valid"))))</f>
        <v/>
      </c>
      <c r="W349" s="16"/>
      <c r="X349" s="16" t="str">
        <f t="shared" si="72"/>
        <v/>
      </c>
      <c r="Y349" t="str">
        <f t="shared" si="73"/>
        <v/>
      </c>
      <c r="Z349" s="16"/>
      <c r="AB349" t="str">
        <f>IF(B349&lt;&gt;"Sensor Snapshot","",IF(ISNUMBER(AA349),--(AA349&lt;&gt;0),IF(ISNUMBER(Z349),--(Z349&lt;'02_Parameters'!$B$15),"")))</f>
        <v/>
      </c>
      <c r="AC349" t="str">
        <f>IF(B349&lt;&gt;"Sensor Snapshot","",IF(ISNUMBER(X349),--(X349&gt;='02_Parameters'!$B$16),""))</f>
        <v/>
      </c>
      <c r="AD349">
        <v>0</v>
      </c>
      <c r="AE349" t="str">
        <f t="shared" si="74"/>
        <v/>
      </c>
      <c r="AF349" s="3" t="str">
        <f t="shared" si="75"/>
        <v/>
      </c>
      <c r="AG349" s="16"/>
      <c r="AH349" s="16" t="str">
        <f>IF(B349&lt;&gt;"Sensor Snapshot","",IF(ISNUMBER(AG349),IF(AG349&lt;0,"",IF(AG349&gt;10,AG349/'02_Parameters'!$B$17,AG349)),""))</f>
        <v/>
      </c>
      <c r="AI349" t="str">
        <f t="shared" si="76"/>
        <v/>
      </c>
      <c r="AJ349" t="str">
        <f t="shared" si="77"/>
        <v/>
      </c>
      <c r="AK349" t="str">
        <f t="shared" si="78"/>
        <v/>
      </c>
      <c r="AM349" t="str">
        <f t="shared" si="79"/>
        <v/>
      </c>
      <c r="AN349" t="str">
        <f>IF(B349&lt;&gt;"Sensor Snapshot","",--(N349&gt;='02_Parameters'!$B$13))</f>
        <v/>
      </c>
      <c r="AO349" t="str">
        <f>IF(B349&lt;&gt;"Sensor Snapshot","",--(AND(L349="PUMPING",ISNUMBER(AH349),AH349&lt;='02_Parameters'!$B$10)))</f>
        <v/>
      </c>
      <c r="AP349" s="16"/>
      <c r="AQ349" s="16" t="str">
        <f t="shared" si="80"/>
        <v/>
      </c>
      <c r="AR349" s="16" t="str">
        <f t="shared" si="81"/>
        <v/>
      </c>
      <c r="AW349" s="3" t="s">
        <v>377</v>
      </c>
      <c r="AX349" s="3" t="str">
        <f t="shared" si="82"/>
        <v/>
      </c>
      <c r="AY349" s="3" t="str">
        <f t="shared" si="83"/>
        <v/>
      </c>
      <c r="AZ349" s="3" t="s">
        <v>247</v>
      </c>
      <c r="BA349" s="3"/>
    </row>
    <row r="350" spans="1:53" ht="27.6">
      <c r="A350" t="s">
        <v>669</v>
      </c>
      <c r="B350" t="s">
        <v>231</v>
      </c>
      <c r="C350" s="14">
        <v>1113458</v>
      </c>
      <c r="D350" s="15">
        <f t="shared" si="70"/>
        <v>1113.4580000000001</v>
      </c>
      <c r="E350" t="s">
        <v>232</v>
      </c>
      <c r="G350" t="s">
        <v>234</v>
      </c>
      <c r="H350" t="s">
        <v>235</v>
      </c>
      <c r="I350" s="3"/>
      <c r="J350" s="3"/>
      <c r="K350">
        <v>3</v>
      </c>
      <c r="L350" t="s">
        <v>610</v>
      </c>
      <c r="M350">
        <f t="shared" si="71"/>
        <v>5</v>
      </c>
      <c r="N350">
        <v>0</v>
      </c>
      <c r="O350" s="16">
        <v>28</v>
      </c>
      <c r="P350" s="16">
        <f>IF(AND(ISNUMBER(O350),O350&lt;&gt;-1,O350&gt;='02_Parameters'!$B$18,O350&lt;='02_Parameters'!$B$19),O350,"")</f>
        <v>28</v>
      </c>
      <c r="Q350" s="16">
        <v>28</v>
      </c>
      <c r="R350" t="str">
        <f>IF(B350&lt;&gt;"Sensor Snapshot","",IF(O350="","Missing",IF(O350=-1,"Sensor failure sentinel (-1)",IF(OR(O350&lt;'02_Parameters'!$B$18,O350&gt;'02_Parameters'!$B$19),"Out of accepted range","Valid"))))</f>
        <v>Valid</v>
      </c>
      <c r="S350" s="16">
        <v>78.7</v>
      </c>
      <c r="T350" s="16">
        <f>IF(AND(ISNUMBER(S350),S350&lt;&gt;-1,S350&gt;='02_Parameters'!$B$20,S350&lt;='02_Parameters'!$B$21),S350,"")</f>
        <v>78.7</v>
      </c>
      <c r="U350" s="16">
        <v>78.7</v>
      </c>
      <c r="V350" t="str">
        <f>IF(B350&lt;&gt;"Sensor Snapshot","",IF(S350="","Missing",IF(S350=-1,"Sensor failure sentinel (-1)",IF(OR(S350&lt;'02_Parameters'!$B$20,S350&gt;'02_Parameters'!$B$21),"Out of accepted range","Valid"))))</f>
        <v>Valid</v>
      </c>
      <c r="W350" s="16">
        <v>-2.1</v>
      </c>
      <c r="X350" s="16">
        <f t="shared" si="72"/>
        <v>2.1</v>
      </c>
      <c r="Y350" t="str">
        <f t="shared" si="73"/>
        <v>Sign corrected to positive</v>
      </c>
      <c r="Z350" s="16"/>
      <c r="AA350">
        <v>1</v>
      </c>
      <c r="AB350">
        <f>IF(B350&lt;&gt;"Sensor Snapshot","",IF(ISNUMBER(AA350),--(AA350&lt;&gt;0),IF(ISNUMBER(Z350),--(Z350&lt;'02_Parameters'!$B$15),"")))</f>
        <v>1</v>
      </c>
      <c r="AC350">
        <f>IF(B350&lt;&gt;"Sensor Snapshot","",IF(ISNUMBER(X350),--(X350&gt;='02_Parameters'!$B$16),""))</f>
        <v>0</v>
      </c>
      <c r="AD350">
        <v>0</v>
      </c>
      <c r="AE350">
        <f t="shared" si="74"/>
        <v>0</v>
      </c>
      <c r="AF350" s="3" t="str">
        <f t="shared" si="75"/>
        <v>Partial detection only</v>
      </c>
      <c r="AG350" s="16">
        <v>0</v>
      </c>
      <c r="AH350" s="16">
        <f>IF(B350&lt;&gt;"Sensor Snapshot","",IF(ISNUMBER(AG350),IF(AG350&lt;0,"",IF(AG350&gt;10,AG350/'02_Parameters'!$B$17,AG350)),""))</f>
        <v>0</v>
      </c>
      <c r="AI350" t="str">
        <f t="shared" si="76"/>
        <v>Valid</v>
      </c>
      <c r="AJ350">
        <f t="shared" si="77"/>
        <v>0</v>
      </c>
      <c r="AK350">
        <f t="shared" si="78"/>
        <v>0</v>
      </c>
      <c r="AL350">
        <v>0</v>
      </c>
      <c r="AM350">
        <f t="shared" si="79"/>
        <v>0</v>
      </c>
      <c r="AN350">
        <f>IF(B350&lt;&gt;"Sensor Snapshot","",--(N350&gt;='02_Parameters'!$B$13))</f>
        <v>0</v>
      </c>
      <c r="AO350">
        <f>IF(B350&lt;&gt;"Sensor Snapshot","",--(AND(L350="PUMPING",ISNUMBER(AH350),AH350&lt;='02_Parameters'!$B$10)))</f>
        <v>0</v>
      </c>
      <c r="AP350" s="16"/>
      <c r="AQ350" s="16" t="str">
        <f t="shared" si="80"/>
        <v/>
      </c>
      <c r="AR350" s="16" t="str">
        <f t="shared" si="81"/>
        <v/>
      </c>
      <c r="AU350" t="s">
        <v>236</v>
      </c>
      <c r="AV350" t="s">
        <v>237</v>
      </c>
      <c r="AW350" s="3" t="s">
        <v>238</v>
      </c>
      <c r="AX350" s="3">
        <f t="shared" si="82"/>
        <v>100</v>
      </c>
      <c r="AY350" s="3" t="str">
        <f t="shared" si="83"/>
        <v>A</v>
      </c>
      <c r="AZ350" s="3" t="s">
        <v>386</v>
      </c>
      <c r="BA350" s="3"/>
    </row>
    <row r="351" spans="1:53" ht="27.6">
      <c r="A351" t="s">
        <v>670</v>
      </c>
      <c r="B351" t="s">
        <v>231</v>
      </c>
      <c r="C351" s="14">
        <v>1118443</v>
      </c>
      <c r="D351" s="15">
        <f t="shared" si="70"/>
        <v>1118.443</v>
      </c>
      <c r="E351" t="s">
        <v>232</v>
      </c>
      <c r="G351" t="s">
        <v>234</v>
      </c>
      <c r="H351" t="s">
        <v>235</v>
      </c>
      <c r="I351" s="3"/>
      <c r="J351" s="3"/>
      <c r="K351">
        <v>4</v>
      </c>
      <c r="L351" t="s">
        <v>385</v>
      </c>
      <c r="M351">
        <f t="shared" si="71"/>
        <v>0</v>
      </c>
      <c r="N351">
        <v>0</v>
      </c>
      <c r="O351" s="16">
        <v>28</v>
      </c>
      <c r="P351" s="16">
        <f>IF(AND(ISNUMBER(O351),O351&lt;&gt;-1,O351&gt;='02_Parameters'!$B$18,O351&lt;='02_Parameters'!$B$19),O351,"")</f>
        <v>28</v>
      </c>
      <c r="Q351" s="16">
        <v>28</v>
      </c>
      <c r="R351" t="str">
        <f>IF(B351&lt;&gt;"Sensor Snapshot","",IF(O351="","Missing",IF(O351=-1,"Sensor failure sentinel (-1)",IF(OR(O351&lt;'02_Parameters'!$B$18,O351&gt;'02_Parameters'!$B$19),"Out of accepted range","Valid"))))</f>
        <v>Valid</v>
      </c>
      <c r="S351" s="16">
        <v>79.8</v>
      </c>
      <c r="T351" s="16">
        <f>IF(AND(ISNUMBER(S351),S351&lt;&gt;-1,S351&gt;='02_Parameters'!$B$20,S351&lt;='02_Parameters'!$B$21),S351,"")</f>
        <v>79.8</v>
      </c>
      <c r="U351" s="16">
        <v>79.8</v>
      </c>
      <c r="V351" t="str">
        <f>IF(B351&lt;&gt;"Sensor Snapshot","",IF(S351="","Missing",IF(S351=-1,"Sensor failure sentinel (-1)",IF(OR(S351&lt;'02_Parameters'!$B$20,S351&gt;'02_Parameters'!$B$21),"Out of accepted range","Valid"))))</f>
        <v>Valid</v>
      </c>
      <c r="W351" s="16">
        <v>-2.8</v>
      </c>
      <c r="X351" s="16">
        <f t="shared" si="72"/>
        <v>2.8</v>
      </c>
      <c r="Y351" t="str">
        <f t="shared" si="73"/>
        <v>Sign corrected to positive</v>
      </c>
      <c r="Z351" s="16"/>
      <c r="AA351">
        <v>1</v>
      </c>
      <c r="AB351">
        <f>IF(B351&lt;&gt;"Sensor Snapshot","",IF(ISNUMBER(AA351),--(AA351&lt;&gt;0),IF(ISNUMBER(Z351),--(Z351&lt;'02_Parameters'!$B$15),"")))</f>
        <v>1</v>
      </c>
      <c r="AC351">
        <f>IF(B351&lt;&gt;"Sensor Snapshot","",IF(ISNUMBER(X351),--(X351&gt;='02_Parameters'!$B$16),""))</f>
        <v>0</v>
      </c>
      <c r="AD351">
        <v>0</v>
      </c>
      <c r="AE351">
        <f t="shared" si="74"/>
        <v>0</v>
      </c>
      <c r="AF351" s="3" t="str">
        <f t="shared" si="75"/>
        <v>Partial detection only</v>
      </c>
      <c r="AG351" s="16">
        <v>0</v>
      </c>
      <c r="AH351" s="16">
        <f>IF(B351&lt;&gt;"Sensor Snapshot","",IF(ISNUMBER(AG351),IF(AG351&lt;0,"",IF(AG351&gt;10,AG351/'02_Parameters'!$B$17,AG351)),""))</f>
        <v>0</v>
      </c>
      <c r="AI351" t="str">
        <f t="shared" si="76"/>
        <v>Valid</v>
      </c>
      <c r="AJ351">
        <f t="shared" si="77"/>
        <v>0</v>
      </c>
      <c r="AK351">
        <f t="shared" si="78"/>
        <v>0</v>
      </c>
      <c r="AL351">
        <v>0</v>
      </c>
      <c r="AM351">
        <f t="shared" si="79"/>
        <v>0</v>
      </c>
      <c r="AN351">
        <f>IF(B351&lt;&gt;"Sensor Snapshot","",--(N351&gt;='02_Parameters'!$B$13))</f>
        <v>0</v>
      </c>
      <c r="AO351">
        <f>IF(B351&lt;&gt;"Sensor Snapshot","",--(AND(L351="PUMPING",ISNUMBER(AH351),AH351&lt;='02_Parameters'!$B$10)))</f>
        <v>0</v>
      </c>
      <c r="AP351" s="16"/>
      <c r="AQ351" s="16" t="str">
        <f t="shared" si="80"/>
        <v/>
      </c>
      <c r="AR351" s="16" t="str">
        <f t="shared" si="81"/>
        <v/>
      </c>
      <c r="AU351" t="s">
        <v>236</v>
      </c>
      <c r="AV351" t="s">
        <v>237</v>
      </c>
      <c r="AW351" s="3" t="s">
        <v>238</v>
      </c>
      <c r="AX351" s="3">
        <f t="shared" si="82"/>
        <v>100</v>
      </c>
      <c r="AY351" s="3" t="str">
        <f t="shared" si="83"/>
        <v>A</v>
      </c>
      <c r="AZ351" s="3" t="s">
        <v>386</v>
      </c>
      <c r="BA351" s="3" t="s">
        <v>671</v>
      </c>
    </row>
    <row r="352" spans="1:53" ht="27.6">
      <c r="A352" t="s">
        <v>672</v>
      </c>
      <c r="B352" t="s">
        <v>242</v>
      </c>
      <c r="C352" s="14">
        <v>1118443</v>
      </c>
      <c r="D352" s="15">
        <f t="shared" si="70"/>
        <v>1118.443</v>
      </c>
      <c r="E352" t="s">
        <v>232</v>
      </c>
      <c r="G352" t="s">
        <v>157</v>
      </c>
      <c r="H352" t="s">
        <v>374</v>
      </c>
      <c r="I352" s="3" t="s">
        <v>305</v>
      </c>
      <c r="J352" s="3" t="s">
        <v>565</v>
      </c>
      <c r="K352">
        <v>4</v>
      </c>
      <c r="L352" t="s">
        <v>385</v>
      </c>
      <c r="M352">
        <f t="shared" si="71"/>
        <v>0</v>
      </c>
      <c r="O352" s="16"/>
      <c r="P352" s="16" t="str">
        <f>IF(AND(ISNUMBER(O352),O352&lt;&gt;-1,O352&gt;='02_Parameters'!$B$18,O352&lt;='02_Parameters'!$B$19),O352,"")</f>
        <v/>
      </c>
      <c r="Q352" s="16"/>
      <c r="R352" t="str">
        <f>IF(B352&lt;&gt;"Sensor Snapshot","",IF(O352="","Missing",IF(O352=-1,"Sensor failure sentinel (-1)",IF(OR(O352&lt;'02_Parameters'!$B$18,O352&gt;'02_Parameters'!$B$19),"Out of accepted range","Valid"))))</f>
        <v/>
      </c>
      <c r="S352" s="16"/>
      <c r="T352" s="16" t="str">
        <f>IF(AND(ISNUMBER(S352),S352&lt;&gt;-1,S352&gt;='02_Parameters'!$B$20,S352&lt;='02_Parameters'!$B$21),S352,"")</f>
        <v/>
      </c>
      <c r="U352" s="16"/>
      <c r="V352" t="str">
        <f>IF(B352&lt;&gt;"Sensor Snapshot","",IF(S352="","Missing",IF(S352=-1,"Sensor failure sentinel (-1)",IF(OR(S352&lt;'02_Parameters'!$B$20,S352&gt;'02_Parameters'!$B$21),"Out of accepted range","Valid"))))</f>
        <v/>
      </c>
      <c r="W352" s="16"/>
      <c r="X352" s="16" t="str">
        <f t="shared" si="72"/>
        <v/>
      </c>
      <c r="Y352" t="str">
        <f t="shared" si="73"/>
        <v/>
      </c>
      <c r="Z352" s="16"/>
      <c r="AB352" t="str">
        <f>IF(B352&lt;&gt;"Sensor Snapshot","",IF(ISNUMBER(AA352),--(AA352&lt;&gt;0),IF(ISNUMBER(Z352),--(Z352&lt;'02_Parameters'!$B$15),"")))</f>
        <v/>
      </c>
      <c r="AC352" t="str">
        <f>IF(B352&lt;&gt;"Sensor Snapshot","",IF(ISNUMBER(X352),--(X352&gt;='02_Parameters'!$B$16),""))</f>
        <v/>
      </c>
      <c r="AD352">
        <v>0</v>
      </c>
      <c r="AE352" t="str">
        <f t="shared" si="74"/>
        <v/>
      </c>
      <c r="AF352" s="3" t="str">
        <f t="shared" si="75"/>
        <v/>
      </c>
      <c r="AG352" s="16"/>
      <c r="AH352" s="16" t="str">
        <f>IF(B352&lt;&gt;"Sensor Snapshot","",IF(ISNUMBER(AG352),IF(AG352&lt;0,"",IF(AG352&gt;10,AG352/'02_Parameters'!$B$17,AG352)),""))</f>
        <v/>
      </c>
      <c r="AI352" t="str">
        <f t="shared" si="76"/>
        <v/>
      </c>
      <c r="AJ352" t="str">
        <f t="shared" si="77"/>
        <v/>
      </c>
      <c r="AK352" t="str">
        <f t="shared" si="78"/>
        <v/>
      </c>
      <c r="AM352" t="str">
        <f t="shared" si="79"/>
        <v/>
      </c>
      <c r="AN352" t="str">
        <f>IF(B352&lt;&gt;"Sensor Snapshot","",--(N352&gt;='02_Parameters'!$B$13))</f>
        <v/>
      </c>
      <c r="AO352" t="str">
        <f>IF(B352&lt;&gt;"Sensor Snapshot","",--(AND(L352="PUMPING",ISNUMBER(AH352),AH352&lt;='02_Parameters'!$B$10)))</f>
        <v/>
      </c>
      <c r="AP352" s="16"/>
      <c r="AQ352" s="16" t="str">
        <f t="shared" si="80"/>
        <v/>
      </c>
      <c r="AR352" s="16" t="str">
        <f t="shared" si="81"/>
        <v/>
      </c>
      <c r="AW352" s="3" t="s">
        <v>377</v>
      </c>
      <c r="AX352" s="3" t="str">
        <f t="shared" si="82"/>
        <v/>
      </c>
      <c r="AY352" s="3" t="str">
        <f t="shared" si="83"/>
        <v/>
      </c>
      <c r="AZ352" s="3" t="s">
        <v>247</v>
      </c>
      <c r="BA352" s="3"/>
    </row>
    <row r="353" spans="1:53" ht="27.6">
      <c r="A353" t="s">
        <v>673</v>
      </c>
      <c r="B353" t="s">
        <v>231</v>
      </c>
      <c r="C353" s="14">
        <v>1123474</v>
      </c>
      <c r="D353" s="15">
        <f t="shared" si="70"/>
        <v>1123.4739999999999</v>
      </c>
      <c r="E353" t="s">
        <v>232</v>
      </c>
      <c r="G353" t="s">
        <v>234</v>
      </c>
      <c r="H353" t="s">
        <v>235</v>
      </c>
      <c r="I353" s="3"/>
      <c r="J353" s="3"/>
      <c r="K353">
        <v>4</v>
      </c>
      <c r="L353" t="s">
        <v>567</v>
      </c>
      <c r="M353">
        <f t="shared" si="71"/>
        <v>1</v>
      </c>
      <c r="N353">
        <v>0</v>
      </c>
      <c r="O353" s="16">
        <v>28.1</v>
      </c>
      <c r="P353" s="16">
        <f>IF(AND(ISNUMBER(O353),O353&lt;&gt;-1,O353&gt;='02_Parameters'!$B$18,O353&lt;='02_Parameters'!$B$19),O353,"")</f>
        <v>28.1</v>
      </c>
      <c r="Q353" s="16">
        <v>28.1</v>
      </c>
      <c r="R353" t="str">
        <f>IF(B353&lt;&gt;"Sensor Snapshot","",IF(O353="","Missing",IF(O353=-1,"Sensor failure sentinel (-1)",IF(OR(O353&lt;'02_Parameters'!$B$18,O353&gt;'02_Parameters'!$B$19),"Out of accepted range","Valid"))))</f>
        <v>Valid</v>
      </c>
      <c r="S353" s="16">
        <v>82.2</v>
      </c>
      <c r="T353" s="16">
        <f>IF(AND(ISNUMBER(S353),S353&lt;&gt;-1,S353&gt;='02_Parameters'!$B$20,S353&lt;='02_Parameters'!$B$21),S353,"")</f>
        <v>82.2</v>
      </c>
      <c r="U353" s="16">
        <v>82.2</v>
      </c>
      <c r="V353" t="str">
        <f>IF(B353&lt;&gt;"Sensor Snapshot","",IF(S353="","Missing",IF(S353=-1,"Sensor failure sentinel (-1)",IF(OR(S353&lt;'02_Parameters'!$B$20,S353&gt;'02_Parameters'!$B$21),"Out of accepted range","Valid"))))</f>
        <v>Valid</v>
      </c>
      <c r="W353" s="16">
        <v>-2.9</v>
      </c>
      <c r="X353" s="16">
        <f t="shared" si="72"/>
        <v>2.9</v>
      </c>
      <c r="Y353" t="str">
        <f t="shared" si="73"/>
        <v>Sign corrected to positive</v>
      </c>
      <c r="Z353" s="16"/>
      <c r="AA353">
        <v>1</v>
      </c>
      <c r="AB353">
        <f>IF(B353&lt;&gt;"Sensor Snapshot","",IF(ISNUMBER(AA353),--(AA353&lt;&gt;0),IF(ISNUMBER(Z353),--(Z353&lt;'02_Parameters'!$B$15),"")))</f>
        <v>1</v>
      </c>
      <c r="AC353">
        <f>IF(B353&lt;&gt;"Sensor Snapshot","",IF(ISNUMBER(X353),--(X353&gt;='02_Parameters'!$B$16),""))</f>
        <v>0</v>
      </c>
      <c r="AD353">
        <v>0</v>
      </c>
      <c r="AE353">
        <f t="shared" si="74"/>
        <v>0</v>
      </c>
      <c r="AF353" s="3" t="str">
        <f t="shared" si="75"/>
        <v>Partial detection only</v>
      </c>
      <c r="AG353" s="16">
        <v>0</v>
      </c>
      <c r="AH353" s="16">
        <f>IF(B353&lt;&gt;"Sensor Snapshot","",IF(ISNUMBER(AG353),IF(AG353&lt;0,"",IF(AG353&gt;10,AG353/'02_Parameters'!$B$17,AG353)),""))</f>
        <v>0</v>
      </c>
      <c r="AI353" t="str">
        <f t="shared" si="76"/>
        <v>Valid</v>
      </c>
      <c r="AJ353">
        <f t="shared" si="77"/>
        <v>0</v>
      </c>
      <c r="AK353">
        <f t="shared" si="78"/>
        <v>0</v>
      </c>
      <c r="AL353">
        <v>0</v>
      </c>
      <c r="AM353">
        <f t="shared" si="79"/>
        <v>1</v>
      </c>
      <c r="AN353">
        <f>IF(B353&lt;&gt;"Sensor Snapshot","",--(N353&gt;='02_Parameters'!$B$13))</f>
        <v>0</v>
      </c>
      <c r="AO353">
        <f>IF(B353&lt;&gt;"Sensor Snapshot","",--(AND(L353="PUMPING",ISNUMBER(AH353),AH353&lt;='02_Parameters'!$B$10)))</f>
        <v>0</v>
      </c>
      <c r="AP353" s="16"/>
      <c r="AQ353" s="16" t="str">
        <f t="shared" si="80"/>
        <v/>
      </c>
      <c r="AR353" s="16" t="str">
        <f t="shared" si="81"/>
        <v/>
      </c>
      <c r="AU353" t="s">
        <v>236</v>
      </c>
      <c r="AV353" t="s">
        <v>237</v>
      </c>
      <c r="AW353" s="3" t="s">
        <v>238</v>
      </c>
      <c r="AX353" s="3">
        <f t="shared" si="82"/>
        <v>100</v>
      </c>
      <c r="AY353" s="3" t="str">
        <f t="shared" si="83"/>
        <v>A</v>
      </c>
      <c r="AZ353" s="3" t="s">
        <v>386</v>
      </c>
      <c r="BA353" s="3"/>
    </row>
    <row r="354" spans="1:53" ht="27.6">
      <c r="A354" t="s">
        <v>674</v>
      </c>
      <c r="B354" t="s">
        <v>231</v>
      </c>
      <c r="C354" s="14">
        <v>1128474</v>
      </c>
      <c r="D354" s="15">
        <f t="shared" si="70"/>
        <v>1128.4739999999999</v>
      </c>
      <c r="E354" t="s">
        <v>232</v>
      </c>
      <c r="G354" t="s">
        <v>234</v>
      </c>
      <c r="H354" t="s">
        <v>235</v>
      </c>
      <c r="I354" s="3"/>
      <c r="J354" s="3"/>
      <c r="K354">
        <v>4</v>
      </c>
      <c r="L354" t="s">
        <v>571</v>
      </c>
      <c r="M354">
        <f t="shared" si="71"/>
        <v>2</v>
      </c>
      <c r="N354">
        <v>0</v>
      </c>
      <c r="O354" s="16">
        <v>28</v>
      </c>
      <c r="P354" s="16">
        <f>IF(AND(ISNUMBER(O354),O354&lt;&gt;-1,O354&gt;='02_Parameters'!$B$18,O354&lt;='02_Parameters'!$B$19),O354,"")</f>
        <v>28</v>
      </c>
      <c r="Q354" s="16">
        <v>28</v>
      </c>
      <c r="R354" t="str">
        <f>IF(B354&lt;&gt;"Sensor Snapshot","",IF(O354="","Missing",IF(O354=-1,"Sensor failure sentinel (-1)",IF(OR(O354&lt;'02_Parameters'!$B$18,O354&gt;'02_Parameters'!$B$19),"Out of accepted range","Valid"))))</f>
        <v>Valid</v>
      </c>
      <c r="S354" s="16">
        <v>83</v>
      </c>
      <c r="T354" s="16">
        <f>IF(AND(ISNUMBER(S354),S354&lt;&gt;-1,S354&gt;='02_Parameters'!$B$20,S354&lt;='02_Parameters'!$B$21),S354,"")</f>
        <v>83</v>
      </c>
      <c r="U354" s="16">
        <v>83</v>
      </c>
      <c r="V354" t="str">
        <f>IF(B354&lt;&gt;"Sensor Snapshot","",IF(S354="","Missing",IF(S354=-1,"Sensor failure sentinel (-1)",IF(OR(S354&lt;'02_Parameters'!$B$20,S354&gt;'02_Parameters'!$B$21),"Out of accepted range","Valid"))))</f>
        <v>Valid</v>
      </c>
      <c r="W354" s="16">
        <v>-3</v>
      </c>
      <c r="X354" s="16">
        <f t="shared" si="72"/>
        <v>3</v>
      </c>
      <c r="Y354" t="str">
        <f t="shared" si="73"/>
        <v>Sign corrected to positive</v>
      </c>
      <c r="Z354" s="16"/>
      <c r="AA354">
        <v>1</v>
      </c>
      <c r="AB354">
        <f>IF(B354&lt;&gt;"Sensor Snapshot","",IF(ISNUMBER(AA354),--(AA354&lt;&gt;0),IF(ISNUMBER(Z354),--(Z354&lt;'02_Parameters'!$B$15),"")))</f>
        <v>1</v>
      </c>
      <c r="AC354">
        <f>IF(B354&lt;&gt;"Sensor Snapshot","",IF(ISNUMBER(X354),--(X354&gt;='02_Parameters'!$B$16),""))</f>
        <v>0</v>
      </c>
      <c r="AD354">
        <v>0</v>
      </c>
      <c r="AE354">
        <f t="shared" si="74"/>
        <v>0</v>
      </c>
      <c r="AF354" s="3" t="str">
        <f t="shared" si="75"/>
        <v>Partial detection only</v>
      </c>
      <c r="AG354" s="16">
        <v>0</v>
      </c>
      <c r="AH354" s="16">
        <f>IF(B354&lt;&gt;"Sensor Snapshot","",IF(ISNUMBER(AG354),IF(AG354&lt;0,"",IF(AG354&gt;10,AG354/'02_Parameters'!$B$17,AG354)),""))</f>
        <v>0</v>
      </c>
      <c r="AI354" t="str">
        <f t="shared" si="76"/>
        <v>Valid</v>
      </c>
      <c r="AJ354">
        <f t="shared" si="77"/>
        <v>1</v>
      </c>
      <c r="AK354">
        <f t="shared" si="78"/>
        <v>0</v>
      </c>
      <c r="AL354">
        <v>0</v>
      </c>
      <c r="AM354">
        <f t="shared" si="79"/>
        <v>0</v>
      </c>
      <c r="AN354">
        <f>IF(B354&lt;&gt;"Sensor Snapshot","",--(N354&gt;='02_Parameters'!$B$13))</f>
        <v>0</v>
      </c>
      <c r="AO354">
        <f>IF(B354&lt;&gt;"Sensor Snapshot","",--(AND(L354="PUMPING",ISNUMBER(AH354),AH354&lt;='02_Parameters'!$B$10)))</f>
        <v>1</v>
      </c>
      <c r="AP354" s="16"/>
      <c r="AQ354" s="16" t="str">
        <f t="shared" si="80"/>
        <v/>
      </c>
      <c r="AR354" s="16" t="str">
        <f t="shared" si="81"/>
        <v/>
      </c>
      <c r="AU354" t="s">
        <v>236</v>
      </c>
      <c r="AV354" t="s">
        <v>237</v>
      </c>
      <c r="AW354" s="3" t="s">
        <v>238</v>
      </c>
      <c r="AX354" s="3">
        <f t="shared" si="82"/>
        <v>100</v>
      </c>
      <c r="AY354" s="3" t="str">
        <f t="shared" si="83"/>
        <v>A</v>
      </c>
      <c r="AZ354" s="3" t="s">
        <v>386</v>
      </c>
      <c r="BA354" s="3"/>
    </row>
    <row r="355" spans="1:53" ht="27.6">
      <c r="A355" t="s">
        <v>675</v>
      </c>
      <c r="B355" t="s">
        <v>242</v>
      </c>
      <c r="C355" s="14">
        <v>1128474</v>
      </c>
      <c r="D355" s="15">
        <f t="shared" si="70"/>
        <v>1128.4739999999999</v>
      </c>
      <c r="E355" t="s">
        <v>232</v>
      </c>
      <c r="G355" t="s">
        <v>157</v>
      </c>
      <c r="H355" t="s">
        <v>374</v>
      </c>
      <c r="I355" s="3" t="s">
        <v>575</v>
      </c>
      <c r="J355" s="3" t="s">
        <v>576</v>
      </c>
      <c r="K355">
        <v>4</v>
      </c>
      <c r="L355" t="s">
        <v>571</v>
      </c>
      <c r="M355">
        <f t="shared" si="71"/>
        <v>2</v>
      </c>
      <c r="O355" s="16"/>
      <c r="P355" s="16" t="str">
        <f>IF(AND(ISNUMBER(O355),O355&lt;&gt;-1,O355&gt;='02_Parameters'!$B$18,O355&lt;='02_Parameters'!$B$19),O355,"")</f>
        <v/>
      </c>
      <c r="Q355" s="16"/>
      <c r="R355" t="str">
        <f>IF(B355&lt;&gt;"Sensor Snapshot","",IF(O355="","Missing",IF(O355=-1,"Sensor failure sentinel (-1)",IF(OR(O355&lt;'02_Parameters'!$B$18,O355&gt;'02_Parameters'!$B$19),"Out of accepted range","Valid"))))</f>
        <v/>
      </c>
      <c r="S355" s="16"/>
      <c r="T355" s="16" t="str">
        <f>IF(AND(ISNUMBER(S355),S355&lt;&gt;-1,S355&gt;='02_Parameters'!$B$20,S355&lt;='02_Parameters'!$B$21),S355,"")</f>
        <v/>
      </c>
      <c r="U355" s="16"/>
      <c r="V355" t="str">
        <f>IF(B355&lt;&gt;"Sensor Snapshot","",IF(S355="","Missing",IF(S355=-1,"Sensor failure sentinel (-1)",IF(OR(S355&lt;'02_Parameters'!$B$20,S355&gt;'02_Parameters'!$B$21),"Out of accepted range","Valid"))))</f>
        <v/>
      </c>
      <c r="W355" s="16"/>
      <c r="X355" s="16" t="str">
        <f t="shared" si="72"/>
        <v/>
      </c>
      <c r="Y355" t="str">
        <f t="shared" si="73"/>
        <v/>
      </c>
      <c r="Z355" s="16"/>
      <c r="AB355" t="str">
        <f>IF(B355&lt;&gt;"Sensor Snapshot","",IF(ISNUMBER(AA355),--(AA355&lt;&gt;0),IF(ISNUMBER(Z355),--(Z355&lt;'02_Parameters'!$B$15),"")))</f>
        <v/>
      </c>
      <c r="AC355" t="str">
        <f>IF(B355&lt;&gt;"Sensor Snapshot","",IF(ISNUMBER(X355),--(X355&gt;='02_Parameters'!$B$16),""))</f>
        <v/>
      </c>
      <c r="AD355">
        <v>0</v>
      </c>
      <c r="AE355" t="str">
        <f t="shared" si="74"/>
        <v/>
      </c>
      <c r="AF355" s="3" t="str">
        <f t="shared" si="75"/>
        <v/>
      </c>
      <c r="AG355" s="16"/>
      <c r="AH355" s="16" t="str">
        <f>IF(B355&lt;&gt;"Sensor Snapshot","",IF(ISNUMBER(AG355),IF(AG355&lt;0,"",IF(AG355&gt;10,AG355/'02_Parameters'!$B$17,AG355)),""))</f>
        <v/>
      </c>
      <c r="AI355" t="str">
        <f t="shared" si="76"/>
        <v/>
      </c>
      <c r="AJ355" t="str">
        <f t="shared" si="77"/>
        <v/>
      </c>
      <c r="AK355" t="str">
        <f t="shared" si="78"/>
        <v/>
      </c>
      <c r="AM355" t="str">
        <f t="shared" si="79"/>
        <v/>
      </c>
      <c r="AN355" t="str">
        <f>IF(B355&lt;&gt;"Sensor Snapshot","",--(N355&gt;='02_Parameters'!$B$13))</f>
        <v/>
      </c>
      <c r="AO355" t="str">
        <f>IF(B355&lt;&gt;"Sensor Snapshot","",--(AND(L355="PUMPING",ISNUMBER(AH355),AH355&lt;='02_Parameters'!$B$10)))</f>
        <v/>
      </c>
      <c r="AP355" s="16"/>
      <c r="AQ355" s="16" t="str">
        <f t="shared" si="80"/>
        <v/>
      </c>
      <c r="AR355" s="16" t="str">
        <f t="shared" si="81"/>
        <v/>
      </c>
      <c r="AW355" s="3" t="s">
        <v>377</v>
      </c>
      <c r="AX355" s="3" t="str">
        <f t="shared" si="82"/>
        <v/>
      </c>
      <c r="AY355" s="3" t="str">
        <f t="shared" si="83"/>
        <v/>
      </c>
      <c r="AZ355" s="3" t="s">
        <v>247</v>
      </c>
      <c r="BA355" s="3"/>
    </row>
    <row r="356" spans="1:53" ht="55.2">
      <c r="A356" t="s">
        <v>676</v>
      </c>
      <c r="B356" t="s">
        <v>231</v>
      </c>
      <c r="C356" s="14">
        <v>1133517</v>
      </c>
      <c r="D356" s="15">
        <f t="shared" si="70"/>
        <v>1133.5170000000001</v>
      </c>
      <c r="E356" t="s">
        <v>232</v>
      </c>
      <c r="G356" t="s">
        <v>234</v>
      </c>
      <c r="H356" t="s">
        <v>235</v>
      </c>
      <c r="I356" s="3"/>
      <c r="J356" s="3"/>
      <c r="K356">
        <v>4</v>
      </c>
      <c r="L356" t="s">
        <v>571</v>
      </c>
      <c r="M356">
        <f t="shared" si="71"/>
        <v>2</v>
      </c>
      <c r="N356">
        <v>0</v>
      </c>
      <c r="O356" s="16">
        <v>-1</v>
      </c>
      <c r="P356" s="16" t="str">
        <f>IF(AND(ISNUMBER(O356),O356&lt;&gt;-1,O356&gt;='02_Parameters'!$B$18,O356&lt;='02_Parameters'!$B$19),O356,"")</f>
        <v/>
      </c>
      <c r="Q356" s="16">
        <v>28</v>
      </c>
      <c r="R356" t="str">
        <f>IF(B356&lt;&gt;"Sensor Snapshot","",IF(O356="","Missing",IF(O356=-1,"Sensor failure sentinel (-1)",IF(OR(O356&lt;'02_Parameters'!$B$18,O356&gt;'02_Parameters'!$B$19),"Out of accepted range","Valid"))))</f>
        <v>Sensor failure sentinel (-1)</v>
      </c>
      <c r="S356" s="16">
        <v>-1</v>
      </c>
      <c r="T356" s="16" t="str">
        <f>IF(AND(ISNUMBER(S356),S356&lt;&gt;-1,S356&gt;='02_Parameters'!$B$20,S356&lt;='02_Parameters'!$B$21),S356,"")</f>
        <v/>
      </c>
      <c r="U356" s="16">
        <v>83</v>
      </c>
      <c r="V356" t="str">
        <f>IF(B356&lt;&gt;"Sensor Snapshot","",IF(S356="","Missing",IF(S356=-1,"Sensor failure sentinel (-1)",IF(OR(S356&lt;'02_Parameters'!$B$20,S356&gt;'02_Parameters'!$B$21),"Out of accepted range","Valid"))))</f>
        <v>Sensor failure sentinel (-1)</v>
      </c>
      <c r="W356" s="16">
        <v>-2.6</v>
      </c>
      <c r="X356" s="16">
        <f t="shared" si="72"/>
        <v>2.6</v>
      </c>
      <c r="Y356" t="str">
        <f t="shared" si="73"/>
        <v>Sign corrected to positive</v>
      </c>
      <c r="Z356" s="16"/>
      <c r="AA356">
        <v>1</v>
      </c>
      <c r="AB356">
        <f>IF(B356&lt;&gt;"Sensor Snapshot","",IF(ISNUMBER(AA356),--(AA356&lt;&gt;0),IF(ISNUMBER(Z356),--(Z356&lt;'02_Parameters'!$B$15),"")))</f>
        <v>1</v>
      </c>
      <c r="AC356">
        <f>IF(B356&lt;&gt;"Sensor Snapshot","",IF(ISNUMBER(X356),--(X356&gt;='02_Parameters'!$B$16),""))</f>
        <v>0</v>
      </c>
      <c r="AD356">
        <v>0</v>
      </c>
      <c r="AE356">
        <f t="shared" si="74"/>
        <v>0</v>
      </c>
      <c r="AF356" s="3" t="str">
        <f t="shared" si="75"/>
        <v>Partial detection only</v>
      </c>
      <c r="AG356" s="16">
        <v>69.307000000000002</v>
      </c>
      <c r="AH356" s="16">
        <f>IF(B356&lt;&gt;"Sensor Snapshot","",IF(ISNUMBER(AG356),IF(AG356&lt;0,"",IF(AG356&gt;10,AG356/'02_Parameters'!$B$17,AG356)),""))</f>
        <v>0.69307000000000007</v>
      </c>
      <c r="AI356" t="str">
        <f t="shared" si="76"/>
        <v>Normalized from high-scale log</v>
      </c>
      <c r="AJ356">
        <f t="shared" si="77"/>
        <v>1</v>
      </c>
      <c r="AK356">
        <f t="shared" si="78"/>
        <v>0</v>
      </c>
      <c r="AL356">
        <v>0</v>
      </c>
      <c r="AM356">
        <f t="shared" si="79"/>
        <v>0</v>
      </c>
      <c r="AN356">
        <f>IF(B356&lt;&gt;"Sensor Snapshot","",--(N356&gt;='02_Parameters'!$B$13))</f>
        <v>0</v>
      </c>
      <c r="AO356">
        <f>IF(B356&lt;&gt;"Sensor Snapshot","",--(AND(L356="PUMPING",ISNUMBER(AH356),AH356&lt;='02_Parameters'!$B$10)))</f>
        <v>0</v>
      </c>
      <c r="AP356" s="16"/>
      <c r="AQ356" s="16" t="str">
        <f t="shared" si="80"/>
        <v/>
      </c>
      <c r="AR356" s="16" t="str">
        <f t="shared" si="81"/>
        <v/>
      </c>
      <c r="AU356" t="s">
        <v>236</v>
      </c>
      <c r="AV356" t="s">
        <v>237</v>
      </c>
      <c r="AW356" s="3" t="s">
        <v>330</v>
      </c>
      <c r="AX356" s="3">
        <f t="shared" si="82"/>
        <v>60</v>
      </c>
      <c r="AY356" s="3" t="str">
        <f t="shared" si="83"/>
        <v>C</v>
      </c>
      <c r="AZ356" s="3" t="s">
        <v>386</v>
      </c>
      <c r="BA356" s="3"/>
    </row>
    <row r="357" spans="1:53" ht="27.6">
      <c r="A357" t="s">
        <v>677</v>
      </c>
      <c r="B357" t="s">
        <v>242</v>
      </c>
      <c r="C357" s="14">
        <v>1133517</v>
      </c>
      <c r="D357" s="15">
        <f t="shared" si="70"/>
        <v>1133.5170000000001</v>
      </c>
      <c r="E357" t="s">
        <v>232</v>
      </c>
      <c r="G357" t="s">
        <v>157</v>
      </c>
      <c r="H357" t="s">
        <v>374</v>
      </c>
      <c r="I357" s="3" t="s">
        <v>575</v>
      </c>
      <c r="J357" s="3" t="s">
        <v>576</v>
      </c>
      <c r="K357">
        <v>4</v>
      </c>
      <c r="L357" t="s">
        <v>571</v>
      </c>
      <c r="M357">
        <f t="shared" si="71"/>
        <v>2</v>
      </c>
      <c r="O357" s="16"/>
      <c r="P357" s="16" t="str">
        <f>IF(AND(ISNUMBER(O357),O357&lt;&gt;-1,O357&gt;='02_Parameters'!$B$18,O357&lt;='02_Parameters'!$B$19),O357,"")</f>
        <v/>
      </c>
      <c r="Q357" s="16"/>
      <c r="R357" t="str">
        <f>IF(B357&lt;&gt;"Sensor Snapshot","",IF(O357="","Missing",IF(O357=-1,"Sensor failure sentinel (-1)",IF(OR(O357&lt;'02_Parameters'!$B$18,O357&gt;'02_Parameters'!$B$19),"Out of accepted range","Valid"))))</f>
        <v/>
      </c>
      <c r="S357" s="16"/>
      <c r="T357" s="16" t="str">
        <f>IF(AND(ISNUMBER(S357),S357&lt;&gt;-1,S357&gt;='02_Parameters'!$B$20,S357&lt;='02_Parameters'!$B$21),S357,"")</f>
        <v/>
      </c>
      <c r="U357" s="16"/>
      <c r="V357" t="str">
        <f>IF(B357&lt;&gt;"Sensor Snapshot","",IF(S357="","Missing",IF(S357=-1,"Sensor failure sentinel (-1)",IF(OR(S357&lt;'02_Parameters'!$B$20,S357&gt;'02_Parameters'!$B$21),"Out of accepted range","Valid"))))</f>
        <v/>
      </c>
      <c r="W357" s="16"/>
      <c r="X357" s="16" t="str">
        <f t="shared" si="72"/>
        <v/>
      </c>
      <c r="Y357" t="str">
        <f t="shared" si="73"/>
        <v/>
      </c>
      <c r="Z357" s="16"/>
      <c r="AB357" t="str">
        <f>IF(B357&lt;&gt;"Sensor Snapshot","",IF(ISNUMBER(AA357),--(AA357&lt;&gt;0),IF(ISNUMBER(Z357),--(Z357&lt;'02_Parameters'!$B$15),"")))</f>
        <v/>
      </c>
      <c r="AC357" t="str">
        <f>IF(B357&lt;&gt;"Sensor Snapshot","",IF(ISNUMBER(X357),--(X357&gt;='02_Parameters'!$B$16),""))</f>
        <v/>
      </c>
      <c r="AD357">
        <v>0</v>
      </c>
      <c r="AE357" t="str">
        <f t="shared" si="74"/>
        <v/>
      </c>
      <c r="AF357" s="3" t="str">
        <f t="shared" si="75"/>
        <v/>
      </c>
      <c r="AG357" s="16"/>
      <c r="AH357" s="16" t="str">
        <f>IF(B357&lt;&gt;"Sensor Snapshot","",IF(ISNUMBER(AG357),IF(AG357&lt;0,"",IF(AG357&gt;10,AG357/'02_Parameters'!$B$17,AG357)),""))</f>
        <v/>
      </c>
      <c r="AI357" t="str">
        <f t="shared" si="76"/>
        <v/>
      </c>
      <c r="AJ357" t="str">
        <f t="shared" si="77"/>
        <v/>
      </c>
      <c r="AK357" t="str">
        <f t="shared" si="78"/>
        <v/>
      </c>
      <c r="AM357" t="str">
        <f t="shared" si="79"/>
        <v/>
      </c>
      <c r="AN357" t="str">
        <f>IF(B357&lt;&gt;"Sensor Snapshot","",--(N357&gt;='02_Parameters'!$B$13))</f>
        <v/>
      </c>
      <c r="AO357" t="str">
        <f>IF(B357&lt;&gt;"Sensor Snapshot","",--(AND(L357="PUMPING",ISNUMBER(AH357),AH357&lt;='02_Parameters'!$B$10)))</f>
        <v/>
      </c>
      <c r="AP357" s="16"/>
      <c r="AQ357" s="16" t="str">
        <f t="shared" si="80"/>
        <v/>
      </c>
      <c r="AR357" s="16" t="str">
        <f t="shared" si="81"/>
        <v/>
      </c>
      <c r="AW357" s="3" t="s">
        <v>377</v>
      </c>
      <c r="AX357" s="3" t="str">
        <f t="shared" si="82"/>
        <v/>
      </c>
      <c r="AY357" s="3" t="str">
        <f t="shared" si="83"/>
        <v/>
      </c>
      <c r="AZ357" s="3" t="s">
        <v>247</v>
      </c>
      <c r="BA357" s="3"/>
    </row>
    <row r="358" spans="1:53" ht="55.2">
      <c r="A358" t="s">
        <v>678</v>
      </c>
      <c r="B358" t="s">
        <v>231</v>
      </c>
      <c r="C358" s="14">
        <v>1138518</v>
      </c>
      <c r="D358" s="15">
        <f t="shared" si="70"/>
        <v>1138.518</v>
      </c>
      <c r="E358" t="s">
        <v>232</v>
      </c>
      <c r="G358" t="s">
        <v>234</v>
      </c>
      <c r="H358" t="s">
        <v>235</v>
      </c>
      <c r="I358" s="3"/>
      <c r="J358" s="3"/>
      <c r="K358">
        <v>4</v>
      </c>
      <c r="L358" t="s">
        <v>571</v>
      </c>
      <c r="M358">
        <f t="shared" si="71"/>
        <v>2</v>
      </c>
      <c r="N358">
        <v>0</v>
      </c>
      <c r="O358" s="16">
        <v>-1</v>
      </c>
      <c r="P358" s="16" t="str">
        <f>IF(AND(ISNUMBER(O358),O358&lt;&gt;-1,O358&gt;='02_Parameters'!$B$18,O358&lt;='02_Parameters'!$B$19),O358,"")</f>
        <v/>
      </c>
      <c r="Q358" s="16">
        <v>28</v>
      </c>
      <c r="R358" t="str">
        <f>IF(B358&lt;&gt;"Sensor Snapshot","",IF(O358="","Missing",IF(O358=-1,"Sensor failure sentinel (-1)",IF(OR(O358&lt;'02_Parameters'!$B$18,O358&gt;'02_Parameters'!$B$19),"Out of accepted range","Valid"))))</f>
        <v>Sensor failure sentinel (-1)</v>
      </c>
      <c r="S358" s="16">
        <v>-1</v>
      </c>
      <c r="T358" s="16" t="str">
        <f>IF(AND(ISNUMBER(S358),S358&lt;&gt;-1,S358&gt;='02_Parameters'!$B$20,S358&lt;='02_Parameters'!$B$21),S358,"")</f>
        <v/>
      </c>
      <c r="U358" s="16">
        <v>83</v>
      </c>
      <c r="V358" t="str">
        <f>IF(B358&lt;&gt;"Sensor Snapshot","",IF(S358="","Missing",IF(S358=-1,"Sensor failure sentinel (-1)",IF(OR(S358&lt;'02_Parameters'!$B$20,S358&gt;'02_Parameters'!$B$21),"Out of accepted range","Valid"))))</f>
        <v>Sensor failure sentinel (-1)</v>
      </c>
      <c r="W358" s="16">
        <v>-2</v>
      </c>
      <c r="X358" s="16">
        <f t="shared" si="72"/>
        <v>2</v>
      </c>
      <c r="Y358" t="str">
        <f t="shared" si="73"/>
        <v>Sign corrected to positive</v>
      </c>
      <c r="Z358" s="16"/>
      <c r="AA358">
        <v>1</v>
      </c>
      <c r="AB358">
        <f>IF(B358&lt;&gt;"Sensor Snapshot","",IF(ISNUMBER(AA358),--(AA358&lt;&gt;0),IF(ISNUMBER(Z358),--(Z358&lt;'02_Parameters'!$B$15),"")))</f>
        <v>1</v>
      </c>
      <c r="AC358">
        <f>IF(B358&lt;&gt;"Sensor Snapshot","",IF(ISNUMBER(X358),--(X358&gt;='02_Parameters'!$B$16),""))</f>
        <v>0</v>
      </c>
      <c r="AD358">
        <v>0</v>
      </c>
      <c r="AE358">
        <f t="shared" si="74"/>
        <v>0</v>
      </c>
      <c r="AF358" s="3" t="str">
        <f t="shared" si="75"/>
        <v>Partial detection only</v>
      </c>
      <c r="AG358" s="16">
        <v>70.772999999999996</v>
      </c>
      <c r="AH358" s="16">
        <f>IF(B358&lt;&gt;"Sensor Snapshot","",IF(ISNUMBER(AG358),IF(AG358&lt;0,"",IF(AG358&gt;10,AG358/'02_Parameters'!$B$17,AG358)),""))</f>
        <v>0.70772999999999997</v>
      </c>
      <c r="AI358" t="str">
        <f t="shared" si="76"/>
        <v>Normalized from high-scale log</v>
      </c>
      <c r="AJ358">
        <f t="shared" si="77"/>
        <v>1</v>
      </c>
      <c r="AK358">
        <f t="shared" si="78"/>
        <v>0</v>
      </c>
      <c r="AL358">
        <v>0</v>
      </c>
      <c r="AM358">
        <f t="shared" si="79"/>
        <v>0</v>
      </c>
      <c r="AN358">
        <f>IF(B358&lt;&gt;"Sensor Snapshot","",--(N358&gt;='02_Parameters'!$B$13))</f>
        <v>0</v>
      </c>
      <c r="AO358">
        <f>IF(B358&lt;&gt;"Sensor Snapshot","",--(AND(L358="PUMPING",ISNUMBER(AH358),AH358&lt;='02_Parameters'!$B$10)))</f>
        <v>0</v>
      </c>
      <c r="AP358" s="16"/>
      <c r="AQ358" s="16" t="str">
        <f t="shared" si="80"/>
        <v/>
      </c>
      <c r="AR358" s="16" t="str">
        <f t="shared" si="81"/>
        <v/>
      </c>
      <c r="AU358" t="s">
        <v>236</v>
      </c>
      <c r="AV358" t="s">
        <v>237</v>
      </c>
      <c r="AW358" s="3" t="s">
        <v>330</v>
      </c>
      <c r="AX358" s="3">
        <f t="shared" si="82"/>
        <v>60</v>
      </c>
      <c r="AY358" s="3" t="str">
        <f t="shared" si="83"/>
        <v>C</v>
      </c>
      <c r="AZ358" s="3" t="s">
        <v>386</v>
      </c>
      <c r="BA358" s="3"/>
    </row>
    <row r="359" spans="1:53" ht="27.6">
      <c r="A359" t="s">
        <v>679</v>
      </c>
      <c r="B359" t="s">
        <v>242</v>
      </c>
      <c r="C359" s="14">
        <v>1138518</v>
      </c>
      <c r="D359" s="15">
        <f t="shared" si="70"/>
        <v>1138.518</v>
      </c>
      <c r="E359" t="s">
        <v>232</v>
      </c>
      <c r="G359" t="s">
        <v>157</v>
      </c>
      <c r="H359" t="s">
        <v>374</v>
      </c>
      <c r="I359" s="3" t="s">
        <v>575</v>
      </c>
      <c r="J359" s="3" t="s">
        <v>576</v>
      </c>
      <c r="K359">
        <v>4</v>
      </c>
      <c r="L359" t="s">
        <v>571</v>
      </c>
      <c r="M359">
        <f t="shared" si="71"/>
        <v>2</v>
      </c>
      <c r="O359" s="16"/>
      <c r="P359" s="16" t="str">
        <f>IF(AND(ISNUMBER(O359),O359&lt;&gt;-1,O359&gt;='02_Parameters'!$B$18,O359&lt;='02_Parameters'!$B$19),O359,"")</f>
        <v/>
      </c>
      <c r="Q359" s="16"/>
      <c r="R359" t="str">
        <f>IF(B359&lt;&gt;"Sensor Snapshot","",IF(O359="","Missing",IF(O359=-1,"Sensor failure sentinel (-1)",IF(OR(O359&lt;'02_Parameters'!$B$18,O359&gt;'02_Parameters'!$B$19),"Out of accepted range","Valid"))))</f>
        <v/>
      </c>
      <c r="S359" s="16"/>
      <c r="T359" s="16" t="str">
        <f>IF(AND(ISNUMBER(S359),S359&lt;&gt;-1,S359&gt;='02_Parameters'!$B$20,S359&lt;='02_Parameters'!$B$21),S359,"")</f>
        <v/>
      </c>
      <c r="U359" s="16"/>
      <c r="V359" t="str">
        <f>IF(B359&lt;&gt;"Sensor Snapshot","",IF(S359="","Missing",IF(S359=-1,"Sensor failure sentinel (-1)",IF(OR(S359&lt;'02_Parameters'!$B$20,S359&gt;'02_Parameters'!$B$21),"Out of accepted range","Valid"))))</f>
        <v/>
      </c>
      <c r="W359" s="16"/>
      <c r="X359" s="16" t="str">
        <f t="shared" si="72"/>
        <v/>
      </c>
      <c r="Y359" t="str">
        <f t="shared" si="73"/>
        <v/>
      </c>
      <c r="Z359" s="16"/>
      <c r="AB359" t="str">
        <f>IF(B359&lt;&gt;"Sensor Snapshot","",IF(ISNUMBER(AA359),--(AA359&lt;&gt;0),IF(ISNUMBER(Z359),--(Z359&lt;'02_Parameters'!$B$15),"")))</f>
        <v/>
      </c>
      <c r="AC359" t="str">
        <f>IF(B359&lt;&gt;"Sensor Snapshot","",IF(ISNUMBER(X359),--(X359&gt;='02_Parameters'!$B$16),""))</f>
        <v/>
      </c>
      <c r="AD359">
        <v>0</v>
      </c>
      <c r="AE359" t="str">
        <f t="shared" si="74"/>
        <v/>
      </c>
      <c r="AF359" s="3" t="str">
        <f t="shared" si="75"/>
        <v/>
      </c>
      <c r="AG359" s="16"/>
      <c r="AH359" s="16" t="str">
        <f>IF(B359&lt;&gt;"Sensor Snapshot","",IF(ISNUMBER(AG359),IF(AG359&lt;0,"",IF(AG359&gt;10,AG359/'02_Parameters'!$B$17,AG359)),""))</f>
        <v/>
      </c>
      <c r="AI359" t="str">
        <f t="shared" si="76"/>
        <v/>
      </c>
      <c r="AJ359" t="str">
        <f t="shared" si="77"/>
        <v/>
      </c>
      <c r="AK359" t="str">
        <f t="shared" si="78"/>
        <v/>
      </c>
      <c r="AM359" t="str">
        <f t="shared" si="79"/>
        <v/>
      </c>
      <c r="AN359" t="str">
        <f>IF(B359&lt;&gt;"Sensor Snapshot","",--(N359&gt;='02_Parameters'!$B$13))</f>
        <v/>
      </c>
      <c r="AO359" t="str">
        <f>IF(B359&lt;&gt;"Sensor Snapshot","",--(AND(L359="PUMPING",ISNUMBER(AH359),AH359&lt;='02_Parameters'!$B$10)))</f>
        <v/>
      </c>
      <c r="AP359" s="16"/>
      <c r="AQ359" s="16" t="str">
        <f t="shared" si="80"/>
        <v/>
      </c>
      <c r="AR359" s="16" t="str">
        <f t="shared" si="81"/>
        <v/>
      </c>
      <c r="AW359" s="3" t="s">
        <v>377</v>
      </c>
      <c r="AX359" s="3" t="str">
        <f t="shared" si="82"/>
        <v/>
      </c>
      <c r="AY359" s="3" t="str">
        <f t="shared" si="83"/>
        <v/>
      </c>
      <c r="AZ359" s="3" t="s">
        <v>247</v>
      </c>
      <c r="BA359" s="3"/>
    </row>
    <row r="360" spans="1:53" ht="41.4">
      <c r="A360" t="s">
        <v>680</v>
      </c>
      <c r="B360" t="s">
        <v>231</v>
      </c>
      <c r="C360" s="14">
        <v>1143518</v>
      </c>
      <c r="D360" s="15">
        <f t="shared" si="70"/>
        <v>1143.518</v>
      </c>
      <c r="E360" t="s">
        <v>232</v>
      </c>
      <c r="G360" t="s">
        <v>234</v>
      </c>
      <c r="H360" t="s">
        <v>235</v>
      </c>
      <c r="I360" s="3"/>
      <c r="J360" s="3"/>
      <c r="K360">
        <v>4</v>
      </c>
      <c r="L360" t="s">
        <v>571</v>
      </c>
      <c r="M360">
        <f t="shared" si="71"/>
        <v>2</v>
      </c>
      <c r="N360">
        <v>0</v>
      </c>
      <c r="O360" s="16">
        <v>-1</v>
      </c>
      <c r="P360" s="16" t="str">
        <f>IF(AND(ISNUMBER(O360),O360&lt;&gt;-1,O360&gt;='02_Parameters'!$B$18,O360&lt;='02_Parameters'!$B$19),O360,"")</f>
        <v/>
      </c>
      <c r="Q360" s="16">
        <v>28</v>
      </c>
      <c r="R360" t="str">
        <f>IF(B360&lt;&gt;"Sensor Snapshot","",IF(O360="","Missing",IF(O360=-1,"Sensor failure sentinel (-1)",IF(OR(O360&lt;'02_Parameters'!$B$18,O360&gt;'02_Parameters'!$B$19),"Out of accepted range","Valid"))))</f>
        <v>Sensor failure sentinel (-1)</v>
      </c>
      <c r="S360" s="16">
        <v>-1</v>
      </c>
      <c r="T360" s="16" t="str">
        <f>IF(AND(ISNUMBER(S360),S360&lt;&gt;-1,S360&gt;='02_Parameters'!$B$20,S360&lt;='02_Parameters'!$B$21),S360,"")</f>
        <v/>
      </c>
      <c r="U360" s="16">
        <v>83</v>
      </c>
      <c r="V360" t="str">
        <f>IF(B360&lt;&gt;"Sensor Snapshot","",IF(S360="","Missing",IF(S360=-1,"Sensor failure sentinel (-1)",IF(OR(S360&lt;'02_Parameters'!$B$20,S360&gt;'02_Parameters'!$B$21),"Out of accepted range","Valid"))))</f>
        <v>Sensor failure sentinel (-1)</v>
      </c>
      <c r="W360" s="16">
        <v>1.5</v>
      </c>
      <c r="X360" s="16">
        <f t="shared" si="72"/>
        <v>1.5</v>
      </c>
      <c r="Y360" t="str">
        <f t="shared" si="73"/>
        <v>Valid</v>
      </c>
      <c r="Z360" s="16"/>
      <c r="AA360">
        <v>1</v>
      </c>
      <c r="AB360">
        <f>IF(B360&lt;&gt;"Sensor Snapshot","",IF(ISNUMBER(AA360),--(AA360&lt;&gt;0),IF(ISNUMBER(Z360),--(Z360&lt;'02_Parameters'!$B$15),"")))</f>
        <v>1</v>
      </c>
      <c r="AC360">
        <f>IF(B360&lt;&gt;"Sensor Snapshot","",IF(ISNUMBER(X360),--(X360&gt;='02_Parameters'!$B$16),""))</f>
        <v>0</v>
      </c>
      <c r="AD360">
        <v>0</v>
      </c>
      <c r="AE360">
        <f t="shared" si="74"/>
        <v>0</v>
      </c>
      <c r="AF360" s="3" t="str">
        <f t="shared" si="75"/>
        <v>Partial detection only</v>
      </c>
      <c r="AG360" s="16">
        <v>78.106999999999999</v>
      </c>
      <c r="AH360" s="16">
        <f>IF(B360&lt;&gt;"Sensor Snapshot","",IF(ISNUMBER(AG360),IF(AG360&lt;0,"",IF(AG360&gt;10,AG360/'02_Parameters'!$B$17,AG360)),""))</f>
        <v>0.78107000000000004</v>
      </c>
      <c r="AI360" t="str">
        <f t="shared" si="76"/>
        <v>Normalized from high-scale log</v>
      </c>
      <c r="AJ360">
        <f t="shared" si="77"/>
        <v>1</v>
      </c>
      <c r="AK360">
        <f t="shared" si="78"/>
        <v>0</v>
      </c>
      <c r="AL360">
        <v>0</v>
      </c>
      <c r="AM360">
        <f t="shared" si="79"/>
        <v>0</v>
      </c>
      <c r="AN360">
        <f>IF(B360&lt;&gt;"Sensor Snapshot","",--(N360&gt;='02_Parameters'!$B$13))</f>
        <v>0</v>
      </c>
      <c r="AO360">
        <f>IF(B360&lt;&gt;"Sensor Snapshot","",--(AND(L360="PUMPING",ISNUMBER(AH360),AH360&lt;='02_Parameters'!$B$10)))</f>
        <v>0</v>
      </c>
      <c r="AP360" s="16"/>
      <c r="AQ360" s="16" t="str">
        <f t="shared" si="80"/>
        <v/>
      </c>
      <c r="AR360" s="16" t="str">
        <f t="shared" si="81"/>
        <v/>
      </c>
      <c r="AU360" t="s">
        <v>236</v>
      </c>
      <c r="AV360" t="s">
        <v>237</v>
      </c>
      <c r="AW360" s="3" t="s">
        <v>599</v>
      </c>
      <c r="AX360" s="3">
        <f t="shared" si="82"/>
        <v>60</v>
      </c>
      <c r="AY360" s="3" t="str">
        <f t="shared" si="83"/>
        <v>C</v>
      </c>
      <c r="AZ360" s="3" t="s">
        <v>386</v>
      </c>
      <c r="BA360" s="3"/>
    </row>
    <row r="361" spans="1:53" ht="27.6">
      <c r="A361" t="s">
        <v>681</v>
      </c>
      <c r="B361" t="s">
        <v>242</v>
      </c>
      <c r="C361" s="14">
        <v>1143518</v>
      </c>
      <c r="D361" s="15">
        <f t="shared" si="70"/>
        <v>1143.518</v>
      </c>
      <c r="E361" t="s">
        <v>232</v>
      </c>
      <c r="G361" t="s">
        <v>157</v>
      </c>
      <c r="H361" t="s">
        <v>374</v>
      </c>
      <c r="I361" s="3" t="s">
        <v>575</v>
      </c>
      <c r="J361" s="3" t="s">
        <v>576</v>
      </c>
      <c r="K361">
        <v>4</v>
      </c>
      <c r="L361" t="s">
        <v>571</v>
      </c>
      <c r="M361">
        <f t="shared" si="71"/>
        <v>2</v>
      </c>
      <c r="O361" s="16"/>
      <c r="P361" s="16" t="str">
        <f>IF(AND(ISNUMBER(O361),O361&lt;&gt;-1,O361&gt;='02_Parameters'!$B$18,O361&lt;='02_Parameters'!$B$19),O361,"")</f>
        <v/>
      </c>
      <c r="Q361" s="16"/>
      <c r="R361" t="str">
        <f>IF(B361&lt;&gt;"Sensor Snapshot","",IF(O361="","Missing",IF(O361=-1,"Sensor failure sentinel (-1)",IF(OR(O361&lt;'02_Parameters'!$B$18,O361&gt;'02_Parameters'!$B$19),"Out of accepted range","Valid"))))</f>
        <v/>
      </c>
      <c r="S361" s="16"/>
      <c r="T361" s="16" t="str">
        <f>IF(AND(ISNUMBER(S361),S361&lt;&gt;-1,S361&gt;='02_Parameters'!$B$20,S361&lt;='02_Parameters'!$B$21),S361,"")</f>
        <v/>
      </c>
      <c r="U361" s="16"/>
      <c r="V361" t="str">
        <f>IF(B361&lt;&gt;"Sensor Snapshot","",IF(S361="","Missing",IF(S361=-1,"Sensor failure sentinel (-1)",IF(OR(S361&lt;'02_Parameters'!$B$20,S361&gt;'02_Parameters'!$B$21),"Out of accepted range","Valid"))))</f>
        <v/>
      </c>
      <c r="W361" s="16"/>
      <c r="X361" s="16" t="str">
        <f t="shared" si="72"/>
        <v/>
      </c>
      <c r="Y361" t="str">
        <f t="shared" si="73"/>
        <v/>
      </c>
      <c r="Z361" s="16"/>
      <c r="AB361" t="str">
        <f>IF(B361&lt;&gt;"Sensor Snapshot","",IF(ISNUMBER(AA361),--(AA361&lt;&gt;0),IF(ISNUMBER(Z361),--(Z361&lt;'02_Parameters'!$B$15),"")))</f>
        <v/>
      </c>
      <c r="AC361" t="str">
        <f>IF(B361&lt;&gt;"Sensor Snapshot","",IF(ISNUMBER(X361),--(X361&gt;='02_Parameters'!$B$16),""))</f>
        <v/>
      </c>
      <c r="AD361">
        <v>0</v>
      </c>
      <c r="AE361" t="str">
        <f t="shared" si="74"/>
        <v/>
      </c>
      <c r="AF361" s="3" t="str">
        <f t="shared" si="75"/>
        <v/>
      </c>
      <c r="AG361" s="16"/>
      <c r="AH361" s="16" t="str">
        <f>IF(B361&lt;&gt;"Sensor Snapshot","",IF(ISNUMBER(AG361),IF(AG361&lt;0,"",IF(AG361&gt;10,AG361/'02_Parameters'!$B$17,AG361)),""))</f>
        <v/>
      </c>
      <c r="AI361" t="str">
        <f t="shared" si="76"/>
        <v/>
      </c>
      <c r="AJ361" t="str">
        <f t="shared" si="77"/>
        <v/>
      </c>
      <c r="AK361" t="str">
        <f t="shared" si="78"/>
        <v/>
      </c>
      <c r="AM361" t="str">
        <f t="shared" si="79"/>
        <v/>
      </c>
      <c r="AN361" t="str">
        <f>IF(B361&lt;&gt;"Sensor Snapshot","",--(N361&gt;='02_Parameters'!$B$13))</f>
        <v/>
      </c>
      <c r="AO361" t="str">
        <f>IF(B361&lt;&gt;"Sensor Snapshot","",--(AND(L361="PUMPING",ISNUMBER(AH361),AH361&lt;='02_Parameters'!$B$10)))</f>
        <v/>
      </c>
      <c r="AP361" s="16"/>
      <c r="AQ361" s="16" t="str">
        <f t="shared" si="80"/>
        <v/>
      </c>
      <c r="AR361" s="16" t="str">
        <f t="shared" si="81"/>
        <v/>
      </c>
      <c r="AW361" s="3" t="s">
        <v>377</v>
      </c>
      <c r="AX361" s="3" t="str">
        <f t="shared" si="82"/>
        <v/>
      </c>
      <c r="AY361" s="3" t="str">
        <f t="shared" si="83"/>
        <v/>
      </c>
      <c r="AZ361" s="3" t="s">
        <v>247</v>
      </c>
      <c r="BA361" s="3"/>
    </row>
    <row r="362" spans="1:53" ht="55.2">
      <c r="A362" t="s">
        <v>682</v>
      </c>
      <c r="B362" t="s">
        <v>231</v>
      </c>
      <c r="C362" s="14">
        <v>1148517</v>
      </c>
      <c r="D362" s="15">
        <f t="shared" si="70"/>
        <v>1148.5170000000001</v>
      </c>
      <c r="E362" t="s">
        <v>232</v>
      </c>
      <c r="G362" t="s">
        <v>234</v>
      </c>
      <c r="H362" t="s">
        <v>235</v>
      </c>
      <c r="I362" s="3"/>
      <c r="J362" s="3"/>
      <c r="K362">
        <v>4</v>
      </c>
      <c r="L362" t="s">
        <v>571</v>
      </c>
      <c r="M362">
        <f t="shared" si="71"/>
        <v>2</v>
      </c>
      <c r="N362">
        <v>0</v>
      </c>
      <c r="O362" s="16">
        <v>-1</v>
      </c>
      <c r="P362" s="16" t="str">
        <f>IF(AND(ISNUMBER(O362),O362&lt;&gt;-1,O362&gt;='02_Parameters'!$B$18,O362&lt;='02_Parameters'!$B$19),O362,"")</f>
        <v/>
      </c>
      <c r="Q362" s="16">
        <v>28</v>
      </c>
      <c r="R362" t="str">
        <f>IF(B362&lt;&gt;"Sensor Snapshot","",IF(O362="","Missing",IF(O362=-1,"Sensor failure sentinel (-1)",IF(OR(O362&lt;'02_Parameters'!$B$18,O362&gt;'02_Parameters'!$B$19),"Out of accepted range","Valid"))))</f>
        <v>Sensor failure sentinel (-1)</v>
      </c>
      <c r="S362" s="16">
        <v>-1</v>
      </c>
      <c r="T362" s="16" t="str">
        <f>IF(AND(ISNUMBER(S362),S362&lt;&gt;-1,S362&gt;='02_Parameters'!$B$20,S362&lt;='02_Parameters'!$B$21),S362,"")</f>
        <v/>
      </c>
      <c r="U362" s="16">
        <v>83</v>
      </c>
      <c r="V362" t="str">
        <f>IF(B362&lt;&gt;"Sensor Snapshot","",IF(S362="","Missing",IF(S362=-1,"Sensor failure sentinel (-1)",IF(OR(S362&lt;'02_Parameters'!$B$20,S362&gt;'02_Parameters'!$B$21),"Out of accepted range","Valid"))))</f>
        <v>Sensor failure sentinel (-1)</v>
      </c>
      <c r="W362" s="16">
        <v>-0.3</v>
      </c>
      <c r="X362" s="16">
        <f t="shared" si="72"/>
        <v>0.3</v>
      </c>
      <c r="Y362" t="str">
        <f t="shared" si="73"/>
        <v>Sign corrected to positive</v>
      </c>
      <c r="Z362" s="16"/>
      <c r="AA362">
        <v>1</v>
      </c>
      <c r="AB362">
        <f>IF(B362&lt;&gt;"Sensor Snapshot","",IF(ISNUMBER(AA362),--(AA362&lt;&gt;0),IF(ISNUMBER(Z362),--(Z362&lt;'02_Parameters'!$B$15),"")))</f>
        <v>1</v>
      </c>
      <c r="AC362">
        <f>IF(B362&lt;&gt;"Sensor Snapshot","",IF(ISNUMBER(X362),--(X362&gt;='02_Parameters'!$B$16),""))</f>
        <v>0</v>
      </c>
      <c r="AD362">
        <v>0</v>
      </c>
      <c r="AE362">
        <f t="shared" si="74"/>
        <v>0</v>
      </c>
      <c r="AF362" s="3" t="str">
        <f t="shared" si="75"/>
        <v>Partial detection only</v>
      </c>
      <c r="AG362" s="16">
        <v>78.08</v>
      </c>
      <c r="AH362" s="16">
        <f>IF(B362&lt;&gt;"Sensor Snapshot","",IF(ISNUMBER(AG362),IF(AG362&lt;0,"",IF(AG362&gt;10,AG362/'02_Parameters'!$B$17,AG362)),""))</f>
        <v>0.78079999999999994</v>
      </c>
      <c r="AI362" t="str">
        <f t="shared" si="76"/>
        <v>Normalized from high-scale log</v>
      </c>
      <c r="AJ362">
        <f t="shared" si="77"/>
        <v>1</v>
      </c>
      <c r="AK362">
        <f t="shared" si="78"/>
        <v>0</v>
      </c>
      <c r="AL362">
        <v>0</v>
      </c>
      <c r="AM362">
        <f t="shared" si="79"/>
        <v>0</v>
      </c>
      <c r="AN362">
        <f>IF(B362&lt;&gt;"Sensor Snapshot","",--(N362&gt;='02_Parameters'!$B$13))</f>
        <v>0</v>
      </c>
      <c r="AO362">
        <f>IF(B362&lt;&gt;"Sensor Snapshot","",--(AND(L362="PUMPING",ISNUMBER(AH362),AH362&lt;='02_Parameters'!$B$10)))</f>
        <v>0</v>
      </c>
      <c r="AP362" s="16"/>
      <c r="AQ362" s="16" t="str">
        <f t="shared" si="80"/>
        <v/>
      </c>
      <c r="AR362" s="16" t="str">
        <f t="shared" si="81"/>
        <v/>
      </c>
      <c r="AU362" t="s">
        <v>236</v>
      </c>
      <c r="AV362" t="s">
        <v>237</v>
      </c>
      <c r="AW362" s="3" t="s">
        <v>330</v>
      </c>
      <c r="AX362" s="3">
        <f t="shared" si="82"/>
        <v>60</v>
      </c>
      <c r="AY362" s="3" t="str">
        <f t="shared" si="83"/>
        <v>C</v>
      </c>
      <c r="AZ362" s="3" t="s">
        <v>386</v>
      </c>
      <c r="BA362" s="3"/>
    </row>
    <row r="363" spans="1:53" ht="27.6">
      <c r="A363" t="s">
        <v>683</v>
      </c>
      <c r="B363" t="s">
        <v>242</v>
      </c>
      <c r="C363" s="14">
        <v>1148517</v>
      </c>
      <c r="D363" s="15">
        <f t="shared" si="70"/>
        <v>1148.5170000000001</v>
      </c>
      <c r="E363" t="s">
        <v>232</v>
      </c>
      <c r="G363" t="s">
        <v>157</v>
      </c>
      <c r="H363" t="s">
        <v>374</v>
      </c>
      <c r="I363" s="3" t="s">
        <v>575</v>
      </c>
      <c r="J363" s="3" t="s">
        <v>576</v>
      </c>
      <c r="K363">
        <v>4</v>
      </c>
      <c r="L363" t="s">
        <v>571</v>
      </c>
      <c r="M363">
        <f t="shared" si="71"/>
        <v>2</v>
      </c>
      <c r="O363" s="16"/>
      <c r="P363" s="16" t="str">
        <f>IF(AND(ISNUMBER(O363),O363&lt;&gt;-1,O363&gt;='02_Parameters'!$B$18,O363&lt;='02_Parameters'!$B$19),O363,"")</f>
        <v/>
      </c>
      <c r="Q363" s="16"/>
      <c r="R363" t="str">
        <f>IF(B363&lt;&gt;"Sensor Snapshot","",IF(O363="","Missing",IF(O363=-1,"Sensor failure sentinel (-1)",IF(OR(O363&lt;'02_Parameters'!$B$18,O363&gt;'02_Parameters'!$B$19),"Out of accepted range","Valid"))))</f>
        <v/>
      </c>
      <c r="S363" s="16"/>
      <c r="T363" s="16" t="str">
        <f>IF(AND(ISNUMBER(S363),S363&lt;&gt;-1,S363&gt;='02_Parameters'!$B$20,S363&lt;='02_Parameters'!$B$21),S363,"")</f>
        <v/>
      </c>
      <c r="U363" s="16"/>
      <c r="V363" t="str">
        <f>IF(B363&lt;&gt;"Sensor Snapshot","",IF(S363="","Missing",IF(S363=-1,"Sensor failure sentinel (-1)",IF(OR(S363&lt;'02_Parameters'!$B$20,S363&gt;'02_Parameters'!$B$21),"Out of accepted range","Valid"))))</f>
        <v/>
      </c>
      <c r="W363" s="16"/>
      <c r="X363" s="16" t="str">
        <f t="shared" si="72"/>
        <v/>
      </c>
      <c r="Y363" t="str">
        <f t="shared" si="73"/>
        <v/>
      </c>
      <c r="Z363" s="16"/>
      <c r="AB363" t="str">
        <f>IF(B363&lt;&gt;"Sensor Snapshot","",IF(ISNUMBER(AA363),--(AA363&lt;&gt;0),IF(ISNUMBER(Z363),--(Z363&lt;'02_Parameters'!$B$15),"")))</f>
        <v/>
      </c>
      <c r="AC363" t="str">
        <f>IF(B363&lt;&gt;"Sensor Snapshot","",IF(ISNUMBER(X363),--(X363&gt;='02_Parameters'!$B$16),""))</f>
        <v/>
      </c>
      <c r="AD363">
        <v>0</v>
      </c>
      <c r="AE363" t="str">
        <f t="shared" si="74"/>
        <v/>
      </c>
      <c r="AF363" s="3" t="str">
        <f t="shared" si="75"/>
        <v/>
      </c>
      <c r="AG363" s="16"/>
      <c r="AH363" s="16" t="str">
        <f>IF(B363&lt;&gt;"Sensor Snapshot","",IF(ISNUMBER(AG363),IF(AG363&lt;0,"",IF(AG363&gt;10,AG363/'02_Parameters'!$B$17,AG363)),""))</f>
        <v/>
      </c>
      <c r="AI363" t="str">
        <f t="shared" si="76"/>
        <v/>
      </c>
      <c r="AJ363" t="str">
        <f t="shared" si="77"/>
        <v/>
      </c>
      <c r="AK363" t="str">
        <f t="shared" si="78"/>
        <v/>
      </c>
      <c r="AM363" t="str">
        <f t="shared" si="79"/>
        <v/>
      </c>
      <c r="AN363" t="str">
        <f>IF(B363&lt;&gt;"Sensor Snapshot","",--(N363&gt;='02_Parameters'!$B$13))</f>
        <v/>
      </c>
      <c r="AO363" t="str">
        <f>IF(B363&lt;&gt;"Sensor Snapshot","",--(AND(L363="PUMPING",ISNUMBER(AH363),AH363&lt;='02_Parameters'!$B$10)))</f>
        <v/>
      </c>
      <c r="AP363" s="16"/>
      <c r="AQ363" s="16" t="str">
        <f t="shared" si="80"/>
        <v/>
      </c>
      <c r="AR363" s="16" t="str">
        <f t="shared" si="81"/>
        <v/>
      </c>
      <c r="AW363" s="3" t="s">
        <v>377</v>
      </c>
      <c r="AX363" s="3" t="str">
        <f t="shared" si="82"/>
        <v/>
      </c>
      <c r="AY363" s="3" t="str">
        <f t="shared" si="83"/>
        <v/>
      </c>
      <c r="AZ363" s="3" t="s">
        <v>247</v>
      </c>
      <c r="BA363" s="3"/>
    </row>
    <row r="364" spans="1:53" ht="55.2">
      <c r="A364" t="s">
        <v>684</v>
      </c>
      <c r="B364" t="s">
        <v>231</v>
      </c>
      <c r="C364" s="14">
        <v>1153517</v>
      </c>
      <c r="D364" s="15">
        <f t="shared" si="70"/>
        <v>1153.5170000000001</v>
      </c>
      <c r="E364" t="s">
        <v>232</v>
      </c>
      <c r="G364" t="s">
        <v>234</v>
      </c>
      <c r="H364" t="s">
        <v>235</v>
      </c>
      <c r="I364" s="3"/>
      <c r="J364" s="3"/>
      <c r="K364">
        <v>4</v>
      </c>
      <c r="L364" t="s">
        <v>571</v>
      </c>
      <c r="M364">
        <f t="shared" si="71"/>
        <v>2</v>
      </c>
      <c r="N364">
        <v>0</v>
      </c>
      <c r="O364" s="16">
        <v>-1</v>
      </c>
      <c r="P364" s="16" t="str">
        <f>IF(AND(ISNUMBER(O364),O364&lt;&gt;-1,O364&gt;='02_Parameters'!$B$18,O364&lt;='02_Parameters'!$B$19),O364,"")</f>
        <v/>
      </c>
      <c r="Q364" s="16">
        <v>28</v>
      </c>
      <c r="R364" t="str">
        <f>IF(B364&lt;&gt;"Sensor Snapshot","",IF(O364="","Missing",IF(O364=-1,"Sensor failure sentinel (-1)",IF(OR(O364&lt;'02_Parameters'!$B$18,O364&gt;'02_Parameters'!$B$19),"Out of accepted range","Valid"))))</f>
        <v>Sensor failure sentinel (-1)</v>
      </c>
      <c r="S364" s="16">
        <v>-1</v>
      </c>
      <c r="T364" s="16" t="str">
        <f>IF(AND(ISNUMBER(S364),S364&lt;&gt;-1,S364&gt;='02_Parameters'!$B$20,S364&lt;='02_Parameters'!$B$21),S364,"")</f>
        <v/>
      </c>
      <c r="U364" s="16">
        <v>83</v>
      </c>
      <c r="V364" t="str">
        <f>IF(B364&lt;&gt;"Sensor Snapshot","",IF(S364="","Missing",IF(S364=-1,"Sensor failure sentinel (-1)",IF(OR(S364&lt;'02_Parameters'!$B$20,S364&gt;'02_Parameters'!$B$21),"Out of accepted range","Valid"))))</f>
        <v>Sensor failure sentinel (-1)</v>
      </c>
      <c r="W364" s="16">
        <v>-1.7</v>
      </c>
      <c r="X364" s="16">
        <f t="shared" si="72"/>
        <v>1.7</v>
      </c>
      <c r="Y364" t="str">
        <f t="shared" si="73"/>
        <v>Sign corrected to positive</v>
      </c>
      <c r="Z364" s="16"/>
      <c r="AA364">
        <v>1</v>
      </c>
      <c r="AB364">
        <f>IF(B364&lt;&gt;"Sensor Snapshot","",IF(ISNUMBER(AA364),--(AA364&lt;&gt;0),IF(ISNUMBER(Z364),--(Z364&lt;'02_Parameters'!$B$15),"")))</f>
        <v>1</v>
      </c>
      <c r="AC364">
        <f>IF(B364&lt;&gt;"Sensor Snapshot","",IF(ISNUMBER(X364),--(X364&gt;='02_Parameters'!$B$16),""))</f>
        <v>0</v>
      </c>
      <c r="AD364">
        <v>0</v>
      </c>
      <c r="AE364">
        <f t="shared" si="74"/>
        <v>0</v>
      </c>
      <c r="AF364" s="3" t="str">
        <f t="shared" si="75"/>
        <v>Partial detection only</v>
      </c>
      <c r="AG364" s="16">
        <v>79.52</v>
      </c>
      <c r="AH364" s="16">
        <f>IF(B364&lt;&gt;"Sensor Snapshot","",IF(ISNUMBER(AG364),IF(AG364&lt;0,"",IF(AG364&gt;10,AG364/'02_Parameters'!$B$17,AG364)),""))</f>
        <v>0.79519999999999991</v>
      </c>
      <c r="AI364" t="str">
        <f t="shared" si="76"/>
        <v>Normalized from high-scale log</v>
      </c>
      <c r="AJ364">
        <f t="shared" si="77"/>
        <v>1</v>
      </c>
      <c r="AK364">
        <f t="shared" si="78"/>
        <v>0</v>
      </c>
      <c r="AL364">
        <v>0</v>
      </c>
      <c r="AM364">
        <f t="shared" si="79"/>
        <v>0</v>
      </c>
      <c r="AN364">
        <f>IF(B364&lt;&gt;"Sensor Snapshot","",--(N364&gt;='02_Parameters'!$B$13))</f>
        <v>0</v>
      </c>
      <c r="AO364">
        <f>IF(B364&lt;&gt;"Sensor Snapshot","",--(AND(L364="PUMPING",ISNUMBER(AH364),AH364&lt;='02_Parameters'!$B$10)))</f>
        <v>0</v>
      </c>
      <c r="AP364" s="16"/>
      <c r="AQ364" s="16" t="str">
        <f t="shared" si="80"/>
        <v/>
      </c>
      <c r="AR364" s="16" t="str">
        <f t="shared" si="81"/>
        <v/>
      </c>
      <c r="AU364" t="s">
        <v>236</v>
      </c>
      <c r="AV364" t="s">
        <v>237</v>
      </c>
      <c r="AW364" s="3" t="s">
        <v>330</v>
      </c>
      <c r="AX364" s="3">
        <f t="shared" si="82"/>
        <v>60</v>
      </c>
      <c r="AY364" s="3" t="str">
        <f t="shared" si="83"/>
        <v>C</v>
      </c>
      <c r="AZ364" s="3" t="s">
        <v>386</v>
      </c>
      <c r="BA364" s="3"/>
    </row>
    <row r="365" spans="1:53" ht="27.6">
      <c r="A365" t="s">
        <v>685</v>
      </c>
      <c r="B365" t="s">
        <v>242</v>
      </c>
      <c r="C365" s="14">
        <v>1153517</v>
      </c>
      <c r="D365" s="15">
        <f t="shared" si="70"/>
        <v>1153.5170000000001</v>
      </c>
      <c r="E365" t="s">
        <v>232</v>
      </c>
      <c r="G365" t="s">
        <v>157</v>
      </c>
      <c r="H365" t="s">
        <v>374</v>
      </c>
      <c r="I365" s="3" t="s">
        <v>575</v>
      </c>
      <c r="J365" s="3" t="s">
        <v>576</v>
      </c>
      <c r="K365">
        <v>4</v>
      </c>
      <c r="L365" t="s">
        <v>571</v>
      </c>
      <c r="M365">
        <f t="shared" si="71"/>
        <v>2</v>
      </c>
      <c r="O365" s="16"/>
      <c r="P365" s="16" t="str">
        <f>IF(AND(ISNUMBER(O365),O365&lt;&gt;-1,O365&gt;='02_Parameters'!$B$18,O365&lt;='02_Parameters'!$B$19),O365,"")</f>
        <v/>
      </c>
      <c r="Q365" s="16"/>
      <c r="R365" t="str">
        <f>IF(B365&lt;&gt;"Sensor Snapshot","",IF(O365="","Missing",IF(O365=-1,"Sensor failure sentinel (-1)",IF(OR(O365&lt;'02_Parameters'!$B$18,O365&gt;'02_Parameters'!$B$19),"Out of accepted range","Valid"))))</f>
        <v/>
      </c>
      <c r="S365" s="16"/>
      <c r="T365" s="16" t="str">
        <f>IF(AND(ISNUMBER(S365),S365&lt;&gt;-1,S365&gt;='02_Parameters'!$B$20,S365&lt;='02_Parameters'!$B$21),S365,"")</f>
        <v/>
      </c>
      <c r="U365" s="16"/>
      <c r="V365" t="str">
        <f>IF(B365&lt;&gt;"Sensor Snapshot","",IF(S365="","Missing",IF(S365=-1,"Sensor failure sentinel (-1)",IF(OR(S365&lt;'02_Parameters'!$B$20,S365&gt;'02_Parameters'!$B$21),"Out of accepted range","Valid"))))</f>
        <v/>
      </c>
      <c r="W365" s="16"/>
      <c r="X365" s="16" t="str">
        <f t="shared" si="72"/>
        <v/>
      </c>
      <c r="Y365" t="str">
        <f t="shared" si="73"/>
        <v/>
      </c>
      <c r="Z365" s="16"/>
      <c r="AB365" t="str">
        <f>IF(B365&lt;&gt;"Sensor Snapshot","",IF(ISNUMBER(AA365),--(AA365&lt;&gt;0),IF(ISNUMBER(Z365),--(Z365&lt;'02_Parameters'!$B$15),"")))</f>
        <v/>
      </c>
      <c r="AC365" t="str">
        <f>IF(B365&lt;&gt;"Sensor Snapshot","",IF(ISNUMBER(X365),--(X365&gt;='02_Parameters'!$B$16),""))</f>
        <v/>
      </c>
      <c r="AD365">
        <v>0</v>
      </c>
      <c r="AE365" t="str">
        <f t="shared" si="74"/>
        <v/>
      </c>
      <c r="AF365" s="3" t="str">
        <f t="shared" si="75"/>
        <v/>
      </c>
      <c r="AG365" s="16"/>
      <c r="AH365" s="16" t="str">
        <f>IF(B365&lt;&gt;"Sensor Snapshot","",IF(ISNUMBER(AG365),IF(AG365&lt;0,"",IF(AG365&gt;10,AG365/'02_Parameters'!$B$17,AG365)),""))</f>
        <v/>
      </c>
      <c r="AI365" t="str">
        <f t="shared" si="76"/>
        <v/>
      </c>
      <c r="AJ365" t="str">
        <f t="shared" si="77"/>
        <v/>
      </c>
      <c r="AK365" t="str">
        <f t="shared" si="78"/>
        <v/>
      </c>
      <c r="AM365" t="str">
        <f t="shared" si="79"/>
        <v/>
      </c>
      <c r="AN365" t="str">
        <f>IF(B365&lt;&gt;"Sensor Snapshot","",--(N365&gt;='02_Parameters'!$B$13))</f>
        <v/>
      </c>
      <c r="AO365" t="str">
        <f>IF(B365&lt;&gt;"Sensor Snapshot","",--(AND(L365="PUMPING",ISNUMBER(AH365),AH365&lt;='02_Parameters'!$B$10)))</f>
        <v/>
      </c>
      <c r="AP365" s="16"/>
      <c r="AQ365" s="16" t="str">
        <f t="shared" si="80"/>
        <v/>
      </c>
      <c r="AR365" s="16" t="str">
        <f t="shared" si="81"/>
        <v/>
      </c>
      <c r="AW365" s="3" t="s">
        <v>377</v>
      </c>
      <c r="AX365" s="3" t="str">
        <f t="shared" si="82"/>
        <v/>
      </c>
      <c r="AY365" s="3" t="str">
        <f t="shared" si="83"/>
        <v/>
      </c>
      <c r="AZ365" s="3" t="s">
        <v>247</v>
      </c>
      <c r="BA365" s="3"/>
    </row>
    <row r="366" spans="1:53" ht="55.2">
      <c r="A366" t="s">
        <v>686</v>
      </c>
      <c r="B366" t="s">
        <v>231</v>
      </c>
      <c r="C366" s="14">
        <v>1158517</v>
      </c>
      <c r="D366" s="15">
        <f t="shared" si="70"/>
        <v>1158.5170000000001</v>
      </c>
      <c r="E366" t="s">
        <v>232</v>
      </c>
      <c r="G366" t="s">
        <v>234</v>
      </c>
      <c r="H366" t="s">
        <v>235</v>
      </c>
      <c r="I366" s="3"/>
      <c r="J366" s="3"/>
      <c r="K366">
        <v>4</v>
      </c>
      <c r="L366" t="s">
        <v>571</v>
      </c>
      <c r="M366">
        <f t="shared" si="71"/>
        <v>2</v>
      </c>
      <c r="N366">
        <v>0</v>
      </c>
      <c r="O366" s="16">
        <v>-1</v>
      </c>
      <c r="P366" s="16" t="str">
        <f>IF(AND(ISNUMBER(O366),O366&lt;&gt;-1,O366&gt;='02_Parameters'!$B$18,O366&lt;='02_Parameters'!$B$19),O366,"")</f>
        <v/>
      </c>
      <c r="Q366" s="16">
        <v>28</v>
      </c>
      <c r="R366" t="str">
        <f>IF(B366&lt;&gt;"Sensor Snapshot","",IF(O366="","Missing",IF(O366=-1,"Sensor failure sentinel (-1)",IF(OR(O366&lt;'02_Parameters'!$B$18,O366&gt;'02_Parameters'!$B$19),"Out of accepted range","Valid"))))</f>
        <v>Sensor failure sentinel (-1)</v>
      </c>
      <c r="S366" s="16">
        <v>-1</v>
      </c>
      <c r="T366" s="16" t="str">
        <f>IF(AND(ISNUMBER(S366),S366&lt;&gt;-1,S366&gt;='02_Parameters'!$B$20,S366&lt;='02_Parameters'!$B$21),S366,"")</f>
        <v/>
      </c>
      <c r="U366" s="16">
        <v>83</v>
      </c>
      <c r="V366" t="str">
        <f>IF(B366&lt;&gt;"Sensor Snapshot","",IF(S366="","Missing",IF(S366=-1,"Sensor failure sentinel (-1)",IF(OR(S366&lt;'02_Parameters'!$B$20,S366&gt;'02_Parameters'!$B$21),"Out of accepted range","Valid"))))</f>
        <v>Sensor failure sentinel (-1)</v>
      </c>
      <c r="W366" s="16">
        <v>-1.7</v>
      </c>
      <c r="X366" s="16">
        <f t="shared" si="72"/>
        <v>1.7</v>
      </c>
      <c r="Y366" t="str">
        <f t="shared" si="73"/>
        <v>Sign corrected to positive</v>
      </c>
      <c r="Z366" s="16"/>
      <c r="AA366">
        <v>1</v>
      </c>
      <c r="AB366">
        <f>IF(B366&lt;&gt;"Sensor Snapshot","",IF(ISNUMBER(AA366),--(AA366&lt;&gt;0),IF(ISNUMBER(Z366),--(Z366&lt;'02_Parameters'!$B$15),"")))</f>
        <v>1</v>
      </c>
      <c r="AC366">
        <f>IF(B366&lt;&gt;"Sensor Snapshot","",IF(ISNUMBER(X366),--(X366&gt;='02_Parameters'!$B$16),""))</f>
        <v>0</v>
      </c>
      <c r="AD366">
        <v>0</v>
      </c>
      <c r="AE366">
        <f t="shared" si="74"/>
        <v>0</v>
      </c>
      <c r="AF366" s="3" t="str">
        <f t="shared" si="75"/>
        <v>Partial detection only</v>
      </c>
      <c r="AG366" s="16">
        <v>74.533000000000001</v>
      </c>
      <c r="AH366" s="16">
        <f>IF(B366&lt;&gt;"Sensor Snapshot","",IF(ISNUMBER(AG366),IF(AG366&lt;0,"",IF(AG366&gt;10,AG366/'02_Parameters'!$B$17,AG366)),""))</f>
        <v>0.74533000000000005</v>
      </c>
      <c r="AI366" t="str">
        <f t="shared" si="76"/>
        <v>Normalized from high-scale log</v>
      </c>
      <c r="AJ366">
        <f t="shared" si="77"/>
        <v>1</v>
      </c>
      <c r="AK366">
        <f t="shared" si="78"/>
        <v>0</v>
      </c>
      <c r="AL366">
        <v>0</v>
      </c>
      <c r="AM366">
        <f t="shared" si="79"/>
        <v>0</v>
      </c>
      <c r="AN366">
        <f>IF(B366&lt;&gt;"Sensor Snapshot","",--(N366&gt;='02_Parameters'!$B$13))</f>
        <v>0</v>
      </c>
      <c r="AO366">
        <f>IF(B366&lt;&gt;"Sensor Snapshot","",--(AND(L366="PUMPING",ISNUMBER(AH366),AH366&lt;='02_Parameters'!$B$10)))</f>
        <v>0</v>
      </c>
      <c r="AP366" s="16"/>
      <c r="AQ366" s="16" t="str">
        <f t="shared" si="80"/>
        <v/>
      </c>
      <c r="AR366" s="16" t="str">
        <f t="shared" si="81"/>
        <v/>
      </c>
      <c r="AU366" t="s">
        <v>236</v>
      </c>
      <c r="AV366" t="s">
        <v>237</v>
      </c>
      <c r="AW366" s="3" t="s">
        <v>330</v>
      </c>
      <c r="AX366" s="3">
        <f t="shared" si="82"/>
        <v>60</v>
      </c>
      <c r="AY366" s="3" t="str">
        <f t="shared" si="83"/>
        <v>C</v>
      </c>
      <c r="AZ366" s="3" t="s">
        <v>386</v>
      </c>
      <c r="BA366" s="3"/>
    </row>
    <row r="367" spans="1:53" ht="27.6">
      <c r="A367" t="s">
        <v>687</v>
      </c>
      <c r="B367" t="s">
        <v>242</v>
      </c>
      <c r="C367" s="14">
        <v>1158517</v>
      </c>
      <c r="D367" s="15">
        <f t="shared" si="70"/>
        <v>1158.5170000000001</v>
      </c>
      <c r="E367" t="s">
        <v>232</v>
      </c>
      <c r="G367" t="s">
        <v>157</v>
      </c>
      <c r="H367" t="s">
        <v>374</v>
      </c>
      <c r="I367" s="3" t="s">
        <v>575</v>
      </c>
      <c r="J367" s="3" t="s">
        <v>576</v>
      </c>
      <c r="K367">
        <v>4</v>
      </c>
      <c r="L367" t="s">
        <v>571</v>
      </c>
      <c r="M367">
        <f t="shared" si="71"/>
        <v>2</v>
      </c>
      <c r="O367" s="16"/>
      <c r="P367" s="16" t="str">
        <f>IF(AND(ISNUMBER(O367),O367&lt;&gt;-1,O367&gt;='02_Parameters'!$B$18,O367&lt;='02_Parameters'!$B$19),O367,"")</f>
        <v/>
      </c>
      <c r="Q367" s="16"/>
      <c r="R367" t="str">
        <f>IF(B367&lt;&gt;"Sensor Snapshot","",IF(O367="","Missing",IF(O367=-1,"Sensor failure sentinel (-1)",IF(OR(O367&lt;'02_Parameters'!$B$18,O367&gt;'02_Parameters'!$B$19),"Out of accepted range","Valid"))))</f>
        <v/>
      </c>
      <c r="S367" s="16"/>
      <c r="T367" s="16" t="str">
        <f>IF(AND(ISNUMBER(S367),S367&lt;&gt;-1,S367&gt;='02_Parameters'!$B$20,S367&lt;='02_Parameters'!$B$21),S367,"")</f>
        <v/>
      </c>
      <c r="U367" s="16"/>
      <c r="V367" t="str">
        <f>IF(B367&lt;&gt;"Sensor Snapshot","",IF(S367="","Missing",IF(S367=-1,"Sensor failure sentinel (-1)",IF(OR(S367&lt;'02_Parameters'!$B$20,S367&gt;'02_Parameters'!$B$21),"Out of accepted range","Valid"))))</f>
        <v/>
      </c>
      <c r="W367" s="16"/>
      <c r="X367" s="16" t="str">
        <f t="shared" si="72"/>
        <v/>
      </c>
      <c r="Y367" t="str">
        <f t="shared" si="73"/>
        <v/>
      </c>
      <c r="Z367" s="16"/>
      <c r="AB367" t="str">
        <f>IF(B367&lt;&gt;"Sensor Snapshot","",IF(ISNUMBER(AA367),--(AA367&lt;&gt;0),IF(ISNUMBER(Z367),--(Z367&lt;'02_Parameters'!$B$15),"")))</f>
        <v/>
      </c>
      <c r="AC367" t="str">
        <f>IF(B367&lt;&gt;"Sensor Snapshot","",IF(ISNUMBER(X367),--(X367&gt;='02_Parameters'!$B$16),""))</f>
        <v/>
      </c>
      <c r="AD367">
        <v>0</v>
      </c>
      <c r="AE367" t="str">
        <f t="shared" si="74"/>
        <v/>
      </c>
      <c r="AF367" s="3" t="str">
        <f t="shared" si="75"/>
        <v/>
      </c>
      <c r="AG367" s="16"/>
      <c r="AH367" s="16" t="str">
        <f>IF(B367&lt;&gt;"Sensor Snapshot","",IF(ISNUMBER(AG367),IF(AG367&lt;0,"",IF(AG367&gt;10,AG367/'02_Parameters'!$B$17,AG367)),""))</f>
        <v/>
      </c>
      <c r="AI367" t="str">
        <f t="shared" si="76"/>
        <v/>
      </c>
      <c r="AJ367" t="str">
        <f t="shared" si="77"/>
        <v/>
      </c>
      <c r="AK367" t="str">
        <f t="shared" si="78"/>
        <v/>
      </c>
      <c r="AM367" t="str">
        <f t="shared" si="79"/>
        <v/>
      </c>
      <c r="AN367" t="str">
        <f>IF(B367&lt;&gt;"Sensor Snapshot","",--(N367&gt;='02_Parameters'!$B$13))</f>
        <v/>
      </c>
      <c r="AO367" t="str">
        <f>IF(B367&lt;&gt;"Sensor Snapshot","",--(AND(L367="PUMPING",ISNUMBER(AH367),AH367&lt;='02_Parameters'!$B$10)))</f>
        <v/>
      </c>
      <c r="AP367" s="16"/>
      <c r="AQ367" s="16" t="str">
        <f t="shared" si="80"/>
        <v/>
      </c>
      <c r="AR367" s="16" t="str">
        <f t="shared" si="81"/>
        <v/>
      </c>
      <c r="AW367" s="3" t="s">
        <v>377</v>
      </c>
      <c r="AX367" s="3" t="str">
        <f t="shared" si="82"/>
        <v/>
      </c>
      <c r="AY367" s="3" t="str">
        <f t="shared" si="83"/>
        <v/>
      </c>
      <c r="AZ367" s="3" t="s">
        <v>247</v>
      </c>
      <c r="BA367" s="3"/>
    </row>
    <row r="368" spans="1:53" ht="55.2">
      <c r="A368" t="s">
        <v>688</v>
      </c>
      <c r="B368" t="s">
        <v>231</v>
      </c>
      <c r="C368" s="14">
        <v>1163517</v>
      </c>
      <c r="D368" s="15">
        <f t="shared" si="70"/>
        <v>1163.5170000000001</v>
      </c>
      <c r="E368" t="s">
        <v>232</v>
      </c>
      <c r="G368" t="s">
        <v>234</v>
      </c>
      <c r="H368" t="s">
        <v>235</v>
      </c>
      <c r="I368" s="3"/>
      <c r="J368" s="3"/>
      <c r="K368">
        <v>4</v>
      </c>
      <c r="L368" t="s">
        <v>571</v>
      </c>
      <c r="M368">
        <f t="shared" si="71"/>
        <v>2</v>
      </c>
      <c r="N368">
        <v>0</v>
      </c>
      <c r="O368" s="16">
        <v>-1</v>
      </c>
      <c r="P368" s="16" t="str">
        <f>IF(AND(ISNUMBER(O368),O368&lt;&gt;-1,O368&gt;='02_Parameters'!$B$18,O368&lt;='02_Parameters'!$B$19),O368,"")</f>
        <v/>
      </c>
      <c r="Q368" s="16">
        <v>28</v>
      </c>
      <c r="R368" t="str">
        <f>IF(B368&lt;&gt;"Sensor Snapshot","",IF(O368="","Missing",IF(O368=-1,"Sensor failure sentinel (-1)",IF(OR(O368&lt;'02_Parameters'!$B$18,O368&gt;'02_Parameters'!$B$19),"Out of accepted range","Valid"))))</f>
        <v>Sensor failure sentinel (-1)</v>
      </c>
      <c r="S368" s="16">
        <v>-1</v>
      </c>
      <c r="T368" s="16" t="str">
        <f>IF(AND(ISNUMBER(S368),S368&lt;&gt;-1,S368&gt;='02_Parameters'!$B$20,S368&lt;='02_Parameters'!$B$21),S368,"")</f>
        <v/>
      </c>
      <c r="U368" s="16">
        <v>83</v>
      </c>
      <c r="V368" t="str">
        <f>IF(B368&lt;&gt;"Sensor Snapshot","",IF(S368="","Missing",IF(S368=-1,"Sensor failure sentinel (-1)",IF(OR(S368&lt;'02_Parameters'!$B$20,S368&gt;'02_Parameters'!$B$21),"Out of accepted range","Valid"))))</f>
        <v>Sensor failure sentinel (-1)</v>
      </c>
      <c r="W368" s="16">
        <v>-5.7</v>
      </c>
      <c r="X368" s="16">
        <f t="shared" si="72"/>
        <v>5.7</v>
      </c>
      <c r="Y368" t="str">
        <f t="shared" si="73"/>
        <v>Sign corrected to positive</v>
      </c>
      <c r="Z368" s="16"/>
      <c r="AA368">
        <v>1</v>
      </c>
      <c r="AB368">
        <f>IF(B368&lt;&gt;"Sensor Snapshot","",IF(ISNUMBER(AA368),--(AA368&lt;&gt;0),IF(ISNUMBER(Z368),--(Z368&lt;'02_Parameters'!$B$15),"")))</f>
        <v>1</v>
      </c>
      <c r="AC368">
        <f>IF(B368&lt;&gt;"Sensor Snapshot","",IF(ISNUMBER(X368),--(X368&gt;='02_Parameters'!$B$16),""))</f>
        <v>0</v>
      </c>
      <c r="AD368">
        <v>0</v>
      </c>
      <c r="AE368">
        <f t="shared" si="74"/>
        <v>0</v>
      </c>
      <c r="AF368" s="3" t="str">
        <f t="shared" si="75"/>
        <v>Partial detection only</v>
      </c>
      <c r="AG368" s="16">
        <v>74.613</v>
      </c>
      <c r="AH368" s="16">
        <f>IF(B368&lt;&gt;"Sensor Snapshot","",IF(ISNUMBER(AG368),IF(AG368&lt;0,"",IF(AG368&gt;10,AG368/'02_Parameters'!$B$17,AG368)),""))</f>
        <v>0.74612999999999996</v>
      </c>
      <c r="AI368" t="str">
        <f t="shared" si="76"/>
        <v>Normalized from high-scale log</v>
      </c>
      <c r="AJ368">
        <f t="shared" si="77"/>
        <v>1</v>
      </c>
      <c r="AK368">
        <f t="shared" si="78"/>
        <v>0</v>
      </c>
      <c r="AL368">
        <v>0</v>
      </c>
      <c r="AM368">
        <f t="shared" si="79"/>
        <v>0</v>
      </c>
      <c r="AN368">
        <f>IF(B368&lt;&gt;"Sensor Snapshot","",--(N368&gt;='02_Parameters'!$B$13))</f>
        <v>0</v>
      </c>
      <c r="AO368">
        <f>IF(B368&lt;&gt;"Sensor Snapshot","",--(AND(L368="PUMPING",ISNUMBER(AH368),AH368&lt;='02_Parameters'!$B$10)))</f>
        <v>0</v>
      </c>
      <c r="AP368" s="16"/>
      <c r="AQ368" s="16" t="str">
        <f t="shared" si="80"/>
        <v/>
      </c>
      <c r="AR368" s="16" t="str">
        <f t="shared" si="81"/>
        <v/>
      </c>
      <c r="AU368" t="s">
        <v>236</v>
      </c>
      <c r="AV368" t="s">
        <v>237</v>
      </c>
      <c r="AW368" s="3" t="s">
        <v>330</v>
      </c>
      <c r="AX368" s="3">
        <f t="shared" si="82"/>
        <v>60</v>
      </c>
      <c r="AY368" s="3" t="str">
        <f t="shared" si="83"/>
        <v>C</v>
      </c>
      <c r="AZ368" s="3" t="s">
        <v>386</v>
      </c>
      <c r="BA368" s="3"/>
    </row>
    <row r="369" spans="1:53" ht="27.6">
      <c r="A369" t="s">
        <v>689</v>
      </c>
      <c r="B369" t="s">
        <v>242</v>
      </c>
      <c r="C369" s="14">
        <v>1163517</v>
      </c>
      <c r="D369" s="15">
        <f t="shared" si="70"/>
        <v>1163.5170000000001</v>
      </c>
      <c r="E369" t="s">
        <v>232</v>
      </c>
      <c r="G369" t="s">
        <v>157</v>
      </c>
      <c r="H369" t="s">
        <v>374</v>
      </c>
      <c r="I369" s="3" t="s">
        <v>575</v>
      </c>
      <c r="J369" s="3" t="s">
        <v>576</v>
      </c>
      <c r="K369">
        <v>4</v>
      </c>
      <c r="L369" t="s">
        <v>571</v>
      </c>
      <c r="M369">
        <f t="shared" si="71"/>
        <v>2</v>
      </c>
      <c r="O369" s="16"/>
      <c r="P369" s="16" t="str">
        <f>IF(AND(ISNUMBER(O369),O369&lt;&gt;-1,O369&gt;='02_Parameters'!$B$18,O369&lt;='02_Parameters'!$B$19),O369,"")</f>
        <v/>
      </c>
      <c r="Q369" s="16"/>
      <c r="R369" t="str">
        <f>IF(B369&lt;&gt;"Sensor Snapshot","",IF(O369="","Missing",IF(O369=-1,"Sensor failure sentinel (-1)",IF(OR(O369&lt;'02_Parameters'!$B$18,O369&gt;'02_Parameters'!$B$19),"Out of accepted range","Valid"))))</f>
        <v/>
      </c>
      <c r="S369" s="16"/>
      <c r="T369" s="16" t="str">
        <f>IF(AND(ISNUMBER(S369),S369&lt;&gt;-1,S369&gt;='02_Parameters'!$B$20,S369&lt;='02_Parameters'!$B$21),S369,"")</f>
        <v/>
      </c>
      <c r="U369" s="16"/>
      <c r="V369" t="str">
        <f>IF(B369&lt;&gt;"Sensor Snapshot","",IF(S369="","Missing",IF(S369=-1,"Sensor failure sentinel (-1)",IF(OR(S369&lt;'02_Parameters'!$B$20,S369&gt;'02_Parameters'!$B$21),"Out of accepted range","Valid"))))</f>
        <v/>
      </c>
      <c r="W369" s="16"/>
      <c r="X369" s="16" t="str">
        <f t="shared" si="72"/>
        <v/>
      </c>
      <c r="Y369" t="str">
        <f t="shared" si="73"/>
        <v/>
      </c>
      <c r="Z369" s="16"/>
      <c r="AB369" t="str">
        <f>IF(B369&lt;&gt;"Sensor Snapshot","",IF(ISNUMBER(AA369),--(AA369&lt;&gt;0),IF(ISNUMBER(Z369),--(Z369&lt;'02_Parameters'!$B$15),"")))</f>
        <v/>
      </c>
      <c r="AC369" t="str">
        <f>IF(B369&lt;&gt;"Sensor Snapshot","",IF(ISNUMBER(X369),--(X369&gt;='02_Parameters'!$B$16),""))</f>
        <v/>
      </c>
      <c r="AD369">
        <v>0</v>
      </c>
      <c r="AE369" t="str">
        <f t="shared" si="74"/>
        <v/>
      </c>
      <c r="AF369" s="3" t="str">
        <f t="shared" si="75"/>
        <v/>
      </c>
      <c r="AG369" s="16"/>
      <c r="AH369" s="16" t="str">
        <f>IF(B369&lt;&gt;"Sensor Snapshot","",IF(ISNUMBER(AG369),IF(AG369&lt;0,"",IF(AG369&gt;10,AG369/'02_Parameters'!$B$17,AG369)),""))</f>
        <v/>
      </c>
      <c r="AI369" t="str">
        <f t="shared" si="76"/>
        <v/>
      </c>
      <c r="AJ369" t="str">
        <f t="shared" si="77"/>
        <v/>
      </c>
      <c r="AK369" t="str">
        <f t="shared" si="78"/>
        <v/>
      </c>
      <c r="AM369" t="str">
        <f t="shared" si="79"/>
        <v/>
      </c>
      <c r="AN369" t="str">
        <f>IF(B369&lt;&gt;"Sensor Snapshot","",--(N369&gt;='02_Parameters'!$B$13))</f>
        <v/>
      </c>
      <c r="AO369" t="str">
        <f>IF(B369&lt;&gt;"Sensor Snapshot","",--(AND(L369="PUMPING",ISNUMBER(AH369),AH369&lt;='02_Parameters'!$B$10)))</f>
        <v/>
      </c>
      <c r="AP369" s="16"/>
      <c r="AQ369" s="16" t="str">
        <f t="shared" si="80"/>
        <v/>
      </c>
      <c r="AR369" s="16" t="str">
        <f t="shared" si="81"/>
        <v/>
      </c>
      <c r="AW369" s="3" t="s">
        <v>377</v>
      </c>
      <c r="AX369" s="3" t="str">
        <f t="shared" si="82"/>
        <v/>
      </c>
      <c r="AY369" s="3" t="str">
        <f t="shared" si="83"/>
        <v/>
      </c>
      <c r="AZ369" s="3" t="s">
        <v>247</v>
      </c>
      <c r="BA369" s="3"/>
    </row>
    <row r="370" spans="1:53" ht="55.2">
      <c r="A370" t="s">
        <v>690</v>
      </c>
      <c r="B370" t="s">
        <v>231</v>
      </c>
      <c r="C370" s="14">
        <v>1168518</v>
      </c>
      <c r="D370" s="15">
        <f t="shared" si="70"/>
        <v>1168.518</v>
      </c>
      <c r="E370" t="s">
        <v>232</v>
      </c>
      <c r="G370" t="s">
        <v>234</v>
      </c>
      <c r="H370" t="s">
        <v>235</v>
      </c>
      <c r="I370" s="3"/>
      <c r="J370" s="3"/>
      <c r="K370">
        <v>4</v>
      </c>
      <c r="L370" t="s">
        <v>571</v>
      </c>
      <c r="M370">
        <f t="shared" si="71"/>
        <v>2</v>
      </c>
      <c r="N370">
        <v>0</v>
      </c>
      <c r="O370" s="16">
        <v>-1</v>
      </c>
      <c r="P370" s="16" t="str">
        <f>IF(AND(ISNUMBER(O370),O370&lt;&gt;-1,O370&gt;='02_Parameters'!$B$18,O370&lt;='02_Parameters'!$B$19),O370,"")</f>
        <v/>
      </c>
      <c r="Q370" s="16">
        <v>28</v>
      </c>
      <c r="R370" t="str">
        <f>IF(B370&lt;&gt;"Sensor Snapshot","",IF(O370="","Missing",IF(O370=-1,"Sensor failure sentinel (-1)",IF(OR(O370&lt;'02_Parameters'!$B$18,O370&gt;'02_Parameters'!$B$19),"Out of accepted range","Valid"))))</f>
        <v>Sensor failure sentinel (-1)</v>
      </c>
      <c r="S370" s="16">
        <v>-1</v>
      </c>
      <c r="T370" s="16" t="str">
        <f>IF(AND(ISNUMBER(S370),S370&lt;&gt;-1,S370&gt;='02_Parameters'!$B$20,S370&lt;='02_Parameters'!$B$21),S370,"")</f>
        <v/>
      </c>
      <c r="U370" s="16">
        <v>83</v>
      </c>
      <c r="V370" t="str">
        <f>IF(B370&lt;&gt;"Sensor Snapshot","",IF(S370="","Missing",IF(S370=-1,"Sensor failure sentinel (-1)",IF(OR(S370&lt;'02_Parameters'!$B$20,S370&gt;'02_Parameters'!$B$21),"Out of accepted range","Valid"))))</f>
        <v>Sensor failure sentinel (-1)</v>
      </c>
      <c r="W370" s="16">
        <v>-2</v>
      </c>
      <c r="X370" s="16">
        <f t="shared" si="72"/>
        <v>2</v>
      </c>
      <c r="Y370" t="str">
        <f t="shared" si="73"/>
        <v>Sign corrected to positive</v>
      </c>
      <c r="Z370" s="16"/>
      <c r="AA370">
        <v>1</v>
      </c>
      <c r="AB370">
        <f>IF(B370&lt;&gt;"Sensor Snapshot","",IF(ISNUMBER(AA370),--(AA370&lt;&gt;0),IF(ISNUMBER(Z370),--(Z370&lt;'02_Parameters'!$B$15),"")))</f>
        <v>1</v>
      </c>
      <c r="AC370">
        <f>IF(B370&lt;&gt;"Sensor Snapshot","",IF(ISNUMBER(X370),--(X370&gt;='02_Parameters'!$B$16),""))</f>
        <v>0</v>
      </c>
      <c r="AD370">
        <v>0</v>
      </c>
      <c r="AE370">
        <f t="shared" si="74"/>
        <v>0</v>
      </c>
      <c r="AF370" s="3" t="str">
        <f t="shared" si="75"/>
        <v>Partial detection only</v>
      </c>
      <c r="AG370" s="16">
        <v>79.92</v>
      </c>
      <c r="AH370" s="16">
        <f>IF(B370&lt;&gt;"Sensor Snapshot","",IF(ISNUMBER(AG370),IF(AG370&lt;0,"",IF(AG370&gt;10,AG370/'02_Parameters'!$B$17,AG370)),""))</f>
        <v>0.79920000000000002</v>
      </c>
      <c r="AI370" t="str">
        <f t="shared" si="76"/>
        <v>Normalized from high-scale log</v>
      </c>
      <c r="AJ370">
        <f t="shared" si="77"/>
        <v>1</v>
      </c>
      <c r="AK370">
        <f t="shared" si="78"/>
        <v>0</v>
      </c>
      <c r="AL370">
        <v>0</v>
      </c>
      <c r="AM370">
        <f t="shared" si="79"/>
        <v>0</v>
      </c>
      <c r="AN370">
        <f>IF(B370&lt;&gt;"Sensor Snapshot","",--(N370&gt;='02_Parameters'!$B$13))</f>
        <v>0</v>
      </c>
      <c r="AO370">
        <f>IF(B370&lt;&gt;"Sensor Snapshot","",--(AND(L370="PUMPING",ISNUMBER(AH370),AH370&lt;='02_Parameters'!$B$10)))</f>
        <v>0</v>
      </c>
      <c r="AP370" s="16"/>
      <c r="AQ370" s="16" t="str">
        <f t="shared" si="80"/>
        <v/>
      </c>
      <c r="AR370" s="16" t="str">
        <f t="shared" si="81"/>
        <v/>
      </c>
      <c r="AU370" t="s">
        <v>236</v>
      </c>
      <c r="AV370" t="s">
        <v>237</v>
      </c>
      <c r="AW370" s="3" t="s">
        <v>330</v>
      </c>
      <c r="AX370" s="3">
        <f t="shared" si="82"/>
        <v>60</v>
      </c>
      <c r="AY370" s="3" t="str">
        <f t="shared" si="83"/>
        <v>C</v>
      </c>
      <c r="AZ370" s="3" t="s">
        <v>386</v>
      </c>
      <c r="BA370" s="3"/>
    </row>
    <row r="371" spans="1:53" ht="27.6">
      <c r="A371" t="s">
        <v>691</v>
      </c>
      <c r="B371" t="s">
        <v>242</v>
      </c>
      <c r="C371" s="14">
        <v>1168518</v>
      </c>
      <c r="D371" s="15">
        <f t="shared" si="70"/>
        <v>1168.518</v>
      </c>
      <c r="E371" t="s">
        <v>232</v>
      </c>
      <c r="G371" t="s">
        <v>157</v>
      </c>
      <c r="H371" t="s">
        <v>374</v>
      </c>
      <c r="I371" s="3" t="s">
        <v>575</v>
      </c>
      <c r="J371" s="3" t="s">
        <v>576</v>
      </c>
      <c r="K371">
        <v>4</v>
      </c>
      <c r="L371" t="s">
        <v>571</v>
      </c>
      <c r="M371">
        <f t="shared" si="71"/>
        <v>2</v>
      </c>
      <c r="O371" s="16"/>
      <c r="P371" s="16" t="str">
        <f>IF(AND(ISNUMBER(O371),O371&lt;&gt;-1,O371&gt;='02_Parameters'!$B$18,O371&lt;='02_Parameters'!$B$19),O371,"")</f>
        <v/>
      </c>
      <c r="Q371" s="16"/>
      <c r="R371" t="str">
        <f>IF(B371&lt;&gt;"Sensor Snapshot","",IF(O371="","Missing",IF(O371=-1,"Sensor failure sentinel (-1)",IF(OR(O371&lt;'02_Parameters'!$B$18,O371&gt;'02_Parameters'!$B$19),"Out of accepted range","Valid"))))</f>
        <v/>
      </c>
      <c r="S371" s="16"/>
      <c r="T371" s="16" t="str">
        <f>IF(AND(ISNUMBER(S371),S371&lt;&gt;-1,S371&gt;='02_Parameters'!$B$20,S371&lt;='02_Parameters'!$B$21),S371,"")</f>
        <v/>
      </c>
      <c r="U371" s="16"/>
      <c r="V371" t="str">
        <f>IF(B371&lt;&gt;"Sensor Snapshot","",IF(S371="","Missing",IF(S371=-1,"Sensor failure sentinel (-1)",IF(OR(S371&lt;'02_Parameters'!$B$20,S371&gt;'02_Parameters'!$B$21),"Out of accepted range","Valid"))))</f>
        <v/>
      </c>
      <c r="W371" s="16"/>
      <c r="X371" s="16" t="str">
        <f t="shared" si="72"/>
        <v/>
      </c>
      <c r="Y371" t="str">
        <f t="shared" si="73"/>
        <v/>
      </c>
      <c r="Z371" s="16"/>
      <c r="AB371" t="str">
        <f>IF(B371&lt;&gt;"Sensor Snapshot","",IF(ISNUMBER(AA371),--(AA371&lt;&gt;0),IF(ISNUMBER(Z371),--(Z371&lt;'02_Parameters'!$B$15),"")))</f>
        <v/>
      </c>
      <c r="AC371" t="str">
        <f>IF(B371&lt;&gt;"Sensor Snapshot","",IF(ISNUMBER(X371),--(X371&gt;='02_Parameters'!$B$16),""))</f>
        <v/>
      </c>
      <c r="AD371">
        <v>0</v>
      </c>
      <c r="AE371" t="str">
        <f t="shared" si="74"/>
        <v/>
      </c>
      <c r="AF371" s="3" t="str">
        <f t="shared" si="75"/>
        <v/>
      </c>
      <c r="AG371" s="16"/>
      <c r="AH371" s="16" t="str">
        <f>IF(B371&lt;&gt;"Sensor Snapshot","",IF(ISNUMBER(AG371),IF(AG371&lt;0,"",IF(AG371&gt;10,AG371/'02_Parameters'!$B$17,AG371)),""))</f>
        <v/>
      </c>
      <c r="AI371" t="str">
        <f t="shared" si="76"/>
        <v/>
      </c>
      <c r="AJ371" t="str">
        <f t="shared" si="77"/>
        <v/>
      </c>
      <c r="AK371" t="str">
        <f t="shared" si="78"/>
        <v/>
      </c>
      <c r="AM371" t="str">
        <f t="shared" si="79"/>
        <v/>
      </c>
      <c r="AN371" t="str">
        <f>IF(B371&lt;&gt;"Sensor Snapshot","",--(N371&gt;='02_Parameters'!$B$13))</f>
        <v/>
      </c>
      <c r="AO371" t="str">
        <f>IF(B371&lt;&gt;"Sensor Snapshot","",--(AND(L371="PUMPING",ISNUMBER(AH371),AH371&lt;='02_Parameters'!$B$10)))</f>
        <v/>
      </c>
      <c r="AP371" s="16"/>
      <c r="AQ371" s="16" t="str">
        <f t="shared" si="80"/>
        <v/>
      </c>
      <c r="AR371" s="16" t="str">
        <f t="shared" si="81"/>
        <v/>
      </c>
      <c r="AW371" s="3" t="s">
        <v>377</v>
      </c>
      <c r="AX371" s="3" t="str">
        <f t="shared" si="82"/>
        <v/>
      </c>
      <c r="AY371" s="3" t="str">
        <f t="shared" si="83"/>
        <v/>
      </c>
      <c r="AZ371" s="3" t="s">
        <v>247</v>
      </c>
      <c r="BA371" s="3"/>
    </row>
    <row r="372" spans="1:53" ht="55.2">
      <c r="A372" t="s">
        <v>692</v>
      </c>
      <c r="B372" t="s">
        <v>231</v>
      </c>
      <c r="C372" s="14">
        <v>1173517</v>
      </c>
      <c r="D372" s="15">
        <f t="shared" si="70"/>
        <v>1173.5170000000001</v>
      </c>
      <c r="E372" t="s">
        <v>232</v>
      </c>
      <c r="G372" t="s">
        <v>234</v>
      </c>
      <c r="H372" t="s">
        <v>235</v>
      </c>
      <c r="I372" s="3"/>
      <c r="J372" s="3"/>
      <c r="K372">
        <v>4</v>
      </c>
      <c r="L372" t="s">
        <v>571</v>
      </c>
      <c r="M372">
        <f t="shared" si="71"/>
        <v>2</v>
      </c>
      <c r="N372">
        <v>0</v>
      </c>
      <c r="O372" s="16">
        <v>-1</v>
      </c>
      <c r="P372" s="16" t="str">
        <f>IF(AND(ISNUMBER(O372),O372&lt;&gt;-1,O372&gt;='02_Parameters'!$B$18,O372&lt;='02_Parameters'!$B$19),O372,"")</f>
        <v/>
      </c>
      <c r="Q372" s="16">
        <v>28</v>
      </c>
      <c r="R372" t="str">
        <f>IF(B372&lt;&gt;"Sensor Snapshot","",IF(O372="","Missing",IF(O372=-1,"Sensor failure sentinel (-1)",IF(OR(O372&lt;'02_Parameters'!$B$18,O372&gt;'02_Parameters'!$B$19),"Out of accepted range","Valid"))))</f>
        <v>Sensor failure sentinel (-1)</v>
      </c>
      <c r="S372" s="16">
        <v>-1</v>
      </c>
      <c r="T372" s="16" t="str">
        <f>IF(AND(ISNUMBER(S372),S372&lt;&gt;-1,S372&gt;='02_Parameters'!$B$20,S372&lt;='02_Parameters'!$B$21),S372,"")</f>
        <v/>
      </c>
      <c r="U372" s="16">
        <v>83</v>
      </c>
      <c r="V372" t="str">
        <f>IF(B372&lt;&gt;"Sensor Snapshot","",IF(S372="","Missing",IF(S372=-1,"Sensor failure sentinel (-1)",IF(OR(S372&lt;'02_Parameters'!$B$20,S372&gt;'02_Parameters'!$B$21),"Out of accepted range","Valid"))))</f>
        <v>Sensor failure sentinel (-1)</v>
      </c>
      <c r="W372" s="16">
        <v>-2.2000000000000002</v>
      </c>
      <c r="X372" s="16">
        <f t="shared" si="72"/>
        <v>2.2000000000000002</v>
      </c>
      <c r="Y372" t="str">
        <f t="shared" si="73"/>
        <v>Sign corrected to positive</v>
      </c>
      <c r="Z372" s="16"/>
      <c r="AA372">
        <v>1</v>
      </c>
      <c r="AB372">
        <f>IF(B372&lt;&gt;"Sensor Snapshot","",IF(ISNUMBER(AA372),--(AA372&lt;&gt;0),IF(ISNUMBER(Z372),--(Z372&lt;'02_Parameters'!$B$15),"")))</f>
        <v>1</v>
      </c>
      <c r="AC372">
        <f>IF(B372&lt;&gt;"Sensor Snapshot","",IF(ISNUMBER(X372),--(X372&gt;='02_Parameters'!$B$16),""))</f>
        <v>0</v>
      </c>
      <c r="AD372">
        <v>0</v>
      </c>
      <c r="AE372">
        <f t="shared" si="74"/>
        <v>0</v>
      </c>
      <c r="AF372" s="3" t="str">
        <f t="shared" si="75"/>
        <v>Partial detection only</v>
      </c>
      <c r="AG372" s="16">
        <v>80.747</v>
      </c>
      <c r="AH372" s="16">
        <f>IF(B372&lt;&gt;"Sensor Snapshot","",IF(ISNUMBER(AG372),IF(AG372&lt;0,"",IF(AG372&gt;10,AG372/'02_Parameters'!$B$17,AG372)),""))</f>
        <v>0.80747000000000002</v>
      </c>
      <c r="AI372" t="str">
        <f t="shared" si="76"/>
        <v>Normalized from high-scale log</v>
      </c>
      <c r="AJ372">
        <f t="shared" si="77"/>
        <v>1</v>
      </c>
      <c r="AK372">
        <f t="shared" si="78"/>
        <v>0</v>
      </c>
      <c r="AL372">
        <v>0</v>
      </c>
      <c r="AM372">
        <f t="shared" si="79"/>
        <v>0</v>
      </c>
      <c r="AN372">
        <f>IF(B372&lt;&gt;"Sensor Snapshot","",--(N372&gt;='02_Parameters'!$B$13))</f>
        <v>0</v>
      </c>
      <c r="AO372">
        <f>IF(B372&lt;&gt;"Sensor Snapshot","",--(AND(L372="PUMPING",ISNUMBER(AH372),AH372&lt;='02_Parameters'!$B$10)))</f>
        <v>0</v>
      </c>
      <c r="AP372" s="16"/>
      <c r="AQ372" s="16" t="str">
        <f t="shared" si="80"/>
        <v/>
      </c>
      <c r="AR372" s="16" t="str">
        <f t="shared" si="81"/>
        <v/>
      </c>
      <c r="AU372" t="s">
        <v>236</v>
      </c>
      <c r="AV372" t="s">
        <v>237</v>
      </c>
      <c r="AW372" s="3" t="s">
        <v>330</v>
      </c>
      <c r="AX372" s="3">
        <f t="shared" si="82"/>
        <v>60</v>
      </c>
      <c r="AY372" s="3" t="str">
        <f t="shared" si="83"/>
        <v>C</v>
      </c>
      <c r="AZ372" s="3" t="s">
        <v>386</v>
      </c>
      <c r="BA372" s="3"/>
    </row>
  </sheetData>
  <mergeCells count="6">
    <mergeCell ref="AU1:BA1"/>
    <mergeCell ref="A1:N1"/>
    <mergeCell ref="O1:V1"/>
    <mergeCell ref="W1:AF1"/>
    <mergeCell ref="AG1:AO1"/>
    <mergeCell ref="AP1:AT1"/>
  </mergeCells>
  <conditionalFormatting sqref="AX3:AX372">
    <cfRule type="colorScale" priority="3">
      <colorScale>
        <cfvo type="min"/>
        <cfvo type="percentile" val="50"/>
        <cfvo type="max"/>
        <color rgb="FFF8696B"/>
        <color rgb="FFFFEB84"/>
        <color rgb="FF63BE7B"/>
      </colorScale>
    </cfRule>
  </conditionalFormatting>
  <conditionalFormatting sqref="AZ3:AZ372">
    <cfRule type="expression" dxfId="10" priority="4">
      <formula>ISNUMBER(SEARCH("Legacy",AZ3))</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246"/>
  <sheetViews>
    <sheetView workbookViewId="0">
      <selection sqref="A1:W2"/>
    </sheetView>
  </sheetViews>
  <sheetFormatPr defaultRowHeight="13.8"/>
  <cols>
    <col min="1" max="1" width="12" customWidth="1"/>
    <col min="2" max="3" width="13" customWidth="1"/>
    <col min="4" max="7" width="16" customWidth="1"/>
    <col min="8" max="8" width="20" customWidth="1"/>
    <col min="9" max="11" width="16" customWidth="1"/>
    <col min="12" max="12" width="34" customWidth="1"/>
    <col min="13" max="13" width="15" customWidth="1"/>
    <col min="14" max="22" width="16" customWidth="1"/>
    <col min="23" max="23" width="40" customWidth="1"/>
  </cols>
  <sheetData>
    <row r="1" spans="1:23" ht="24" customHeight="1">
      <c r="A1" s="56" t="s">
        <v>693</v>
      </c>
      <c r="B1" s="56"/>
      <c r="C1" s="56"/>
      <c r="D1" s="56"/>
      <c r="E1" s="56"/>
      <c r="F1" s="56"/>
      <c r="G1" s="56"/>
      <c r="H1" s="56"/>
      <c r="I1" s="56"/>
      <c r="J1" s="56"/>
      <c r="K1" s="56"/>
      <c r="L1" s="56"/>
      <c r="M1" s="56"/>
      <c r="N1" s="56"/>
      <c r="O1" s="56"/>
      <c r="P1" s="56"/>
      <c r="Q1" s="56"/>
      <c r="R1" s="56"/>
      <c r="S1" s="56"/>
      <c r="T1" s="56"/>
      <c r="U1" s="56"/>
      <c r="V1" s="56"/>
      <c r="W1" s="56"/>
    </row>
    <row r="2" spans="1:23" ht="24" customHeight="1">
      <c r="A2" s="56"/>
      <c r="B2" s="56"/>
      <c r="C2" s="56"/>
      <c r="D2" s="56"/>
      <c r="E2" s="56"/>
      <c r="F2" s="56"/>
      <c r="G2" s="56"/>
      <c r="H2" s="56"/>
      <c r="I2" s="56"/>
      <c r="J2" s="56"/>
      <c r="K2" s="56"/>
      <c r="L2" s="56"/>
      <c r="M2" s="56"/>
      <c r="N2" s="56"/>
      <c r="O2" s="56"/>
      <c r="P2" s="56"/>
      <c r="Q2" s="56"/>
      <c r="R2" s="56"/>
      <c r="S2" s="56"/>
      <c r="T2" s="56"/>
      <c r="U2" s="56"/>
      <c r="V2" s="56"/>
      <c r="W2" s="56"/>
    </row>
    <row r="4" spans="1:23" ht="22.35" customHeight="1">
      <c r="A4" s="10" t="s">
        <v>177</v>
      </c>
      <c r="B4" s="10" t="s">
        <v>179</v>
      </c>
      <c r="C4" s="10" t="s">
        <v>180</v>
      </c>
      <c r="D4" s="10" t="s">
        <v>694</v>
      </c>
      <c r="E4" s="10" t="s">
        <v>695</v>
      </c>
      <c r="F4" s="10" t="s">
        <v>696</v>
      </c>
      <c r="G4" s="10" t="s">
        <v>697</v>
      </c>
      <c r="H4" s="10" t="s">
        <v>200</v>
      </c>
      <c r="I4" s="10" t="s">
        <v>204</v>
      </c>
      <c r="J4" s="10" t="s">
        <v>205</v>
      </c>
      <c r="K4" s="10" t="s">
        <v>207</v>
      </c>
      <c r="L4" s="10" t="s">
        <v>698</v>
      </c>
      <c r="M4" s="10" t="s">
        <v>699</v>
      </c>
      <c r="N4" s="10" t="s">
        <v>188</v>
      </c>
      <c r="O4" s="10" t="s">
        <v>187</v>
      </c>
      <c r="P4" s="10" t="s">
        <v>190</v>
      </c>
      <c r="Q4" s="10" t="s">
        <v>212</v>
      </c>
      <c r="R4" s="10" t="s">
        <v>213</v>
      </c>
      <c r="S4" s="10" t="s">
        <v>214</v>
      </c>
      <c r="T4" s="10" t="s">
        <v>217</v>
      </c>
      <c r="U4" s="10" t="s">
        <v>700</v>
      </c>
      <c r="V4" s="10" t="s">
        <v>701</v>
      </c>
      <c r="W4" s="10" t="s">
        <v>229</v>
      </c>
    </row>
    <row r="5" spans="1:23">
      <c r="A5" t="s">
        <v>230</v>
      </c>
      <c r="B5">
        <v>5207</v>
      </c>
      <c r="C5" s="16">
        <v>5.2069999999999999</v>
      </c>
      <c r="D5" s="16">
        <v>21.8</v>
      </c>
      <c r="E5">
        <v>0</v>
      </c>
      <c r="F5" s="16">
        <v>69.099999999999994</v>
      </c>
      <c r="G5">
        <v>0</v>
      </c>
      <c r="H5" s="16">
        <v>9.0499999999999997E-2</v>
      </c>
      <c r="I5">
        <v>0</v>
      </c>
      <c r="J5">
        <v>0</v>
      </c>
      <c r="K5">
        <v>0</v>
      </c>
      <c r="L5" s="3" t="s">
        <v>702</v>
      </c>
      <c r="M5" s="16">
        <v>0</v>
      </c>
      <c r="N5" t="s">
        <v>703</v>
      </c>
      <c r="Q5">
        <v>0</v>
      </c>
      <c r="R5">
        <v>0</v>
      </c>
      <c r="T5">
        <v>0</v>
      </c>
      <c r="U5">
        <v>100</v>
      </c>
      <c r="V5" t="s">
        <v>704</v>
      </c>
      <c r="W5" s="3" t="s">
        <v>240</v>
      </c>
    </row>
    <row r="6" spans="1:23">
      <c r="A6" t="s">
        <v>256</v>
      </c>
      <c r="B6">
        <v>23639</v>
      </c>
      <c r="C6" s="16">
        <v>23.638999999999999</v>
      </c>
      <c r="D6" s="16">
        <v>21.9</v>
      </c>
      <c r="E6">
        <v>0</v>
      </c>
      <c r="F6" s="16">
        <v>69.400000000000006</v>
      </c>
      <c r="G6">
        <v>0</v>
      </c>
      <c r="H6" s="16">
        <v>10.1952</v>
      </c>
      <c r="I6">
        <v>0</v>
      </c>
      <c r="J6">
        <v>1</v>
      </c>
      <c r="K6">
        <v>0</v>
      </c>
      <c r="L6" s="3" t="s">
        <v>705</v>
      </c>
      <c r="M6" s="16">
        <v>0</v>
      </c>
      <c r="N6" t="s">
        <v>703</v>
      </c>
      <c r="Q6">
        <v>0</v>
      </c>
      <c r="R6">
        <v>0</v>
      </c>
      <c r="T6">
        <v>0</v>
      </c>
      <c r="U6">
        <v>100</v>
      </c>
      <c r="V6" t="s">
        <v>704</v>
      </c>
      <c r="W6" s="3" t="s">
        <v>240</v>
      </c>
    </row>
    <row r="7" spans="1:23">
      <c r="A7" t="s">
        <v>293</v>
      </c>
      <c r="B7">
        <v>28853</v>
      </c>
      <c r="C7" s="16">
        <v>28.853000000000002</v>
      </c>
      <c r="D7" s="16">
        <v>21.9</v>
      </c>
      <c r="E7">
        <v>0</v>
      </c>
      <c r="F7" s="16">
        <v>69.2</v>
      </c>
      <c r="G7">
        <v>0</v>
      </c>
      <c r="H7" s="16">
        <v>2.2595000000000001</v>
      </c>
      <c r="I7">
        <v>1</v>
      </c>
      <c r="J7">
        <v>0</v>
      </c>
      <c r="K7">
        <v>0</v>
      </c>
      <c r="L7" s="3" t="s">
        <v>705</v>
      </c>
      <c r="M7" s="16">
        <v>0</v>
      </c>
      <c r="N7" t="s">
        <v>703</v>
      </c>
      <c r="Q7">
        <v>0</v>
      </c>
      <c r="R7">
        <v>0</v>
      </c>
      <c r="T7">
        <v>0</v>
      </c>
      <c r="U7">
        <v>100</v>
      </c>
      <c r="V7" t="s">
        <v>704</v>
      </c>
      <c r="W7" s="3" t="s">
        <v>240</v>
      </c>
    </row>
    <row r="8" spans="1:23">
      <c r="A8" t="s">
        <v>297</v>
      </c>
      <c r="B8">
        <v>44397</v>
      </c>
      <c r="C8" s="16">
        <v>44.396999999999998</v>
      </c>
      <c r="D8" s="16">
        <v>21.9</v>
      </c>
      <c r="E8">
        <v>0</v>
      </c>
      <c r="F8" s="16">
        <v>69.099999999999994</v>
      </c>
      <c r="G8">
        <v>0</v>
      </c>
      <c r="H8" s="16">
        <v>23.845199999999998</v>
      </c>
      <c r="I8">
        <v>0</v>
      </c>
      <c r="J8">
        <v>1</v>
      </c>
      <c r="K8">
        <v>0</v>
      </c>
      <c r="L8" s="3" t="s">
        <v>705</v>
      </c>
      <c r="M8" s="16">
        <v>0</v>
      </c>
      <c r="N8" t="s">
        <v>703</v>
      </c>
      <c r="Q8">
        <v>0</v>
      </c>
      <c r="R8">
        <v>0</v>
      </c>
      <c r="T8">
        <v>0</v>
      </c>
      <c r="U8">
        <v>100</v>
      </c>
      <c r="V8" t="s">
        <v>704</v>
      </c>
      <c r="W8" s="3" t="s">
        <v>240</v>
      </c>
    </row>
    <row r="9" spans="1:23">
      <c r="A9" t="s">
        <v>301</v>
      </c>
      <c r="B9">
        <v>59953</v>
      </c>
      <c r="C9" s="16">
        <v>59.953000000000003</v>
      </c>
      <c r="D9" s="16">
        <v>22.5</v>
      </c>
      <c r="E9">
        <v>0</v>
      </c>
      <c r="F9" s="16">
        <v>81</v>
      </c>
      <c r="G9">
        <v>0</v>
      </c>
      <c r="H9" s="16">
        <v>2.3119000000000001</v>
      </c>
      <c r="I9">
        <v>0</v>
      </c>
      <c r="J9">
        <v>0</v>
      </c>
      <c r="K9">
        <v>0</v>
      </c>
      <c r="L9" s="3" t="s">
        <v>702</v>
      </c>
      <c r="M9" s="16">
        <v>0</v>
      </c>
      <c r="N9" t="s">
        <v>703</v>
      </c>
      <c r="Q9">
        <v>0</v>
      </c>
      <c r="R9">
        <v>0</v>
      </c>
      <c r="T9">
        <v>0</v>
      </c>
      <c r="U9">
        <v>100</v>
      </c>
      <c r="V9" t="s">
        <v>704</v>
      </c>
      <c r="W9" s="3" t="s">
        <v>240</v>
      </c>
    </row>
    <row r="10" spans="1:23">
      <c r="A10" t="s">
        <v>318</v>
      </c>
      <c r="B10">
        <v>75777</v>
      </c>
      <c r="C10" s="16">
        <v>75.777000000000001</v>
      </c>
      <c r="D10" s="16">
        <v>23.2</v>
      </c>
      <c r="E10">
        <v>0</v>
      </c>
      <c r="F10" s="16">
        <v>86.4</v>
      </c>
      <c r="G10">
        <v>0</v>
      </c>
      <c r="H10" s="16">
        <v>1.5713999999999999</v>
      </c>
      <c r="I10">
        <v>0</v>
      </c>
      <c r="J10">
        <v>0</v>
      </c>
      <c r="K10">
        <v>0</v>
      </c>
      <c r="L10" s="3" t="s">
        <v>702</v>
      </c>
      <c r="M10" s="16">
        <v>0</v>
      </c>
      <c r="N10" t="s">
        <v>703</v>
      </c>
      <c r="Q10">
        <v>0</v>
      </c>
      <c r="R10">
        <v>0</v>
      </c>
      <c r="T10">
        <v>0</v>
      </c>
      <c r="U10">
        <v>100</v>
      </c>
      <c r="V10" t="s">
        <v>704</v>
      </c>
      <c r="W10" s="3" t="s">
        <v>240</v>
      </c>
    </row>
    <row r="11" spans="1:23">
      <c r="A11" t="s">
        <v>324</v>
      </c>
      <c r="B11">
        <v>91314</v>
      </c>
      <c r="C11" s="16">
        <v>91.313999999999993</v>
      </c>
      <c r="D11" s="16">
        <v>23.1</v>
      </c>
      <c r="E11">
        <v>0</v>
      </c>
      <c r="F11" s="16">
        <v>69.400000000000006</v>
      </c>
      <c r="G11">
        <v>0</v>
      </c>
      <c r="H11" s="16">
        <v>1.7095</v>
      </c>
      <c r="I11">
        <v>0</v>
      </c>
      <c r="J11">
        <v>0</v>
      </c>
      <c r="K11">
        <v>0</v>
      </c>
      <c r="L11" s="3" t="s">
        <v>702</v>
      </c>
      <c r="M11" s="16">
        <v>2.3024</v>
      </c>
      <c r="N11" t="s">
        <v>703</v>
      </c>
      <c r="Q11">
        <v>0</v>
      </c>
      <c r="R11">
        <v>0</v>
      </c>
      <c r="T11">
        <v>0</v>
      </c>
      <c r="U11">
        <v>100</v>
      </c>
      <c r="V11" t="s">
        <v>704</v>
      </c>
      <c r="W11" s="3" t="s">
        <v>240</v>
      </c>
    </row>
    <row r="12" spans="1:23">
      <c r="A12" t="s">
        <v>329</v>
      </c>
      <c r="B12">
        <v>106849</v>
      </c>
      <c r="C12" s="16">
        <v>106.849</v>
      </c>
      <c r="D12" s="16">
        <v>23.1</v>
      </c>
      <c r="E12">
        <v>1</v>
      </c>
      <c r="F12" s="16">
        <v>69.400000000000006</v>
      </c>
      <c r="G12">
        <v>1</v>
      </c>
      <c r="H12" s="16">
        <v>1.7428999999999999</v>
      </c>
      <c r="I12">
        <v>1</v>
      </c>
      <c r="J12">
        <v>0</v>
      </c>
      <c r="K12">
        <v>0</v>
      </c>
      <c r="L12" s="3" t="s">
        <v>705</v>
      </c>
      <c r="M12" s="16">
        <v>2.668533</v>
      </c>
      <c r="N12" t="s">
        <v>703</v>
      </c>
      <c r="Q12">
        <v>0</v>
      </c>
      <c r="R12">
        <v>0</v>
      </c>
      <c r="T12">
        <v>0</v>
      </c>
      <c r="U12">
        <v>60</v>
      </c>
      <c r="V12" t="s">
        <v>706</v>
      </c>
      <c r="W12" s="3" t="s">
        <v>240</v>
      </c>
    </row>
    <row r="13" spans="1:23">
      <c r="A13" t="s">
        <v>334</v>
      </c>
      <c r="B13">
        <v>122363</v>
      </c>
      <c r="C13" s="16">
        <v>122.363</v>
      </c>
      <c r="D13" s="16">
        <v>23.1</v>
      </c>
      <c r="E13">
        <v>1</v>
      </c>
      <c r="F13" s="16">
        <v>69.400000000000006</v>
      </c>
      <c r="G13">
        <v>1</v>
      </c>
      <c r="H13" s="16">
        <v>1.7976000000000001</v>
      </c>
      <c r="I13">
        <v>0</v>
      </c>
      <c r="J13">
        <v>0</v>
      </c>
      <c r="K13">
        <v>0</v>
      </c>
      <c r="L13" s="3" t="s">
        <v>702</v>
      </c>
      <c r="M13" s="16">
        <v>2.423467</v>
      </c>
      <c r="N13" t="s">
        <v>703</v>
      </c>
      <c r="Q13">
        <v>0</v>
      </c>
      <c r="R13">
        <v>0</v>
      </c>
      <c r="T13">
        <v>0</v>
      </c>
      <c r="U13">
        <v>60</v>
      </c>
      <c r="V13" t="s">
        <v>706</v>
      </c>
      <c r="W13" s="3" t="s">
        <v>240</v>
      </c>
    </row>
    <row r="14" spans="1:23">
      <c r="A14" t="s">
        <v>337</v>
      </c>
      <c r="B14">
        <v>137801</v>
      </c>
      <c r="C14" s="16">
        <v>137.80099999999999</v>
      </c>
      <c r="D14" s="16">
        <v>23.1</v>
      </c>
      <c r="E14">
        <v>1</v>
      </c>
      <c r="F14" s="16">
        <v>69.400000000000006</v>
      </c>
      <c r="G14">
        <v>1</v>
      </c>
      <c r="H14" s="16">
        <v>1.6571</v>
      </c>
      <c r="I14">
        <v>0</v>
      </c>
      <c r="J14">
        <v>0</v>
      </c>
      <c r="K14">
        <v>0</v>
      </c>
      <c r="L14" s="3" t="s">
        <v>702</v>
      </c>
      <c r="M14" s="16">
        <v>2.8693329999999997</v>
      </c>
      <c r="N14" t="s">
        <v>703</v>
      </c>
      <c r="Q14">
        <v>0</v>
      </c>
      <c r="R14">
        <v>0</v>
      </c>
      <c r="T14">
        <v>0</v>
      </c>
      <c r="U14">
        <v>60</v>
      </c>
      <c r="V14" t="s">
        <v>706</v>
      </c>
      <c r="W14" s="3" t="s">
        <v>240</v>
      </c>
    </row>
    <row r="15" spans="1:23">
      <c r="A15" t="s">
        <v>340</v>
      </c>
      <c r="B15">
        <v>153318</v>
      </c>
      <c r="C15" s="16">
        <v>153.31800000000001</v>
      </c>
      <c r="D15" s="16">
        <v>23.1</v>
      </c>
      <c r="E15">
        <v>1</v>
      </c>
      <c r="F15" s="16">
        <v>69.400000000000006</v>
      </c>
      <c r="G15">
        <v>1</v>
      </c>
      <c r="H15" s="16">
        <v>1.7262</v>
      </c>
      <c r="I15">
        <v>0</v>
      </c>
      <c r="J15">
        <v>0</v>
      </c>
      <c r="K15">
        <v>0</v>
      </c>
      <c r="L15" s="3" t="s">
        <v>702</v>
      </c>
      <c r="M15" s="16">
        <v>2.9989339999999998</v>
      </c>
      <c r="N15" t="s">
        <v>703</v>
      </c>
      <c r="Q15">
        <v>0</v>
      </c>
      <c r="R15">
        <v>0</v>
      </c>
      <c r="T15">
        <v>0</v>
      </c>
      <c r="U15">
        <v>60</v>
      </c>
      <c r="V15" t="s">
        <v>706</v>
      </c>
      <c r="W15" s="3" t="s">
        <v>240</v>
      </c>
    </row>
    <row r="16" spans="1:23">
      <c r="A16" t="s">
        <v>342</v>
      </c>
      <c r="B16">
        <v>5161</v>
      </c>
      <c r="C16" s="16">
        <v>5.1609999999999996</v>
      </c>
      <c r="D16" s="16">
        <v>21.3</v>
      </c>
      <c r="E16">
        <v>0</v>
      </c>
      <c r="F16" s="16">
        <v>70.400000000000006</v>
      </c>
      <c r="G16">
        <v>0</v>
      </c>
      <c r="H16" s="16">
        <v>6.9000000000000006E-2</v>
      </c>
      <c r="I16">
        <v>0</v>
      </c>
      <c r="J16">
        <v>0</v>
      </c>
      <c r="K16">
        <v>0</v>
      </c>
      <c r="L16" s="3" t="s">
        <v>702</v>
      </c>
      <c r="M16" s="16">
        <v>0</v>
      </c>
      <c r="N16" t="s">
        <v>703</v>
      </c>
      <c r="Q16">
        <v>0</v>
      </c>
      <c r="R16">
        <v>0</v>
      </c>
      <c r="T16">
        <v>0</v>
      </c>
      <c r="U16">
        <v>100</v>
      </c>
      <c r="V16" t="s">
        <v>704</v>
      </c>
      <c r="W16" s="3" t="s">
        <v>240</v>
      </c>
    </row>
    <row r="17" spans="1:23">
      <c r="A17" t="s">
        <v>346</v>
      </c>
      <c r="B17">
        <v>23689</v>
      </c>
      <c r="C17" s="16">
        <v>23.689</v>
      </c>
      <c r="D17" s="16">
        <v>21.4</v>
      </c>
      <c r="E17">
        <v>0</v>
      </c>
      <c r="F17" s="16">
        <v>70.099999999999994</v>
      </c>
      <c r="G17">
        <v>0</v>
      </c>
      <c r="H17" s="16">
        <v>0.72860000000000003</v>
      </c>
      <c r="I17">
        <v>0</v>
      </c>
      <c r="J17">
        <v>0</v>
      </c>
      <c r="K17">
        <v>0</v>
      </c>
      <c r="L17" s="3" t="s">
        <v>702</v>
      </c>
      <c r="M17" s="16">
        <v>0</v>
      </c>
      <c r="N17" t="s">
        <v>703</v>
      </c>
      <c r="Q17">
        <v>0</v>
      </c>
      <c r="R17">
        <v>0</v>
      </c>
      <c r="T17">
        <v>0</v>
      </c>
      <c r="U17">
        <v>100</v>
      </c>
      <c r="V17" t="s">
        <v>704</v>
      </c>
      <c r="W17" s="3" t="s">
        <v>240</v>
      </c>
    </row>
    <row r="18" spans="1:23">
      <c r="A18" t="s">
        <v>349</v>
      </c>
      <c r="B18">
        <v>39140</v>
      </c>
      <c r="C18" s="16">
        <v>39.14</v>
      </c>
      <c r="D18" s="16">
        <v>21.7</v>
      </c>
      <c r="E18">
        <v>0</v>
      </c>
      <c r="F18" s="16">
        <v>76.900000000000006</v>
      </c>
      <c r="G18">
        <v>0</v>
      </c>
      <c r="H18" s="16">
        <v>0.65949999999999998</v>
      </c>
      <c r="I18">
        <v>0</v>
      </c>
      <c r="J18">
        <v>0</v>
      </c>
      <c r="K18">
        <v>0</v>
      </c>
      <c r="L18" s="3" t="s">
        <v>702</v>
      </c>
      <c r="M18" s="16">
        <v>0</v>
      </c>
      <c r="N18" t="s">
        <v>703</v>
      </c>
      <c r="Q18">
        <v>0</v>
      </c>
      <c r="R18">
        <v>0</v>
      </c>
      <c r="T18">
        <v>0</v>
      </c>
      <c r="U18">
        <v>100</v>
      </c>
      <c r="V18" t="s">
        <v>704</v>
      </c>
      <c r="W18" s="3" t="s">
        <v>240</v>
      </c>
    </row>
    <row r="19" spans="1:23">
      <c r="A19" t="s">
        <v>352</v>
      </c>
      <c r="B19">
        <v>54594</v>
      </c>
      <c r="C19" s="16">
        <v>54.594000000000001</v>
      </c>
      <c r="D19" s="16">
        <v>21.8</v>
      </c>
      <c r="E19">
        <v>0</v>
      </c>
      <c r="F19" s="16">
        <v>74.2</v>
      </c>
      <c r="G19">
        <v>0</v>
      </c>
      <c r="H19" s="16">
        <v>0.74760000000000004</v>
      </c>
      <c r="I19">
        <v>0</v>
      </c>
      <c r="J19">
        <v>0</v>
      </c>
      <c r="K19">
        <v>0</v>
      </c>
      <c r="L19" s="3" t="s">
        <v>702</v>
      </c>
      <c r="M19" s="16">
        <v>0</v>
      </c>
      <c r="N19" t="s">
        <v>703</v>
      </c>
      <c r="Q19">
        <v>0</v>
      </c>
      <c r="R19">
        <v>0</v>
      </c>
      <c r="T19">
        <v>0</v>
      </c>
      <c r="U19">
        <v>100</v>
      </c>
      <c r="V19" t="s">
        <v>704</v>
      </c>
      <c r="W19" s="3" t="s">
        <v>240</v>
      </c>
    </row>
    <row r="20" spans="1:23">
      <c r="A20" t="s">
        <v>355</v>
      </c>
      <c r="B20">
        <v>70047</v>
      </c>
      <c r="C20" s="16">
        <v>70.046999999999997</v>
      </c>
      <c r="D20" s="16">
        <v>21.8</v>
      </c>
      <c r="E20">
        <v>0</v>
      </c>
      <c r="F20" s="16">
        <v>72.099999999999994</v>
      </c>
      <c r="G20">
        <v>0</v>
      </c>
      <c r="H20" s="16">
        <v>0.84519999999999995</v>
      </c>
      <c r="I20">
        <v>0</v>
      </c>
      <c r="J20">
        <v>0</v>
      </c>
      <c r="K20">
        <v>0</v>
      </c>
      <c r="L20" s="3" t="s">
        <v>702</v>
      </c>
      <c r="M20" s="16">
        <v>0</v>
      </c>
      <c r="N20" t="s">
        <v>703</v>
      </c>
      <c r="Q20">
        <v>0</v>
      </c>
      <c r="R20">
        <v>0</v>
      </c>
      <c r="T20">
        <v>0</v>
      </c>
      <c r="U20">
        <v>100</v>
      </c>
      <c r="V20" t="s">
        <v>704</v>
      </c>
      <c r="W20" s="3" t="s">
        <v>240</v>
      </c>
    </row>
    <row r="21" spans="1:23">
      <c r="A21" t="s">
        <v>358</v>
      </c>
      <c r="B21">
        <v>85499</v>
      </c>
      <c r="C21" s="16">
        <v>85.498999999999995</v>
      </c>
      <c r="D21" s="16">
        <v>21.8</v>
      </c>
      <c r="E21">
        <v>0</v>
      </c>
      <c r="F21" s="16">
        <v>70.7</v>
      </c>
      <c r="G21">
        <v>0</v>
      </c>
      <c r="H21" s="16">
        <v>0.72860000000000003</v>
      </c>
      <c r="I21">
        <v>0</v>
      </c>
      <c r="J21">
        <v>0</v>
      </c>
      <c r="K21">
        <v>0</v>
      </c>
      <c r="L21" s="3" t="s">
        <v>702</v>
      </c>
      <c r="M21" s="16">
        <v>0</v>
      </c>
      <c r="N21" t="s">
        <v>703</v>
      </c>
      <c r="Q21">
        <v>0</v>
      </c>
      <c r="R21">
        <v>0</v>
      </c>
      <c r="T21">
        <v>0</v>
      </c>
      <c r="U21">
        <v>100</v>
      </c>
      <c r="V21" t="s">
        <v>704</v>
      </c>
      <c r="W21" s="3" t="s">
        <v>240</v>
      </c>
    </row>
    <row r="22" spans="1:23">
      <c r="A22" t="s">
        <v>361</v>
      </c>
      <c r="B22">
        <v>100952</v>
      </c>
      <c r="C22" s="16">
        <v>100.952</v>
      </c>
      <c r="D22" s="16">
        <v>21.7</v>
      </c>
      <c r="E22">
        <v>0</v>
      </c>
      <c r="F22" s="16">
        <v>70.099999999999994</v>
      </c>
      <c r="G22">
        <v>0</v>
      </c>
      <c r="H22" s="16">
        <v>0.72860000000000003</v>
      </c>
      <c r="I22">
        <v>0</v>
      </c>
      <c r="J22">
        <v>0</v>
      </c>
      <c r="K22">
        <v>0</v>
      </c>
      <c r="L22" s="3" t="s">
        <v>702</v>
      </c>
      <c r="M22" s="16">
        <v>0</v>
      </c>
      <c r="N22" t="s">
        <v>703</v>
      </c>
      <c r="Q22">
        <v>0</v>
      </c>
      <c r="R22">
        <v>0</v>
      </c>
      <c r="T22">
        <v>0</v>
      </c>
      <c r="U22">
        <v>100</v>
      </c>
      <c r="V22" t="s">
        <v>704</v>
      </c>
      <c r="W22" s="3" t="s">
        <v>240</v>
      </c>
    </row>
    <row r="23" spans="1:23">
      <c r="A23" t="s">
        <v>364</v>
      </c>
      <c r="B23">
        <v>116496</v>
      </c>
      <c r="C23" s="16">
        <v>116.496</v>
      </c>
      <c r="D23" s="16">
        <v>21.8</v>
      </c>
      <c r="E23">
        <v>0</v>
      </c>
      <c r="F23" s="16">
        <v>69.900000000000006</v>
      </c>
      <c r="G23">
        <v>0</v>
      </c>
      <c r="H23" s="16">
        <v>0.62380000000000002</v>
      </c>
      <c r="I23">
        <v>0</v>
      </c>
      <c r="J23">
        <v>0</v>
      </c>
      <c r="K23">
        <v>0</v>
      </c>
      <c r="L23" s="3" t="s">
        <v>702</v>
      </c>
      <c r="M23" s="16">
        <v>0</v>
      </c>
      <c r="N23" t="s">
        <v>703</v>
      </c>
      <c r="Q23">
        <v>0</v>
      </c>
      <c r="R23">
        <v>0</v>
      </c>
      <c r="T23">
        <v>0</v>
      </c>
      <c r="U23">
        <v>100</v>
      </c>
      <c r="V23" t="s">
        <v>704</v>
      </c>
      <c r="W23" s="3" t="s">
        <v>240</v>
      </c>
    </row>
    <row r="24" spans="1:23">
      <c r="A24" t="s">
        <v>368</v>
      </c>
      <c r="B24">
        <v>132052</v>
      </c>
      <c r="C24" s="16">
        <v>132.05199999999999</v>
      </c>
      <c r="D24" s="16">
        <v>21.7</v>
      </c>
      <c r="E24">
        <v>0</v>
      </c>
      <c r="F24" s="16">
        <v>70</v>
      </c>
      <c r="G24">
        <v>0</v>
      </c>
      <c r="H24" s="16">
        <v>1.3833</v>
      </c>
      <c r="I24">
        <v>0</v>
      </c>
      <c r="J24">
        <v>0</v>
      </c>
      <c r="K24">
        <v>0</v>
      </c>
      <c r="L24" s="3" t="s">
        <v>702</v>
      </c>
      <c r="M24" s="16">
        <v>0</v>
      </c>
      <c r="N24" t="s">
        <v>703</v>
      </c>
      <c r="Q24">
        <v>0</v>
      </c>
      <c r="R24">
        <v>0</v>
      </c>
      <c r="T24">
        <v>0</v>
      </c>
      <c r="U24">
        <v>100</v>
      </c>
      <c r="V24" t="s">
        <v>704</v>
      </c>
      <c r="W24" s="3" t="s">
        <v>240</v>
      </c>
    </row>
    <row r="25" spans="1:23">
      <c r="A25" t="s">
        <v>384</v>
      </c>
      <c r="B25">
        <v>5107</v>
      </c>
      <c r="C25" s="16">
        <v>5.1070000000000002</v>
      </c>
      <c r="D25" s="16">
        <v>27.2</v>
      </c>
      <c r="E25">
        <v>0</v>
      </c>
      <c r="F25" s="16">
        <v>81.599999999999994</v>
      </c>
      <c r="G25">
        <v>0</v>
      </c>
      <c r="H25" s="16">
        <v>0</v>
      </c>
      <c r="I25">
        <v>1</v>
      </c>
      <c r="J25">
        <v>0</v>
      </c>
      <c r="K25">
        <v>0</v>
      </c>
      <c r="L25" s="3" t="s">
        <v>705</v>
      </c>
      <c r="M25" s="16">
        <v>0</v>
      </c>
      <c r="N25" t="s">
        <v>385</v>
      </c>
      <c r="P25">
        <v>0</v>
      </c>
      <c r="Q25">
        <v>0</v>
      </c>
      <c r="R25">
        <v>0</v>
      </c>
      <c r="T25">
        <v>0</v>
      </c>
      <c r="U25">
        <v>100</v>
      </c>
      <c r="V25" t="s">
        <v>704</v>
      </c>
      <c r="W25" s="3"/>
    </row>
    <row r="26" spans="1:23">
      <c r="A26" t="s">
        <v>387</v>
      </c>
      <c r="B26">
        <v>10128</v>
      </c>
      <c r="C26" s="16">
        <v>10.128</v>
      </c>
      <c r="D26" s="16">
        <v>27.3</v>
      </c>
      <c r="E26">
        <v>0</v>
      </c>
      <c r="F26" s="16">
        <v>82</v>
      </c>
      <c r="G26">
        <v>0</v>
      </c>
      <c r="H26" s="16">
        <v>0.1</v>
      </c>
      <c r="I26">
        <v>1</v>
      </c>
      <c r="J26">
        <v>0</v>
      </c>
      <c r="K26">
        <v>0</v>
      </c>
      <c r="L26" s="3" t="s">
        <v>705</v>
      </c>
      <c r="M26" s="16">
        <v>0</v>
      </c>
      <c r="N26" t="s">
        <v>385</v>
      </c>
      <c r="P26">
        <v>0</v>
      </c>
      <c r="Q26">
        <v>0</v>
      </c>
      <c r="R26">
        <v>0</v>
      </c>
      <c r="T26">
        <v>0</v>
      </c>
      <c r="U26">
        <v>100</v>
      </c>
      <c r="V26" t="s">
        <v>704</v>
      </c>
      <c r="W26" s="3"/>
    </row>
    <row r="27" spans="1:23">
      <c r="A27" t="s">
        <v>388</v>
      </c>
      <c r="B27">
        <v>15147</v>
      </c>
      <c r="C27" s="16">
        <v>15.147</v>
      </c>
      <c r="D27" s="16">
        <v>27.3</v>
      </c>
      <c r="E27">
        <v>0</v>
      </c>
      <c r="F27" s="16">
        <v>82</v>
      </c>
      <c r="G27">
        <v>0</v>
      </c>
      <c r="H27" s="16">
        <v>0.3</v>
      </c>
      <c r="I27">
        <v>1</v>
      </c>
      <c r="J27">
        <v>0</v>
      </c>
      <c r="K27">
        <v>0</v>
      </c>
      <c r="L27" s="3" t="s">
        <v>705</v>
      </c>
      <c r="M27" s="16">
        <v>0</v>
      </c>
      <c r="N27" t="s">
        <v>385</v>
      </c>
      <c r="P27">
        <v>0</v>
      </c>
      <c r="Q27">
        <v>0</v>
      </c>
      <c r="R27">
        <v>0</v>
      </c>
      <c r="T27">
        <v>0</v>
      </c>
      <c r="U27">
        <v>100</v>
      </c>
      <c r="V27" t="s">
        <v>704</v>
      </c>
      <c r="W27" s="3"/>
    </row>
    <row r="28" spans="1:23">
      <c r="A28" t="s">
        <v>389</v>
      </c>
      <c r="B28">
        <v>20167</v>
      </c>
      <c r="C28" s="16">
        <v>20.167000000000002</v>
      </c>
      <c r="D28" s="16">
        <v>27.3</v>
      </c>
      <c r="E28">
        <v>0</v>
      </c>
      <c r="F28" s="16">
        <v>82</v>
      </c>
      <c r="G28">
        <v>0</v>
      </c>
      <c r="H28" s="16">
        <v>0.2</v>
      </c>
      <c r="I28">
        <v>1</v>
      </c>
      <c r="J28">
        <v>0</v>
      </c>
      <c r="K28">
        <v>0</v>
      </c>
      <c r="L28" s="3" t="s">
        <v>705</v>
      </c>
      <c r="M28" s="16">
        <v>0</v>
      </c>
      <c r="N28" t="s">
        <v>385</v>
      </c>
      <c r="P28">
        <v>0</v>
      </c>
      <c r="Q28">
        <v>0</v>
      </c>
      <c r="R28">
        <v>0</v>
      </c>
      <c r="T28">
        <v>0</v>
      </c>
      <c r="U28">
        <v>100</v>
      </c>
      <c r="V28" t="s">
        <v>704</v>
      </c>
      <c r="W28" s="3"/>
    </row>
    <row r="29" spans="1:23">
      <c r="A29" t="s">
        <v>390</v>
      </c>
      <c r="B29">
        <v>25188</v>
      </c>
      <c r="C29" s="16">
        <v>25.187999999999999</v>
      </c>
      <c r="D29" s="16">
        <v>27.3</v>
      </c>
      <c r="E29">
        <v>0</v>
      </c>
      <c r="F29" s="16">
        <v>82.1</v>
      </c>
      <c r="G29">
        <v>0</v>
      </c>
      <c r="H29" s="16">
        <v>0.4</v>
      </c>
      <c r="I29">
        <v>1</v>
      </c>
      <c r="J29">
        <v>0</v>
      </c>
      <c r="K29">
        <v>0</v>
      </c>
      <c r="L29" s="3" t="s">
        <v>705</v>
      </c>
      <c r="M29" s="16">
        <v>0</v>
      </c>
      <c r="N29" t="s">
        <v>385</v>
      </c>
      <c r="P29">
        <v>0</v>
      </c>
      <c r="Q29">
        <v>0</v>
      </c>
      <c r="R29">
        <v>0</v>
      </c>
      <c r="T29">
        <v>0</v>
      </c>
      <c r="U29">
        <v>100</v>
      </c>
      <c r="V29" t="s">
        <v>704</v>
      </c>
      <c r="W29" s="3"/>
    </row>
    <row r="30" spans="1:23">
      <c r="A30" t="s">
        <v>391</v>
      </c>
      <c r="B30">
        <v>30206</v>
      </c>
      <c r="C30" s="16">
        <v>30.206</v>
      </c>
      <c r="D30" s="16">
        <v>27.3</v>
      </c>
      <c r="E30">
        <v>0</v>
      </c>
      <c r="F30" s="16">
        <v>82.1</v>
      </c>
      <c r="G30">
        <v>0</v>
      </c>
      <c r="H30" s="16">
        <v>0.3</v>
      </c>
      <c r="I30">
        <v>1</v>
      </c>
      <c r="J30">
        <v>0</v>
      </c>
      <c r="K30">
        <v>0</v>
      </c>
      <c r="L30" s="3" t="s">
        <v>705</v>
      </c>
      <c r="M30" s="16">
        <v>0</v>
      </c>
      <c r="N30" t="s">
        <v>385</v>
      </c>
      <c r="P30">
        <v>0</v>
      </c>
      <c r="Q30">
        <v>0</v>
      </c>
      <c r="R30">
        <v>0</v>
      </c>
      <c r="T30">
        <v>0</v>
      </c>
      <c r="U30">
        <v>100</v>
      </c>
      <c r="V30" t="s">
        <v>704</v>
      </c>
      <c r="W30" s="3"/>
    </row>
    <row r="31" spans="1:23">
      <c r="A31" t="s">
        <v>392</v>
      </c>
      <c r="B31">
        <v>35227</v>
      </c>
      <c r="C31" s="16">
        <v>35.226999999999997</v>
      </c>
      <c r="D31" s="16">
        <v>27.3</v>
      </c>
      <c r="E31">
        <v>0</v>
      </c>
      <c r="F31" s="16">
        <v>82.1</v>
      </c>
      <c r="G31">
        <v>0</v>
      </c>
      <c r="H31" s="16">
        <v>0.5</v>
      </c>
      <c r="I31">
        <v>1</v>
      </c>
      <c r="J31">
        <v>0</v>
      </c>
      <c r="K31">
        <v>0</v>
      </c>
      <c r="L31" s="3" t="s">
        <v>705</v>
      </c>
      <c r="M31" s="16">
        <v>0</v>
      </c>
      <c r="N31" t="s">
        <v>385</v>
      </c>
      <c r="P31">
        <v>0</v>
      </c>
      <c r="Q31">
        <v>0</v>
      </c>
      <c r="R31">
        <v>0</v>
      </c>
      <c r="T31">
        <v>0</v>
      </c>
      <c r="U31">
        <v>100</v>
      </c>
      <c r="V31" t="s">
        <v>704</v>
      </c>
      <c r="W31" s="3"/>
    </row>
    <row r="32" spans="1:23">
      <c r="A32" t="s">
        <v>393</v>
      </c>
      <c r="B32">
        <v>40246</v>
      </c>
      <c r="C32" s="16">
        <v>40.246000000000002</v>
      </c>
      <c r="D32" s="16">
        <v>27.3</v>
      </c>
      <c r="E32">
        <v>0</v>
      </c>
      <c r="F32" s="16">
        <v>82.3</v>
      </c>
      <c r="G32">
        <v>0</v>
      </c>
      <c r="H32" s="16">
        <v>0.5</v>
      </c>
      <c r="I32">
        <v>1</v>
      </c>
      <c r="J32">
        <v>0</v>
      </c>
      <c r="K32">
        <v>0</v>
      </c>
      <c r="L32" s="3" t="s">
        <v>705</v>
      </c>
      <c r="M32" s="16">
        <v>0</v>
      </c>
      <c r="N32" t="s">
        <v>385</v>
      </c>
      <c r="P32">
        <v>0</v>
      </c>
      <c r="Q32">
        <v>0</v>
      </c>
      <c r="R32">
        <v>0</v>
      </c>
      <c r="T32">
        <v>0</v>
      </c>
      <c r="U32">
        <v>100</v>
      </c>
      <c r="V32" t="s">
        <v>704</v>
      </c>
      <c r="W32" s="3"/>
    </row>
    <row r="33" spans="1:23">
      <c r="A33" t="s">
        <v>394</v>
      </c>
      <c r="B33">
        <v>45264</v>
      </c>
      <c r="C33" s="16">
        <v>45.264000000000003</v>
      </c>
      <c r="D33" s="16">
        <v>27.3</v>
      </c>
      <c r="E33">
        <v>0</v>
      </c>
      <c r="F33" s="16">
        <v>82.1</v>
      </c>
      <c r="G33">
        <v>0</v>
      </c>
      <c r="H33" s="16">
        <v>0.5</v>
      </c>
      <c r="I33">
        <v>1</v>
      </c>
      <c r="J33">
        <v>0</v>
      </c>
      <c r="K33">
        <v>0</v>
      </c>
      <c r="L33" s="3" t="s">
        <v>705</v>
      </c>
      <c r="M33" s="16">
        <v>0</v>
      </c>
      <c r="N33" t="s">
        <v>385</v>
      </c>
      <c r="P33">
        <v>0</v>
      </c>
      <c r="Q33">
        <v>0</v>
      </c>
      <c r="R33">
        <v>0</v>
      </c>
      <c r="T33">
        <v>0</v>
      </c>
      <c r="U33">
        <v>100</v>
      </c>
      <c r="V33" t="s">
        <v>704</v>
      </c>
      <c r="W33" s="3"/>
    </row>
    <row r="34" spans="1:23">
      <c r="A34" t="s">
        <v>395</v>
      </c>
      <c r="B34">
        <v>50285</v>
      </c>
      <c r="C34" s="16">
        <v>50.284999999999997</v>
      </c>
      <c r="D34" s="16">
        <v>27.3</v>
      </c>
      <c r="E34">
        <v>0</v>
      </c>
      <c r="F34" s="16">
        <v>82</v>
      </c>
      <c r="G34">
        <v>0</v>
      </c>
      <c r="H34" s="16">
        <v>0.5</v>
      </c>
      <c r="I34">
        <v>1</v>
      </c>
      <c r="J34">
        <v>0</v>
      </c>
      <c r="K34">
        <v>0</v>
      </c>
      <c r="L34" s="3" t="s">
        <v>705</v>
      </c>
      <c r="M34" s="16">
        <v>0</v>
      </c>
      <c r="N34" t="s">
        <v>385</v>
      </c>
      <c r="P34">
        <v>0</v>
      </c>
      <c r="Q34">
        <v>0</v>
      </c>
      <c r="R34">
        <v>0</v>
      </c>
      <c r="T34">
        <v>0</v>
      </c>
      <c r="U34">
        <v>100</v>
      </c>
      <c r="V34" t="s">
        <v>704</v>
      </c>
      <c r="W34" s="3"/>
    </row>
    <row r="35" spans="1:23">
      <c r="A35" t="s">
        <v>396</v>
      </c>
      <c r="B35">
        <v>55304</v>
      </c>
      <c r="C35" s="16">
        <v>55.304000000000002</v>
      </c>
      <c r="D35" s="16">
        <v>27.3</v>
      </c>
      <c r="E35">
        <v>0</v>
      </c>
      <c r="F35" s="16">
        <v>81.599999999999994</v>
      </c>
      <c r="G35">
        <v>0</v>
      </c>
      <c r="H35" s="16">
        <v>0.4</v>
      </c>
      <c r="I35">
        <v>1</v>
      </c>
      <c r="J35">
        <v>0</v>
      </c>
      <c r="K35">
        <v>0</v>
      </c>
      <c r="L35" s="3" t="s">
        <v>705</v>
      </c>
      <c r="M35" s="16">
        <v>0</v>
      </c>
      <c r="N35" t="s">
        <v>385</v>
      </c>
      <c r="P35">
        <v>0</v>
      </c>
      <c r="Q35">
        <v>0</v>
      </c>
      <c r="R35">
        <v>0</v>
      </c>
      <c r="T35">
        <v>0</v>
      </c>
      <c r="U35">
        <v>100</v>
      </c>
      <c r="V35" t="s">
        <v>704</v>
      </c>
      <c r="W35" s="3"/>
    </row>
    <row r="36" spans="1:23">
      <c r="A36" t="s">
        <v>397</v>
      </c>
      <c r="B36">
        <v>60324</v>
      </c>
      <c r="C36" s="16">
        <v>60.323999999999998</v>
      </c>
      <c r="D36" s="16">
        <v>27.3</v>
      </c>
      <c r="E36">
        <v>0</v>
      </c>
      <c r="F36" s="16">
        <v>81.3</v>
      </c>
      <c r="G36">
        <v>0</v>
      </c>
      <c r="H36" s="16">
        <v>0.4</v>
      </c>
      <c r="I36">
        <v>1</v>
      </c>
      <c r="J36">
        <v>0</v>
      </c>
      <c r="K36">
        <v>0</v>
      </c>
      <c r="L36" s="3" t="s">
        <v>705</v>
      </c>
      <c r="M36" s="16">
        <v>0</v>
      </c>
      <c r="N36" t="s">
        <v>385</v>
      </c>
      <c r="P36">
        <v>0</v>
      </c>
      <c r="Q36">
        <v>0</v>
      </c>
      <c r="R36">
        <v>0</v>
      </c>
      <c r="T36">
        <v>0</v>
      </c>
      <c r="U36">
        <v>100</v>
      </c>
      <c r="V36" t="s">
        <v>704</v>
      </c>
      <c r="W36" s="3"/>
    </row>
    <row r="37" spans="1:23">
      <c r="A37" t="s">
        <v>398</v>
      </c>
      <c r="B37">
        <v>65343</v>
      </c>
      <c r="C37" s="16">
        <v>65.343000000000004</v>
      </c>
      <c r="D37" s="16">
        <v>27.3</v>
      </c>
      <c r="E37">
        <v>0</v>
      </c>
      <c r="F37" s="16">
        <v>81.099999999999994</v>
      </c>
      <c r="G37">
        <v>0</v>
      </c>
      <c r="H37" s="16">
        <v>0.2</v>
      </c>
      <c r="I37">
        <v>1</v>
      </c>
      <c r="J37">
        <v>0</v>
      </c>
      <c r="K37">
        <v>0</v>
      </c>
      <c r="L37" s="3" t="s">
        <v>705</v>
      </c>
      <c r="M37" s="16">
        <v>0</v>
      </c>
      <c r="N37" t="s">
        <v>385</v>
      </c>
      <c r="P37">
        <v>0</v>
      </c>
      <c r="Q37">
        <v>0</v>
      </c>
      <c r="R37">
        <v>0</v>
      </c>
      <c r="T37">
        <v>0</v>
      </c>
      <c r="U37">
        <v>100</v>
      </c>
      <c r="V37" t="s">
        <v>704</v>
      </c>
      <c r="W37" s="3"/>
    </row>
    <row r="38" spans="1:23">
      <c r="A38" t="s">
        <v>399</v>
      </c>
      <c r="B38">
        <v>70362</v>
      </c>
      <c r="C38" s="16">
        <v>70.361999999999995</v>
      </c>
      <c r="D38" s="16">
        <v>27.3</v>
      </c>
      <c r="E38">
        <v>0</v>
      </c>
      <c r="F38" s="16">
        <v>81.099999999999994</v>
      </c>
      <c r="G38">
        <v>0</v>
      </c>
      <c r="H38" s="16">
        <v>0.7</v>
      </c>
      <c r="I38">
        <v>1</v>
      </c>
      <c r="J38">
        <v>0</v>
      </c>
      <c r="K38">
        <v>0</v>
      </c>
      <c r="L38" s="3" t="s">
        <v>705</v>
      </c>
      <c r="M38" s="16">
        <v>0</v>
      </c>
      <c r="N38" t="s">
        <v>385</v>
      </c>
      <c r="P38">
        <v>0</v>
      </c>
      <c r="Q38">
        <v>0</v>
      </c>
      <c r="R38">
        <v>0</v>
      </c>
      <c r="T38">
        <v>0</v>
      </c>
      <c r="U38">
        <v>100</v>
      </c>
      <c r="V38" t="s">
        <v>704</v>
      </c>
      <c r="W38" s="3"/>
    </row>
    <row r="39" spans="1:23">
      <c r="A39" t="s">
        <v>400</v>
      </c>
      <c r="B39">
        <v>75382</v>
      </c>
      <c r="C39" s="16">
        <v>75.382000000000005</v>
      </c>
      <c r="D39" s="16">
        <v>27.3</v>
      </c>
      <c r="E39">
        <v>0</v>
      </c>
      <c r="F39" s="16">
        <v>81.3</v>
      </c>
      <c r="G39">
        <v>0</v>
      </c>
      <c r="H39" s="16">
        <v>0.3</v>
      </c>
      <c r="I39">
        <v>1</v>
      </c>
      <c r="J39">
        <v>0</v>
      </c>
      <c r="K39">
        <v>0</v>
      </c>
      <c r="L39" s="3" t="s">
        <v>705</v>
      </c>
      <c r="M39" s="16">
        <v>0</v>
      </c>
      <c r="N39" t="s">
        <v>385</v>
      </c>
      <c r="P39">
        <v>0</v>
      </c>
      <c r="Q39">
        <v>0</v>
      </c>
      <c r="R39">
        <v>0</v>
      </c>
      <c r="T39">
        <v>0</v>
      </c>
      <c r="U39">
        <v>100</v>
      </c>
      <c r="V39" t="s">
        <v>704</v>
      </c>
      <c r="W39" s="3"/>
    </row>
    <row r="40" spans="1:23">
      <c r="A40" t="s">
        <v>401</v>
      </c>
      <c r="B40">
        <v>80401</v>
      </c>
      <c r="C40" s="16">
        <v>80.400999999999996</v>
      </c>
      <c r="D40" s="16">
        <v>27.3</v>
      </c>
      <c r="E40">
        <v>0</v>
      </c>
      <c r="F40" s="16">
        <v>81.099999999999994</v>
      </c>
      <c r="G40">
        <v>0</v>
      </c>
      <c r="H40" s="16">
        <v>0.2</v>
      </c>
      <c r="I40">
        <v>1</v>
      </c>
      <c r="J40">
        <v>0</v>
      </c>
      <c r="K40">
        <v>0</v>
      </c>
      <c r="L40" s="3" t="s">
        <v>705</v>
      </c>
      <c r="M40" s="16">
        <v>0</v>
      </c>
      <c r="N40" t="s">
        <v>385</v>
      </c>
      <c r="P40">
        <v>0</v>
      </c>
      <c r="Q40">
        <v>0</v>
      </c>
      <c r="R40">
        <v>0</v>
      </c>
      <c r="T40">
        <v>0</v>
      </c>
      <c r="U40">
        <v>100</v>
      </c>
      <c r="V40" t="s">
        <v>704</v>
      </c>
      <c r="W40" s="3"/>
    </row>
    <row r="41" spans="1:23">
      <c r="A41" t="s">
        <v>402</v>
      </c>
      <c r="B41">
        <v>85421</v>
      </c>
      <c r="C41" s="16">
        <v>85.421000000000006</v>
      </c>
      <c r="D41" s="16">
        <v>27.3</v>
      </c>
      <c r="E41">
        <v>0</v>
      </c>
      <c r="F41" s="16">
        <v>81</v>
      </c>
      <c r="G41">
        <v>0</v>
      </c>
      <c r="H41" s="16">
        <v>0</v>
      </c>
      <c r="I41">
        <v>1</v>
      </c>
      <c r="J41">
        <v>0</v>
      </c>
      <c r="K41">
        <v>0</v>
      </c>
      <c r="L41" s="3" t="s">
        <v>705</v>
      </c>
      <c r="M41" s="16">
        <v>0</v>
      </c>
      <c r="N41" t="s">
        <v>385</v>
      </c>
      <c r="P41">
        <v>0</v>
      </c>
      <c r="Q41">
        <v>0</v>
      </c>
      <c r="R41">
        <v>0</v>
      </c>
      <c r="T41">
        <v>0</v>
      </c>
      <c r="U41">
        <v>100</v>
      </c>
      <c r="V41" t="s">
        <v>704</v>
      </c>
      <c r="W41" s="3"/>
    </row>
    <row r="42" spans="1:23">
      <c r="A42" t="s">
        <v>403</v>
      </c>
      <c r="B42">
        <v>90439</v>
      </c>
      <c r="C42" s="16">
        <v>90.438999999999993</v>
      </c>
      <c r="D42" s="16">
        <v>27.3</v>
      </c>
      <c r="E42">
        <v>0</v>
      </c>
      <c r="F42" s="16">
        <v>81</v>
      </c>
      <c r="G42">
        <v>0</v>
      </c>
      <c r="H42" s="16">
        <v>0.2</v>
      </c>
      <c r="I42">
        <v>1</v>
      </c>
      <c r="J42">
        <v>0</v>
      </c>
      <c r="K42">
        <v>0</v>
      </c>
      <c r="L42" s="3" t="s">
        <v>705</v>
      </c>
      <c r="M42" s="16">
        <v>0</v>
      </c>
      <c r="N42" t="s">
        <v>385</v>
      </c>
      <c r="P42">
        <v>0</v>
      </c>
      <c r="Q42">
        <v>0</v>
      </c>
      <c r="R42">
        <v>0</v>
      </c>
      <c r="T42">
        <v>0</v>
      </c>
      <c r="U42">
        <v>100</v>
      </c>
      <c r="V42" t="s">
        <v>704</v>
      </c>
      <c r="W42" s="3"/>
    </row>
    <row r="43" spans="1:23">
      <c r="A43" t="s">
        <v>404</v>
      </c>
      <c r="B43">
        <v>95458</v>
      </c>
      <c r="C43" s="16">
        <v>95.457999999999998</v>
      </c>
      <c r="D43" s="16">
        <v>27.3</v>
      </c>
      <c r="E43">
        <v>0</v>
      </c>
      <c r="F43" s="16">
        <v>80.8</v>
      </c>
      <c r="G43">
        <v>0</v>
      </c>
      <c r="H43" s="16">
        <v>0.2</v>
      </c>
      <c r="I43">
        <v>1</v>
      </c>
      <c r="J43">
        <v>0</v>
      </c>
      <c r="K43">
        <v>0</v>
      </c>
      <c r="L43" s="3" t="s">
        <v>705</v>
      </c>
      <c r="M43" s="16">
        <v>0</v>
      </c>
      <c r="N43" t="s">
        <v>385</v>
      </c>
      <c r="P43">
        <v>0</v>
      </c>
      <c r="Q43">
        <v>0</v>
      </c>
      <c r="R43">
        <v>0</v>
      </c>
      <c r="T43">
        <v>0</v>
      </c>
      <c r="U43">
        <v>100</v>
      </c>
      <c r="V43" t="s">
        <v>704</v>
      </c>
      <c r="W43" s="3"/>
    </row>
    <row r="44" spans="1:23">
      <c r="A44" t="s">
        <v>405</v>
      </c>
      <c r="B44">
        <v>100478</v>
      </c>
      <c r="C44" s="16">
        <v>100.47799999999999</v>
      </c>
      <c r="D44" s="16">
        <v>27.3</v>
      </c>
      <c r="E44">
        <v>0</v>
      </c>
      <c r="F44" s="16">
        <v>80.8</v>
      </c>
      <c r="G44">
        <v>0</v>
      </c>
      <c r="H44" s="16">
        <v>0.1</v>
      </c>
      <c r="I44">
        <v>1</v>
      </c>
      <c r="J44">
        <v>0</v>
      </c>
      <c r="K44">
        <v>0</v>
      </c>
      <c r="L44" s="3" t="s">
        <v>705</v>
      </c>
      <c r="M44" s="16">
        <v>0</v>
      </c>
      <c r="N44" t="s">
        <v>385</v>
      </c>
      <c r="P44">
        <v>0</v>
      </c>
      <c r="Q44">
        <v>0</v>
      </c>
      <c r="R44">
        <v>0</v>
      </c>
      <c r="T44">
        <v>0</v>
      </c>
      <c r="U44">
        <v>100</v>
      </c>
      <c r="V44" t="s">
        <v>704</v>
      </c>
      <c r="W44" s="3"/>
    </row>
    <row r="45" spans="1:23">
      <c r="A45" t="s">
        <v>406</v>
      </c>
      <c r="B45">
        <v>105498</v>
      </c>
      <c r="C45" s="16">
        <v>105.498</v>
      </c>
      <c r="D45" s="16">
        <v>27.3</v>
      </c>
      <c r="E45">
        <v>0</v>
      </c>
      <c r="F45" s="16">
        <v>80.7</v>
      </c>
      <c r="G45">
        <v>0</v>
      </c>
      <c r="H45" s="16">
        <v>0</v>
      </c>
      <c r="I45">
        <v>1</v>
      </c>
      <c r="J45">
        <v>0</v>
      </c>
      <c r="K45">
        <v>0</v>
      </c>
      <c r="L45" s="3" t="s">
        <v>705</v>
      </c>
      <c r="M45" s="16">
        <v>0</v>
      </c>
      <c r="N45" t="s">
        <v>385</v>
      </c>
      <c r="P45">
        <v>0</v>
      </c>
      <c r="Q45">
        <v>0</v>
      </c>
      <c r="R45">
        <v>0</v>
      </c>
      <c r="T45">
        <v>0</v>
      </c>
      <c r="U45">
        <v>100</v>
      </c>
      <c r="V45" t="s">
        <v>704</v>
      </c>
      <c r="W45" s="3"/>
    </row>
    <row r="46" spans="1:23">
      <c r="A46" t="s">
        <v>407</v>
      </c>
      <c r="B46">
        <v>110517</v>
      </c>
      <c r="C46" s="16">
        <v>110.517</v>
      </c>
      <c r="D46" s="16">
        <v>27.3</v>
      </c>
      <c r="E46">
        <v>0</v>
      </c>
      <c r="F46" s="16">
        <v>80.5</v>
      </c>
      <c r="G46">
        <v>0</v>
      </c>
      <c r="H46" s="16">
        <v>0.1</v>
      </c>
      <c r="I46">
        <v>1</v>
      </c>
      <c r="J46">
        <v>0</v>
      </c>
      <c r="K46">
        <v>0</v>
      </c>
      <c r="L46" s="3" t="s">
        <v>705</v>
      </c>
      <c r="M46" s="16">
        <v>0</v>
      </c>
      <c r="N46" t="s">
        <v>385</v>
      </c>
      <c r="P46">
        <v>0</v>
      </c>
      <c r="Q46">
        <v>0</v>
      </c>
      <c r="R46">
        <v>0</v>
      </c>
      <c r="T46">
        <v>0</v>
      </c>
      <c r="U46">
        <v>100</v>
      </c>
      <c r="V46" t="s">
        <v>704</v>
      </c>
      <c r="W46" s="3"/>
    </row>
    <row r="47" spans="1:23">
      <c r="A47" t="s">
        <v>408</v>
      </c>
      <c r="B47">
        <v>115535</v>
      </c>
      <c r="C47" s="16">
        <v>115.535</v>
      </c>
      <c r="D47" s="16">
        <v>27.3</v>
      </c>
      <c r="E47">
        <v>0</v>
      </c>
      <c r="F47" s="16">
        <v>80.400000000000006</v>
      </c>
      <c r="G47">
        <v>0</v>
      </c>
      <c r="H47" s="16">
        <v>0.1</v>
      </c>
      <c r="I47">
        <v>1</v>
      </c>
      <c r="J47">
        <v>0</v>
      </c>
      <c r="K47">
        <v>0</v>
      </c>
      <c r="L47" s="3" t="s">
        <v>705</v>
      </c>
      <c r="M47" s="16">
        <v>0</v>
      </c>
      <c r="N47" t="s">
        <v>385</v>
      </c>
      <c r="P47">
        <v>0</v>
      </c>
      <c r="Q47">
        <v>0</v>
      </c>
      <c r="R47">
        <v>0</v>
      </c>
      <c r="T47">
        <v>0</v>
      </c>
      <c r="U47">
        <v>100</v>
      </c>
      <c r="V47" t="s">
        <v>704</v>
      </c>
      <c r="W47" s="3"/>
    </row>
    <row r="48" spans="1:23">
      <c r="A48" t="s">
        <v>409</v>
      </c>
      <c r="B48">
        <v>120556</v>
      </c>
      <c r="C48" s="16">
        <v>120.556</v>
      </c>
      <c r="D48" s="16">
        <v>27.3</v>
      </c>
      <c r="E48">
        <v>0</v>
      </c>
      <c r="F48" s="16">
        <v>80.400000000000006</v>
      </c>
      <c r="G48">
        <v>0</v>
      </c>
      <c r="H48" s="16">
        <v>0.2</v>
      </c>
      <c r="I48">
        <v>1</v>
      </c>
      <c r="J48">
        <v>0</v>
      </c>
      <c r="K48">
        <v>0</v>
      </c>
      <c r="L48" s="3" t="s">
        <v>705</v>
      </c>
      <c r="M48" s="16">
        <v>0</v>
      </c>
      <c r="N48" t="s">
        <v>385</v>
      </c>
      <c r="P48">
        <v>0</v>
      </c>
      <c r="Q48">
        <v>0</v>
      </c>
      <c r="R48">
        <v>0</v>
      </c>
      <c r="T48">
        <v>0</v>
      </c>
      <c r="U48">
        <v>100</v>
      </c>
      <c r="V48" t="s">
        <v>704</v>
      </c>
      <c r="W48" s="3"/>
    </row>
    <row r="49" spans="1:23">
      <c r="A49" t="s">
        <v>410</v>
      </c>
      <c r="B49">
        <v>125575</v>
      </c>
      <c r="C49" s="16">
        <v>125.575</v>
      </c>
      <c r="D49" s="16">
        <v>27.3</v>
      </c>
      <c r="E49">
        <v>0</v>
      </c>
      <c r="F49" s="16">
        <v>80.5</v>
      </c>
      <c r="G49">
        <v>0</v>
      </c>
      <c r="H49" s="16">
        <v>0</v>
      </c>
      <c r="I49">
        <v>1</v>
      </c>
      <c r="J49">
        <v>0</v>
      </c>
      <c r="K49">
        <v>0</v>
      </c>
      <c r="L49" s="3" t="s">
        <v>705</v>
      </c>
      <c r="M49" s="16">
        <v>0</v>
      </c>
      <c r="N49" t="s">
        <v>385</v>
      </c>
      <c r="P49">
        <v>0</v>
      </c>
      <c r="Q49">
        <v>0</v>
      </c>
      <c r="R49">
        <v>0</v>
      </c>
      <c r="T49">
        <v>0</v>
      </c>
      <c r="U49">
        <v>100</v>
      </c>
      <c r="V49" t="s">
        <v>704</v>
      </c>
      <c r="W49" s="3"/>
    </row>
    <row r="50" spans="1:23">
      <c r="A50" t="s">
        <v>411</v>
      </c>
      <c r="B50">
        <v>130595</v>
      </c>
      <c r="C50" s="16">
        <v>130.595</v>
      </c>
      <c r="D50" s="16">
        <v>27.3</v>
      </c>
      <c r="E50">
        <v>0</v>
      </c>
      <c r="F50" s="16">
        <v>80.8</v>
      </c>
      <c r="G50">
        <v>0</v>
      </c>
      <c r="H50" s="16">
        <v>0.1</v>
      </c>
      <c r="I50">
        <v>1</v>
      </c>
      <c r="J50">
        <v>0</v>
      </c>
      <c r="K50">
        <v>0</v>
      </c>
      <c r="L50" s="3" t="s">
        <v>705</v>
      </c>
      <c r="M50" s="16">
        <v>0</v>
      </c>
      <c r="N50" t="s">
        <v>385</v>
      </c>
      <c r="P50">
        <v>0</v>
      </c>
      <c r="Q50">
        <v>0</v>
      </c>
      <c r="R50">
        <v>0</v>
      </c>
      <c r="T50">
        <v>0</v>
      </c>
      <c r="U50">
        <v>100</v>
      </c>
      <c r="V50" t="s">
        <v>704</v>
      </c>
      <c r="W50" s="3"/>
    </row>
    <row r="51" spans="1:23">
      <c r="A51" t="s">
        <v>412</v>
      </c>
      <c r="B51">
        <v>135614</v>
      </c>
      <c r="C51" s="16">
        <v>135.614</v>
      </c>
      <c r="D51" s="16">
        <v>27.3</v>
      </c>
      <c r="E51">
        <v>0</v>
      </c>
      <c r="F51" s="16">
        <v>80.8</v>
      </c>
      <c r="G51">
        <v>0</v>
      </c>
      <c r="H51" s="16">
        <v>0.1</v>
      </c>
      <c r="I51">
        <v>1</v>
      </c>
      <c r="J51">
        <v>0</v>
      </c>
      <c r="K51">
        <v>0</v>
      </c>
      <c r="L51" s="3" t="s">
        <v>705</v>
      </c>
      <c r="M51" s="16">
        <v>0</v>
      </c>
      <c r="N51" t="s">
        <v>385</v>
      </c>
      <c r="P51">
        <v>0</v>
      </c>
      <c r="Q51">
        <v>0</v>
      </c>
      <c r="R51">
        <v>0</v>
      </c>
      <c r="T51">
        <v>0</v>
      </c>
      <c r="U51">
        <v>100</v>
      </c>
      <c r="V51" t="s">
        <v>704</v>
      </c>
      <c r="W51" s="3"/>
    </row>
    <row r="52" spans="1:23">
      <c r="A52" t="s">
        <v>413</v>
      </c>
      <c r="B52">
        <v>140634</v>
      </c>
      <c r="C52" s="16">
        <v>140.63399999999999</v>
      </c>
      <c r="D52" s="16">
        <v>27.3</v>
      </c>
      <c r="E52">
        <v>0</v>
      </c>
      <c r="F52" s="16">
        <v>80.900000000000006</v>
      </c>
      <c r="G52">
        <v>0</v>
      </c>
      <c r="H52" s="16">
        <v>0</v>
      </c>
      <c r="I52">
        <v>1</v>
      </c>
      <c r="J52">
        <v>0</v>
      </c>
      <c r="K52">
        <v>0</v>
      </c>
      <c r="L52" s="3" t="s">
        <v>705</v>
      </c>
      <c r="M52" s="16">
        <v>0</v>
      </c>
      <c r="N52" t="s">
        <v>385</v>
      </c>
      <c r="P52">
        <v>0</v>
      </c>
      <c r="Q52">
        <v>0</v>
      </c>
      <c r="R52">
        <v>0</v>
      </c>
      <c r="T52">
        <v>0</v>
      </c>
      <c r="U52">
        <v>100</v>
      </c>
      <c r="V52" t="s">
        <v>704</v>
      </c>
      <c r="W52" s="3"/>
    </row>
    <row r="53" spans="1:23">
      <c r="A53" t="s">
        <v>414</v>
      </c>
      <c r="B53">
        <v>145653</v>
      </c>
      <c r="C53" s="16">
        <v>145.65299999999999</v>
      </c>
      <c r="D53" s="16">
        <v>27.3</v>
      </c>
      <c r="E53">
        <v>0</v>
      </c>
      <c r="F53" s="16">
        <v>80.900000000000006</v>
      </c>
      <c r="G53">
        <v>0</v>
      </c>
      <c r="H53" s="16">
        <v>0.4</v>
      </c>
      <c r="I53">
        <v>1</v>
      </c>
      <c r="J53">
        <v>0</v>
      </c>
      <c r="K53">
        <v>0</v>
      </c>
      <c r="L53" s="3" t="s">
        <v>705</v>
      </c>
      <c r="M53" s="16">
        <v>0</v>
      </c>
      <c r="N53" t="s">
        <v>385</v>
      </c>
      <c r="P53">
        <v>0</v>
      </c>
      <c r="Q53">
        <v>0</v>
      </c>
      <c r="R53">
        <v>0</v>
      </c>
      <c r="T53">
        <v>0</v>
      </c>
      <c r="U53">
        <v>100</v>
      </c>
      <c r="V53" t="s">
        <v>704</v>
      </c>
      <c r="W53" s="3"/>
    </row>
    <row r="54" spans="1:23">
      <c r="A54" t="s">
        <v>415</v>
      </c>
      <c r="B54">
        <v>150670</v>
      </c>
      <c r="C54" s="16">
        <v>150.66999999999999</v>
      </c>
      <c r="D54" s="16">
        <v>27.3</v>
      </c>
      <c r="E54">
        <v>0</v>
      </c>
      <c r="F54" s="16">
        <v>80.900000000000006</v>
      </c>
      <c r="G54">
        <v>0</v>
      </c>
      <c r="H54" s="16">
        <v>0</v>
      </c>
      <c r="I54">
        <v>1</v>
      </c>
      <c r="J54">
        <v>0</v>
      </c>
      <c r="K54">
        <v>0</v>
      </c>
      <c r="L54" s="3" t="s">
        <v>705</v>
      </c>
      <c r="M54" s="16">
        <v>0</v>
      </c>
      <c r="N54" t="s">
        <v>385</v>
      </c>
      <c r="P54">
        <v>0</v>
      </c>
      <c r="Q54">
        <v>0</v>
      </c>
      <c r="R54">
        <v>0</v>
      </c>
      <c r="T54">
        <v>0</v>
      </c>
      <c r="U54">
        <v>100</v>
      </c>
      <c r="V54" t="s">
        <v>704</v>
      </c>
      <c r="W54" s="3"/>
    </row>
    <row r="55" spans="1:23">
      <c r="A55" t="s">
        <v>416</v>
      </c>
      <c r="B55">
        <v>155687</v>
      </c>
      <c r="C55" s="16">
        <v>155.68700000000001</v>
      </c>
      <c r="D55" s="16">
        <v>27.3</v>
      </c>
      <c r="E55">
        <v>0</v>
      </c>
      <c r="F55" s="16">
        <v>80.900000000000006</v>
      </c>
      <c r="G55">
        <v>0</v>
      </c>
      <c r="H55" s="16">
        <v>0.3</v>
      </c>
      <c r="I55">
        <v>1</v>
      </c>
      <c r="J55">
        <v>0</v>
      </c>
      <c r="K55">
        <v>0</v>
      </c>
      <c r="L55" s="3" t="s">
        <v>705</v>
      </c>
      <c r="M55" s="16">
        <v>0</v>
      </c>
      <c r="N55" t="s">
        <v>385</v>
      </c>
      <c r="P55">
        <v>0</v>
      </c>
      <c r="Q55">
        <v>0</v>
      </c>
      <c r="R55">
        <v>0</v>
      </c>
      <c r="T55">
        <v>0</v>
      </c>
      <c r="U55">
        <v>100</v>
      </c>
      <c r="V55" t="s">
        <v>704</v>
      </c>
      <c r="W55" s="3"/>
    </row>
    <row r="56" spans="1:23">
      <c r="A56" t="s">
        <v>417</v>
      </c>
      <c r="B56">
        <v>160705</v>
      </c>
      <c r="C56" s="16">
        <v>160.70500000000001</v>
      </c>
      <c r="D56" s="16">
        <v>27.3</v>
      </c>
      <c r="E56">
        <v>0</v>
      </c>
      <c r="F56" s="16">
        <v>80.8</v>
      </c>
      <c r="G56">
        <v>0</v>
      </c>
      <c r="H56" s="16">
        <v>0.3</v>
      </c>
      <c r="I56">
        <v>1</v>
      </c>
      <c r="J56">
        <v>0</v>
      </c>
      <c r="K56">
        <v>0</v>
      </c>
      <c r="L56" s="3" t="s">
        <v>705</v>
      </c>
      <c r="M56" s="16">
        <v>0</v>
      </c>
      <c r="N56" t="s">
        <v>385</v>
      </c>
      <c r="P56">
        <v>0</v>
      </c>
      <c r="Q56">
        <v>0</v>
      </c>
      <c r="R56">
        <v>0</v>
      </c>
      <c r="T56">
        <v>0</v>
      </c>
      <c r="U56">
        <v>100</v>
      </c>
      <c r="V56" t="s">
        <v>704</v>
      </c>
      <c r="W56" s="3"/>
    </row>
    <row r="57" spans="1:23">
      <c r="A57" t="s">
        <v>418</v>
      </c>
      <c r="B57">
        <v>165724</v>
      </c>
      <c r="C57" s="16">
        <v>165.72399999999999</v>
      </c>
      <c r="D57" s="16">
        <v>27.3</v>
      </c>
      <c r="E57">
        <v>0</v>
      </c>
      <c r="F57" s="16">
        <v>80.8</v>
      </c>
      <c r="G57">
        <v>0</v>
      </c>
      <c r="H57" s="16">
        <v>0.2</v>
      </c>
      <c r="I57">
        <v>1</v>
      </c>
      <c r="J57">
        <v>0</v>
      </c>
      <c r="K57">
        <v>0</v>
      </c>
      <c r="L57" s="3" t="s">
        <v>705</v>
      </c>
      <c r="M57" s="16">
        <v>0</v>
      </c>
      <c r="N57" t="s">
        <v>385</v>
      </c>
      <c r="P57">
        <v>0</v>
      </c>
      <c r="Q57">
        <v>0</v>
      </c>
      <c r="R57">
        <v>0</v>
      </c>
      <c r="T57">
        <v>0</v>
      </c>
      <c r="U57">
        <v>100</v>
      </c>
      <c r="V57" t="s">
        <v>704</v>
      </c>
      <c r="W57" s="3"/>
    </row>
    <row r="58" spans="1:23">
      <c r="A58" t="s">
        <v>419</v>
      </c>
      <c r="B58">
        <v>170741</v>
      </c>
      <c r="C58" s="16">
        <v>170.74100000000001</v>
      </c>
      <c r="D58" s="16">
        <v>27.3</v>
      </c>
      <c r="E58">
        <v>0</v>
      </c>
      <c r="F58" s="16">
        <v>80.900000000000006</v>
      </c>
      <c r="G58">
        <v>0</v>
      </c>
      <c r="H58" s="16">
        <v>0.1</v>
      </c>
      <c r="I58">
        <v>1</v>
      </c>
      <c r="J58">
        <v>0</v>
      </c>
      <c r="K58">
        <v>0</v>
      </c>
      <c r="L58" s="3" t="s">
        <v>705</v>
      </c>
      <c r="M58" s="16">
        <v>0</v>
      </c>
      <c r="N58" t="s">
        <v>385</v>
      </c>
      <c r="P58">
        <v>0</v>
      </c>
      <c r="Q58">
        <v>0</v>
      </c>
      <c r="R58">
        <v>0</v>
      </c>
      <c r="T58">
        <v>0</v>
      </c>
      <c r="U58">
        <v>100</v>
      </c>
      <c r="V58" t="s">
        <v>704</v>
      </c>
      <c r="W58" s="3"/>
    </row>
    <row r="59" spans="1:23">
      <c r="A59" t="s">
        <v>420</v>
      </c>
      <c r="B59">
        <v>175761</v>
      </c>
      <c r="C59" s="16">
        <v>175.761</v>
      </c>
      <c r="D59" s="16">
        <v>27.3</v>
      </c>
      <c r="E59">
        <v>0</v>
      </c>
      <c r="F59" s="16">
        <v>80.900000000000006</v>
      </c>
      <c r="G59">
        <v>0</v>
      </c>
      <c r="H59" s="16">
        <v>0.1</v>
      </c>
      <c r="I59">
        <v>1</v>
      </c>
      <c r="J59">
        <v>0</v>
      </c>
      <c r="K59">
        <v>0</v>
      </c>
      <c r="L59" s="3" t="s">
        <v>705</v>
      </c>
      <c r="M59" s="16">
        <v>0</v>
      </c>
      <c r="N59" t="s">
        <v>385</v>
      </c>
      <c r="P59">
        <v>0</v>
      </c>
      <c r="Q59">
        <v>0</v>
      </c>
      <c r="R59">
        <v>0</v>
      </c>
      <c r="T59">
        <v>0</v>
      </c>
      <c r="U59">
        <v>100</v>
      </c>
      <c r="V59" t="s">
        <v>704</v>
      </c>
      <c r="W59" s="3"/>
    </row>
    <row r="60" spans="1:23">
      <c r="A60" t="s">
        <v>421</v>
      </c>
      <c r="B60">
        <v>180779</v>
      </c>
      <c r="C60" s="16">
        <v>180.779</v>
      </c>
      <c r="D60" s="16">
        <v>27.3</v>
      </c>
      <c r="E60">
        <v>0</v>
      </c>
      <c r="F60" s="16">
        <v>80.8</v>
      </c>
      <c r="G60">
        <v>0</v>
      </c>
      <c r="H60" s="16">
        <v>0.2</v>
      </c>
      <c r="I60">
        <v>1</v>
      </c>
      <c r="J60">
        <v>0</v>
      </c>
      <c r="K60">
        <v>0</v>
      </c>
      <c r="L60" s="3" t="s">
        <v>705</v>
      </c>
      <c r="M60" s="16">
        <v>0</v>
      </c>
      <c r="N60" t="s">
        <v>385</v>
      </c>
      <c r="P60">
        <v>0</v>
      </c>
      <c r="Q60">
        <v>0</v>
      </c>
      <c r="R60">
        <v>0</v>
      </c>
      <c r="T60">
        <v>0</v>
      </c>
      <c r="U60">
        <v>100</v>
      </c>
      <c r="V60" t="s">
        <v>704</v>
      </c>
      <c r="W60" s="3"/>
    </row>
    <row r="61" spans="1:23">
      <c r="A61" t="s">
        <v>422</v>
      </c>
      <c r="B61">
        <v>185798</v>
      </c>
      <c r="C61" s="16">
        <v>185.798</v>
      </c>
      <c r="D61" s="16">
        <v>27.3</v>
      </c>
      <c r="E61">
        <v>0</v>
      </c>
      <c r="F61" s="16">
        <v>80.8</v>
      </c>
      <c r="G61">
        <v>0</v>
      </c>
      <c r="H61" s="16">
        <v>0.1</v>
      </c>
      <c r="I61">
        <v>1</v>
      </c>
      <c r="J61">
        <v>0</v>
      </c>
      <c r="K61">
        <v>0</v>
      </c>
      <c r="L61" s="3" t="s">
        <v>705</v>
      </c>
      <c r="M61" s="16">
        <v>0</v>
      </c>
      <c r="N61" t="s">
        <v>385</v>
      </c>
      <c r="P61">
        <v>0</v>
      </c>
      <c r="Q61">
        <v>0</v>
      </c>
      <c r="R61">
        <v>0</v>
      </c>
      <c r="T61">
        <v>0</v>
      </c>
      <c r="U61">
        <v>100</v>
      </c>
      <c r="V61" t="s">
        <v>704</v>
      </c>
      <c r="W61" s="3"/>
    </row>
    <row r="62" spans="1:23">
      <c r="A62" t="s">
        <v>423</v>
      </c>
      <c r="B62">
        <v>190816</v>
      </c>
      <c r="C62" s="16">
        <v>190.816</v>
      </c>
      <c r="D62" s="16">
        <v>27.3</v>
      </c>
      <c r="E62">
        <v>0</v>
      </c>
      <c r="F62" s="16">
        <v>80.8</v>
      </c>
      <c r="G62">
        <v>0</v>
      </c>
      <c r="H62" s="16">
        <v>0.2</v>
      </c>
      <c r="I62">
        <v>1</v>
      </c>
      <c r="J62">
        <v>0</v>
      </c>
      <c r="K62">
        <v>0</v>
      </c>
      <c r="L62" s="3" t="s">
        <v>705</v>
      </c>
      <c r="M62" s="16">
        <v>0</v>
      </c>
      <c r="N62" t="s">
        <v>385</v>
      </c>
      <c r="P62">
        <v>0</v>
      </c>
      <c r="Q62">
        <v>0</v>
      </c>
      <c r="R62">
        <v>0</v>
      </c>
      <c r="T62">
        <v>0</v>
      </c>
      <c r="U62">
        <v>100</v>
      </c>
      <c r="V62" t="s">
        <v>704</v>
      </c>
      <c r="W62" s="3"/>
    </row>
    <row r="63" spans="1:23">
      <c r="A63" t="s">
        <v>424</v>
      </c>
      <c r="B63">
        <v>195835</v>
      </c>
      <c r="C63" s="16">
        <v>195.83500000000001</v>
      </c>
      <c r="D63" s="16">
        <v>27.3</v>
      </c>
      <c r="E63">
        <v>0</v>
      </c>
      <c r="F63" s="16">
        <v>80.7</v>
      </c>
      <c r="G63">
        <v>0</v>
      </c>
      <c r="H63" s="16">
        <v>0.2</v>
      </c>
      <c r="I63">
        <v>1</v>
      </c>
      <c r="J63">
        <v>0</v>
      </c>
      <c r="K63">
        <v>0</v>
      </c>
      <c r="L63" s="3" t="s">
        <v>705</v>
      </c>
      <c r="M63" s="16">
        <v>0</v>
      </c>
      <c r="N63" t="s">
        <v>385</v>
      </c>
      <c r="P63">
        <v>0</v>
      </c>
      <c r="Q63">
        <v>0</v>
      </c>
      <c r="R63">
        <v>0</v>
      </c>
      <c r="T63">
        <v>0</v>
      </c>
      <c r="U63">
        <v>100</v>
      </c>
      <c r="V63" t="s">
        <v>704</v>
      </c>
      <c r="W63" s="3"/>
    </row>
    <row r="64" spans="1:23">
      <c r="A64" t="s">
        <v>425</v>
      </c>
      <c r="B64">
        <v>200853</v>
      </c>
      <c r="C64" s="16">
        <v>200.85300000000001</v>
      </c>
      <c r="D64" s="16">
        <v>27.3</v>
      </c>
      <c r="E64">
        <v>0</v>
      </c>
      <c r="F64" s="16">
        <v>80.5</v>
      </c>
      <c r="G64">
        <v>0</v>
      </c>
      <c r="H64" s="16">
        <v>0.2</v>
      </c>
      <c r="I64">
        <v>1</v>
      </c>
      <c r="J64">
        <v>0</v>
      </c>
      <c r="K64">
        <v>0</v>
      </c>
      <c r="L64" s="3" t="s">
        <v>705</v>
      </c>
      <c r="M64" s="16">
        <v>0</v>
      </c>
      <c r="N64" t="s">
        <v>385</v>
      </c>
      <c r="P64">
        <v>0</v>
      </c>
      <c r="Q64">
        <v>0</v>
      </c>
      <c r="R64">
        <v>0</v>
      </c>
      <c r="T64">
        <v>0</v>
      </c>
      <c r="U64">
        <v>100</v>
      </c>
      <c r="V64" t="s">
        <v>704</v>
      </c>
      <c r="W64" s="3"/>
    </row>
    <row r="65" spans="1:23">
      <c r="A65" t="s">
        <v>426</v>
      </c>
      <c r="B65">
        <v>205873</v>
      </c>
      <c r="C65" s="16">
        <v>205.87299999999999</v>
      </c>
      <c r="D65" s="16">
        <v>27.3</v>
      </c>
      <c r="E65">
        <v>0</v>
      </c>
      <c r="F65" s="16">
        <v>80.5</v>
      </c>
      <c r="G65">
        <v>0</v>
      </c>
      <c r="H65" s="16">
        <v>0.1</v>
      </c>
      <c r="I65">
        <v>1</v>
      </c>
      <c r="J65">
        <v>0</v>
      </c>
      <c r="K65">
        <v>0</v>
      </c>
      <c r="L65" s="3" t="s">
        <v>705</v>
      </c>
      <c r="M65" s="16">
        <v>0</v>
      </c>
      <c r="N65" t="s">
        <v>385</v>
      </c>
      <c r="P65">
        <v>0</v>
      </c>
      <c r="Q65">
        <v>0</v>
      </c>
      <c r="R65">
        <v>0</v>
      </c>
      <c r="T65">
        <v>0</v>
      </c>
      <c r="U65">
        <v>100</v>
      </c>
      <c r="V65" t="s">
        <v>704</v>
      </c>
      <c r="W65" s="3"/>
    </row>
    <row r="66" spans="1:23">
      <c r="A66" t="s">
        <v>427</v>
      </c>
      <c r="B66">
        <v>210890</v>
      </c>
      <c r="C66" s="16">
        <v>210.89</v>
      </c>
      <c r="D66" s="16">
        <v>27.3</v>
      </c>
      <c r="E66">
        <v>0</v>
      </c>
      <c r="F66" s="16">
        <v>80.5</v>
      </c>
      <c r="G66">
        <v>0</v>
      </c>
      <c r="H66" s="16">
        <v>0.1</v>
      </c>
      <c r="I66">
        <v>1</v>
      </c>
      <c r="J66">
        <v>0</v>
      </c>
      <c r="K66">
        <v>0</v>
      </c>
      <c r="L66" s="3" t="s">
        <v>705</v>
      </c>
      <c r="M66" s="16">
        <v>0</v>
      </c>
      <c r="N66" t="s">
        <v>385</v>
      </c>
      <c r="P66">
        <v>0</v>
      </c>
      <c r="Q66">
        <v>0</v>
      </c>
      <c r="R66">
        <v>0</v>
      </c>
      <c r="T66">
        <v>0</v>
      </c>
      <c r="U66">
        <v>100</v>
      </c>
      <c r="V66" t="s">
        <v>704</v>
      </c>
      <c r="W66" s="3"/>
    </row>
    <row r="67" spans="1:23">
      <c r="A67" t="s">
        <v>428</v>
      </c>
      <c r="B67">
        <v>215909</v>
      </c>
      <c r="C67" s="16">
        <v>215.90899999999999</v>
      </c>
      <c r="D67" s="16">
        <v>27.3</v>
      </c>
      <c r="E67">
        <v>0</v>
      </c>
      <c r="F67" s="16">
        <v>80.7</v>
      </c>
      <c r="G67">
        <v>0</v>
      </c>
      <c r="H67" s="16">
        <v>0.2</v>
      </c>
      <c r="I67">
        <v>1</v>
      </c>
      <c r="J67">
        <v>0</v>
      </c>
      <c r="K67">
        <v>0</v>
      </c>
      <c r="L67" s="3" t="s">
        <v>705</v>
      </c>
      <c r="M67" s="16">
        <v>0</v>
      </c>
      <c r="N67" t="s">
        <v>385</v>
      </c>
      <c r="P67">
        <v>0</v>
      </c>
      <c r="Q67">
        <v>0</v>
      </c>
      <c r="R67">
        <v>0</v>
      </c>
      <c r="T67">
        <v>0</v>
      </c>
      <c r="U67">
        <v>100</v>
      </c>
      <c r="V67" t="s">
        <v>704</v>
      </c>
      <c r="W67" s="3"/>
    </row>
    <row r="68" spans="1:23">
      <c r="A68" t="s">
        <v>429</v>
      </c>
      <c r="B68">
        <v>220926</v>
      </c>
      <c r="C68" s="16">
        <v>220.92599999999999</v>
      </c>
      <c r="D68" s="16">
        <v>27.3</v>
      </c>
      <c r="E68">
        <v>0</v>
      </c>
      <c r="F68" s="16">
        <v>80.7</v>
      </c>
      <c r="G68">
        <v>0</v>
      </c>
      <c r="H68" s="16">
        <v>0.1</v>
      </c>
      <c r="I68">
        <v>1</v>
      </c>
      <c r="J68">
        <v>0</v>
      </c>
      <c r="K68">
        <v>0</v>
      </c>
      <c r="L68" s="3" t="s">
        <v>705</v>
      </c>
      <c r="M68" s="16">
        <v>0</v>
      </c>
      <c r="N68" t="s">
        <v>385</v>
      </c>
      <c r="P68">
        <v>0</v>
      </c>
      <c r="Q68">
        <v>0</v>
      </c>
      <c r="R68">
        <v>0</v>
      </c>
      <c r="T68">
        <v>0</v>
      </c>
      <c r="U68">
        <v>100</v>
      </c>
      <c r="V68" t="s">
        <v>704</v>
      </c>
      <c r="W68" s="3"/>
    </row>
    <row r="69" spans="1:23">
      <c r="A69" t="s">
        <v>430</v>
      </c>
      <c r="B69">
        <v>225945</v>
      </c>
      <c r="C69" s="16">
        <v>225.94499999999999</v>
      </c>
      <c r="D69" s="16">
        <v>27.3</v>
      </c>
      <c r="E69">
        <v>0</v>
      </c>
      <c r="F69" s="16">
        <v>80.599999999999994</v>
      </c>
      <c r="G69">
        <v>0</v>
      </c>
      <c r="H69" s="16">
        <v>0.2</v>
      </c>
      <c r="I69">
        <v>1</v>
      </c>
      <c r="J69">
        <v>0</v>
      </c>
      <c r="K69">
        <v>0</v>
      </c>
      <c r="L69" s="3" t="s">
        <v>705</v>
      </c>
      <c r="M69" s="16">
        <v>0</v>
      </c>
      <c r="N69" t="s">
        <v>385</v>
      </c>
      <c r="P69">
        <v>0</v>
      </c>
      <c r="Q69">
        <v>0</v>
      </c>
      <c r="R69">
        <v>0</v>
      </c>
      <c r="T69">
        <v>0</v>
      </c>
      <c r="U69">
        <v>100</v>
      </c>
      <c r="V69" t="s">
        <v>704</v>
      </c>
      <c r="W69" s="3"/>
    </row>
    <row r="70" spans="1:23">
      <c r="A70" t="s">
        <v>431</v>
      </c>
      <c r="B70">
        <v>230964</v>
      </c>
      <c r="C70" s="16">
        <v>230.964</v>
      </c>
      <c r="D70" s="16">
        <v>27.3</v>
      </c>
      <c r="E70">
        <v>0</v>
      </c>
      <c r="F70" s="16">
        <v>80.5</v>
      </c>
      <c r="G70">
        <v>0</v>
      </c>
      <c r="H70" s="16">
        <v>0.2</v>
      </c>
      <c r="I70">
        <v>1</v>
      </c>
      <c r="J70">
        <v>0</v>
      </c>
      <c r="K70">
        <v>0</v>
      </c>
      <c r="L70" s="3" t="s">
        <v>705</v>
      </c>
      <c r="M70" s="16">
        <v>0</v>
      </c>
      <c r="N70" t="s">
        <v>385</v>
      </c>
      <c r="P70">
        <v>0</v>
      </c>
      <c r="Q70">
        <v>0</v>
      </c>
      <c r="R70">
        <v>0</v>
      </c>
      <c r="T70">
        <v>0</v>
      </c>
      <c r="U70">
        <v>100</v>
      </c>
      <c r="V70" t="s">
        <v>704</v>
      </c>
      <c r="W70" s="3"/>
    </row>
    <row r="71" spans="1:23" ht="27.6">
      <c r="A71" t="s">
        <v>432</v>
      </c>
      <c r="B71">
        <v>235981</v>
      </c>
      <c r="C71" s="16">
        <v>235.98099999999999</v>
      </c>
      <c r="D71" s="16">
        <v>27.3</v>
      </c>
      <c r="E71">
        <v>0</v>
      </c>
      <c r="F71" s="16">
        <v>80.3</v>
      </c>
      <c r="G71">
        <v>0</v>
      </c>
      <c r="H71" s="16">
        <v>0.2</v>
      </c>
      <c r="I71">
        <v>1</v>
      </c>
      <c r="J71">
        <v>0</v>
      </c>
      <c r="K71">
        <v>1</v>
      </c>
      <c r="L71" s="3" t="s">
        <v>707</v>
      </c>
      <c r="M71" s="16">
        <v>0</v>
      </c>
      <c r="N71" t="s">
        <v>385</v>
      </c>
      <c r="P71">
        <v>0</v>
      </c>
      <c r="Q71">
        <v>0</v>
      </c>
      <c r="R71">
        <v>0</v>
      </c>
      <c r="T71">
        <v>0</v>
      </c>
      <c r="U71">
        <v>100</v>
      </c>
      <c r="V71" t="s">
        <v>704</v>
      </c>
      <c r="W71" s="3" t="s">
        <v>433</v>
      </c>
    </row>
    <row r="72" spans="1:23" ht="27.6">
      <c r="A72" t="s">
        <v>441</v>
      </c>
      <c r="B72">
        <v>259020</v>
      </c>
      <c r="C72" s="16">
        <v>259.02</v>
      </c>
      <c r="D72" s="16">
        <v>27.3</v>
      </c>
      <c r="E72">
        <v>0</v>
      </c>
      <c r="F72" s="16">
        <v>80.099999999999994</v>
      </c>
      <c r="G72">
        <v>0</v>
      </c>
      <c r="H72" s="16">
        <v>13.3</v>
      </c>
      <c r="I72">
        <v>1</v>
      </c>
      <c r="J72">
        <v>1</v>
      </c>
      <c r="K72">
        <v>1</v>
      </c>
      <c r="L72" s="3" t="s">
        <v>708</v>
      </c>
      <c r="M72" s="16">
        <v>0</v>
      </c>
      <c r="N72" t="s">
        <v>385</v>
      </c>
      <c r="P72">
        <v>1</v>
      </c>
      <c r="Q72">
        <v>0</v>
      </c>
      <c r="R72">
        <v>0</v>
      </c>
      <c r="T72">
        <v>0</v>
      </c>
      <c r="U72">
        <v>100</v>
      </c>
      <c r="V72" t="s">
        <v>704</v>
      </c>
      <c r="W72" s="3"/>
    </row>
    <row r="73" spans="1:23">
      <c r="A73" t="s">
        <v>442</v>
      </c>
      <c r="B73">
        <v>264020</v>
      </c>
      <c r="C73" s="16">
        <v>264.02</v>
      </c>
      <c r="D73" s="16">
        <v>27.3</v>
      </c>
      <c r="E73">
        <v>0</v>
      </c>
      <c r="F73" s="16">
        <v>80.599999999999994</v>
      </c>
      <c r="G73">
        <v>0</v>
      </c>
      <c r="H73" s="16">
        <v>0.2</v>
      </c>
      <c r="I73">
        <v>1</v>
      </c>
      <c r="J73">
        <v>0</v>
      </c>
      <c r="K73">
        <v>0</v>
      </c>
      <c r="L73" s="3" t="s">
        <v>705</v>
      </c>
      <c r="M73" s="16">
        <v>0</v>
      </c>
      <c r="N73" t="s">
        <v>385</v>
      </c>
      <c r="P73">
        <v>1</v>
      </c>
      <c r="Q73">
        <v>0</v>
      </c>
      <c r="R73">
        <v>0</v>
      </c>
      <c r="T73">
        <v>0</v>
      </c>
      <c r="U73">
        <v>100</v>
      </c>
      <c r="V73" t="s">
        <v>704</v>
      </c>
      <c r="W73" s="3"/>
    </row>
    <row r="74" spans="1:23">
      <c r="A74" t="s">
        <v>443</v>
      </c>
      <c r="B74">
        <v>269021</v>
      </c>
      <c r="C74" s="16">
        <v>269.02100000000002</v>
      </c>
      <c r="D74" s="16">
        <v>27.3</v>
      </c>
      <c r="E74">
        <v>0</v>
      </c>
      <c r="F74" s="16">
        <v>80.8</v>
      </c>
      <c r="G74">
        <v>0</v>
      </c>
      <c r="H74" s="16">
        <v>0.2</v>
      </c>
      <c r="I74">
        <v>1</v>
      </c>
      <c r="J74">
        <v>0</v>
      </c>
      <c r="K74">
        <v>0</v>
      </c>
      <c r="L74" s="3" t="s">
        <v>705</v>
      </c>
      <c r="M74" s="16">
        <v>0</v>
      </c>
      <c r="N74" t="s">
        <v>385</v>
      </c>
      <c r="P74">
        <v>1</v>
      </c>
      <c r="Q74">
        <v>0</v>
      </c>
      <c r="R74">
        <v>0</v>
      </c>
      <c r="T74">
        <v>0</v>
      </c>
      <c r="U74">
        <v>100</v>
      </c>
      <c r="V74" t="s">
        <v>704</v>
      </c>
      <c r="W74" s="3"/>
    </row>
    <row r="75" spans="1:23">
      <c r="A75" t="s">
        <v>444</v>
      </c>
      <c r="B75">
        <v>274021</v>
      </c>
      <c r="C75" s="16">
        <v>274.02100000000002</v>
      </c>
      <c r="D75" s="16">
        <v>27.3</v>
      </c>
      <c r="E75">
        <v>0</v>
      </c>
      <c r="F75" s="16">
        <v>80.8</v>
      </c>
      <c r="G75">
        <v>0</v>
      </c>
      <c r="H75" s="16">
        <v>0.3</v>
      </c>
      <c r="I75">
        <v>1</v>
      </c>
      <c r="J75">
        <v>0</v>
      </c>
      <c r="K75">
        <v>0</v>
      </c>
      <c r="L75" s="3" t="s">
        <v>705</v>
      </c>
      <c r="M75" s="16">
        <v>0</v>
      </c>
      <c r="N75" t="s">
        <v>385</v>
      </c>
      <c r="P75">
        <v>1</v>
      </c>
      <c r="Q75">
        <v>0</v>
      </c>
      <c r="R75">
        <v>0</v>
      </c>
      <c r="T75">
        <v>0</v>
      </c>
      <c r="U75">
        <v>100</v>
      </c>
      <c r="V75" t="s">
        <v>704</v>
      </c>
      <c r="W75" s="3"/>
    </row>
    <row r="76" spans="1:23" ht="27.6">
      <c r="A76" t="s">
        <v>445</v>
      </c>
      <c r="B76">
        <v>279020</v>
      </c>
      <c r="C76" s="16">
        <v>279.02</v>
      </c>
      <c r="D76" s="16">
        <v>27.3</v>
      </c>
      <c r="E76">
        <v>0</v>
      </c>
      <c r="F76" s="16">
        <v>80.900000000000006</v>
      </c>
      <c r="G76">
        <v>0</v>
      </c>
      <c r="H76" s="16">
        <v>1.4</v>
      </c>
      <c r="I76">
        <v>1</v>
      </c>
      <c r="J76">
        <v>0</v>
      </c>
      <c r="K76">
        <v>1</v>
      </c>
      <c r="L76" s="3" t="s">
        <v>707</v>
      </c>
      <c r="M76" s="16">
        <v>0</v>
      </c>
      <c r="N76" t="s">
        <v>385</v>
      </c>
      <c r="P76">
        <v>1</v>
      </c>
      <c r="Q76">
        <v>0</v>
      </c>
      <c r="R76">
        <v>0</v>
      </c>
      <c r="T76">
        <v>0</v>
      </c>
      <c r="U76">
        <v>100</v>
      </c>
      <c r="V76" t="s">
        <v>704</v>
      </c>
      <c r="W76" s="3" t="s">
        <v>433</v>
      </c>
    </row>
    <row r="77" spans="1:23" ht="27.6">
      <c r="A77" t="s">
        <v>448</v>
      </c>
      <c r="B77">
        <v>294210</v>
      </c>
      <c r="C77" s="16">
        <v>294.20999999999998</v>
      </c>
      <c r="D77" s="16">
        <v>27.3</v>
      </c>
      <c r="E77">
        <v>0</v>
      </c>
      <c r="F77" s="16">
        <v>80.900000000000006</v>
      </c>
      <c r="G77">
        <v>0</v>
      </c>
      <c r="H77" s="16">
        <v>29.8</v>
      </c>
      <c r="I77">
        <v>1</v>
      </c>
      <c r="J77">
        <v>1</v>
      </c>
      <c r="K77">
        <v>1</v>
      </c>
      <c r="L77" s="3" t="s">
        <v>707</v>
      </c>
      <c r="M77" s="16">
        <v>0</v>
      </c>
      <c r="N77" t="s">
        <v>385</v>
      </c>
      <c r="P77">
        <v>2</v>
      </c>
      <c r="Q77">
        <v>0</v>
      </c>
      <c r="R77">
        <v>0</v>
      </c>
      <c r="T77">
        <v>0</v>
      </c>
      <c r="U77">
        <v>100</v>
      </c>
      <c r="V77" t="s">
        <v>704</v>
      </c>
      <c r="W77" s="3" t="s">
        <v>433</v>
      </c>
    </row>
    <row r="78" spans="1:23" ht="27.6">
      <c r="A78" t="s">
        <v>451</v>
      </c>
      <c r="B78">
        <v>302134</v>
      </c>
      <c r="C78" s="16">
        <v>302.13400000000001</v>
      </c>
      <c r="D78" s="16">
        <v>27.3</v>
      </c>
      <c r="E78">
        <v>0</v>
      </c>
      <c r="F78" s="16">
        <v>81.3</v>
      </c>
      <c r="G78">
        <v>0</v>
      </c>
      <c r="H78" s="16">
        <v>32.4</v>
      </c>
      <c r="I78">
        <v>1</v>
      </c>
      <c r="J78">
        <v>1</v>
      </c>
      <c r="K78">
        <v>1</v>
      </c>
      <c r="L78" s="3" t="s">
        <v>708</v>
      </c>
      <c r="M78" s="16">
        <v>0</v>
      </c>
      <c r="N78" t="s">
        <v>385</v>
      </c>
      <c r="P78">
        <v>0</v>
      </c>
      <c r="Q78">
        <v>0</v>
      </c>
      <c r="R78">
        <v>0</v>
      </c>
      <c r="T78">
        <v>0</v>
      </c>
      <c r="U78">
        <v>100</v>
      </c>
      <c r="V78" t="s">
        <v>704</v>
      </c>
      <c r="W78" s="3"/>
    </row>
    <row r="79" spans="1:23">
      <c r="A79" t="s">
        <v>452</v>
      </c>
      <c r="B79">
        <v>307277</v>
      </c>
      <c r="C79" s="16">
        <v>307.27699999999999</v>
      </c>
      <c r="D79" s="16">
        <v>27.3</v>
      </c>
      <c r="E79">
        <v>0</v>
      </c>
      <c r="F79" s="16">
        <v>81.5</v>
      </c>
      <c r="G79">
        <v>0</v>
      </c>
      <c r="H79" s="16">
        <v>0.4</v>
      </c>
      <c r="I79">
        <v>1</v>
      </c>
      <c r="J79">
        <v>0</v>
      </c>
      <c r="K79">
        <v>0</v>
      </c>
      <c r="L79" s="3" t="s">
        <v>705</v>
      </c>
      <c r="M79" s="16">
        <v>0</v>
      </c>
      <c r="N79" t="s">
        <v>385</v>
      </c>
      <c r="P79">
        <v>0</v>
      </c>
      <c r="Q79">
        <v>0</v>
      </c>
      <c r="R79">
        <v>0</v>
      </c>
      <c r="T79">
        <v>0</v>
      </c>
      <c r="U79">
        <v>100</v>
      </c>
      <c r="V79" t="s">
        <v>704</v>
      </c>
      <c r="W79" s="3"/>
    </row>
    <row r="80" spans="1:23">
      <c r="A80" t="s">
        <v>453</v>
      </c>
      <c r="B80">
        <v>312296</v>
      </c>
      <c r="C80" s="16">
        <v>312.29599999999999</v>
      </c>
      <c r="D80" s="16">
        <v>27.3</v>
      </c>
      <c r="E80">
        <v>0</v>
      </c>
      <c r="F80" s="16">
        <v>81.3</v>
      </c>
      <c r="G80">
        <v>0</v>
      </c>
      <c r="H80" s="16">
        <v>0.8</v>
      </c>
      <c r="I80">
        <v>1</v>
      </c>
      <c r="J80">
        <v>0</v>
      </c>
      <c r="K80">
        <v>0</v>
      </c>
      <c r="L80" s="3" t="s">
        <v>705</v>
      </c>
      <c r="M80" s="16">
        <v>0</v>
      </c>
      <c r="N80" t="s">
        <v>385</v>
      </c>
      <c r="P80">
        <v>0</v>
      </c>
      <c r="Q80">
        <v>0</v>
      </c>
      <c r="R80">
        <v>0</v>
      </c>
      <c r="T80">
        <v>0</v>
      </c>
      <c r="U80">
        <v>100</v>
      </c>
      <c r="V80" t="s">
        <v>704</v>
      </c>
      <c r="W80" s="3"/>
    </row>
    <row r="81" spans="1:23">
      <c r="A81" t="s">
        <v>454</v>
      </c>
      <c r="B81">
        <v>317316</v>
      </c>
      <c r="C81" s="16">
        <v>317.31599999999997</v>
      </c>
      <c r="D81" s="16">
        <v>27.3</v>
      </c>
      <c r="E81">
        <v>0</v>
      </c>
      <c r="F81" s="16">
        <v>81.3</v>
      </c>
      <c r="G81">
        <v>0</v>
      </c>
      <c r="H81" s="16">
        <v>3</v>
      </c>
      <c r="I81">
        <v>1</v>
      </c>
      <c r="J81">
        <v>0</v>
      </c>
      <c r="K81">
        <v>0</v>
      </c>
      <c r="L81" s="3" t="s">
        <v>705</v>
      </c>
      <c r="M81" s="16">
        <v>0</v>
      </c>
      <c r="N81" t="s">
        <v>385</v>
      </c>
      <c r="P81">
        <v>0</v>
      </c>
      <c r="Q81">
        <v>0</v>
      </c>
      <c r="R81">
        <v>0</v>
      </c>
      <c r="T81">
        <v>0</v>
      </c>
      <c r="U81">
        <v>100</v>
      </c>
      <c r="V81" t="s">
        <v>704</v>
      </c>
      <c r="W81" s="3"/>
    </row>
    <row r="82" spans="1:23">
      <c r="A82" t="s">
        <v>455</v>
      </c>
      <c r="B82">
        <v>322333</v>
      </c>
      <c r="C82" s="16">
        <v>322.33300000000003</v>
      </c>
      <c r="D82" s="16">
        <v>27.3</v>
      </c>
      <c r="E82">
        <v>0</v>
      </c>
      <c r="F82" s="16">
        <v>81.3</v>
      </c>
      <c r="G82">
        <v>0</v>
      </c>
      <c r="H82" s="16">
        <v>0.9</v>
      </c>
      <c r="I82">
        <v>1</v>
      </c>
      <c r="J82">
        <v>0</v>
      </c>
      <c r="K82">
        <v>0</v>
      </c>
      <c r="L82" s="3" t="s">
        <v>705</v>
      </c>
      <c r="M82" s="16">
        <v>0</v>
      </c>
      <c r="N82" t="s">
        <v>385</v>
      </c>
      <c r="P82">
        <v>0</v>
      </c>
      <c r="Q82">
        <v>0</v>
      </c>
      <c r="R82">
        <v>0</v>
      </c>
      <c r="T82">
        <v>0</v>
      </c>
      <c r="U82">
        <v>100</v>
      </c>
      <c r="V82" t="s">
        <v>704</v>
      </c>
      <c r="W82" s="3"/>
    </row>
    <row r="83" spans="1:23">
      <c r="A83" t="s">
        <v>456</v>
      </c>
      <c r="B83">
        <v>327353</v>
      </c>
      <c r="C83" s="16">
        <v>327.35300000000001</v>
      </c>
      <c r="D83" s="16">
        <v>27.3</v>
      </c>
      <c r="E83">
        <v>0</v>
      </c>
      <c r="F83" s="16">
        <v>81.3</v>
      </c>
      <c r="G83">
        <v>0</v>
      </c>
      <c r="H83" s="16">
        <v>0.3</v>
      </c>
      <c r="I83">
        <v>1</v>
      </c>
      <c r="J83">
        <v>0</v>
      </c>
      <c r="K83">
        <v>0</v>
      </c>
      <c r="L83" s="3" t="s">
        <v>705</v>
      </c>
      <c r="M83" s="16">
        <v>0</v>
      </c>
      <c r="N83" t="s">
        <v>385</v>
      </c>
      <c r="P83">
        <v>0</v>
      </c>
      <c r="Q83">
        <v>0</v>
      </c>
      <c r="R83">
        <v>0</v>
      </c>
      <c r="T83">
        <v>0</v>
      </c>
      <c r="U83">
        <v>100</v>
      </c>
      <c r="V83" t="s">
        <v>704</v>
      </c>
      <c r="W83" s="3"/>
    </row>
    <row r="84" spans="1:23">
      <c r="A84" t="s">
        <v>457</v>
      </c>
      <c r="B84">
        <v>332371</v>
      </c>
      <c r="C84" s="16">
        <v>332.37099999999998</v>
      </c>
      <c r="D84" s="16">
        <v>27.3</v>
      </c>
      <c r="E84">
        <v>0</v>
      </c>
      <c r="F84" s="16">
        <v>81.3</v>
      </c>
      <c r="G84">
        <v>0</v>
      </c>
      <c r="H84" s="16">
        <v>0.1</v>
      </c>
      <c r="I84">
        <v>1</v>
      </c>
      <c r="J84">
        <v>0</v>
      </c>
      <c r="K84">
        <v>0</v>
      </c>
      <c r="L84" s="3" t="s">
        <v>705</v>
      </c>
      <c r="M84" s="16">
        <v>0</v>
      </c>
      <c r="N84" t="s">
        <v>385</v>
      </c>
      <c r="P84">
        <v>0</v>
      </c>
      <c r="Q84">
        <v>0</v>
      </c>
      <c r="R84">
        <v>0</v>
      </c>
      <c r="T84">
        <v>0</v>
      </c>
      <c r="U84">
        <v>100</v>
      </c>
      <c r="V84" t="s">
        <v>704</v>
      </c>
      <c r="W84" s="3"/>
    </row>
    <row r="85" spans="1:23" ht="27.6">
      <c r="A85" t="s">
        <v>458</v>
      </c>
      <c r="B85">
        <v>337389</v>
      </c>
      <c r="C85" s="16">
        <v>337.38900000000001</v>
      </c>
      <c r="D85" s="16">
        <v>27.3</v>
      </c>
      <c r="E85">
        <v>0</v>
      </c>
      <c r="F85" s="16">
        <v>81.5</v>
      </c>
      <c r="G85">
        <v>0</v>
      </c>
      <c r="H85" s="16">
        <v>1</v>
      </c>
      <c r="I85">
        <v>1</v>
      </c>
      <c r="J85">
        <v>0</v>
      </c>
      <c r="K85">
        <v>1</v>
      </c>
      <c r="L85" s="3" t="s">
        <v>707</v>
      </c>
      <c r="M85" s="16">
        <v>0</v>
      </c>
      <c r="N85" t="s">
        <v>385</v>
      </c>
      <c r="P85">
        <v>0</v>
      </c>
      <c r="Q85">
        <v>0</v>
      </c>
      <c r="R85">
        <v>0</v>
      </c>
      <c r="T85">
        <v>0</v>
      </c>
      <c r="U85">
        <v>100</v>
      </c>
      <c r="V85" t="s">
        <v>704</v>
      </c>
      <c r="W85" s="3" t="s">
        <v>433</v>
      </c>
    </row>
    <row r="86" spans="1:23" ht="27.6">
      <c r="A86" t="s">
        <v>461</v>
      </c>
      <c r="B86">
        <v>348723</v>
      </c>
      <c r="C86" s="16">
        <v>348.72300000000001</v>
      </c>
      <c r="D86" s="16">
        <v>27.3</v>
      </c>
      <c r="E86">
        <v>0</v>
      </c>
      <c r="F86" s="16">
        <v>81.5</v>
      </c>
      <c r="G86">
        <v>0</v>
      </c>
      <c r="H86" s="16">
        <v>67.099999999999994</v>
      </c>
      <c r="I86">
        <v>1</v>
      </c>
      <c r="J86">
        <v>1</v>
      </c>
      <c r="K86">
        <v>1</v>
      </c>
      <c r="L86" s="3" t="s">
        <v>708</v>
      </c>
      <c r="M86" s="16">
        <v>0</v>
      </c>
      <c r="N86" t="s">
        <v>385</v>
      </c>
      <c r="P86">
        <v>0</v>
      </c>
      <c r="Q86">
        <v>0</v>
      </c>
      <c r="R86">
        <v>0</v>
      </c>
      <c r="T86">
        <v>0</v>
      </c>
      <c r="U86">
        <v>100</v>
      </c>
      <c r="V86" t="s">
        <v>704</v>
      </c>
      <c r="W86" s="3"/>
    </row>
    <row r="87" spans="1:23">
      <c r="A87" t="s">
        <v>462</v>
      </c>
      <c r="B87">
        <v>353722</v>
      </c>
      <c r="C87" s="16">
        <v>353.72199999999998</v>
      </c>
      <c r="D87" s="16">
        <v>27.2</v>
      </c>
      <c r="E87">
        <v>0</v>
      </c>
      <c r="F87" s="16">
        <v>81.7</v>
      </c>
      <c r="G87">
        <v>0</v>
      </c>
      <c r="H87" s="16">
        <v>0.6</v>
      </c>
      <c r="I87">
        <v>1</v>
      </c>
      <c r="J87">
        <v>0</v>
      </c>
      <c r="K87">
        <v>0</v>
      </c>
      <c r="L87" s="3" t="s">
        <v>705</v>
      </c>
      <c r="M87" s="16">
        <v>0</v>
      </c>
      <c r="N87" t="s">
        <v>385</v>
      </c>
      <c r="P87">
        <v>0</v>
      </c>
      <c r="Q87">
        <v>0</v>
      </c>
      <c r="R87">
        <v>0</v>
      </c>
      <c r="T87">
        <v>0</v>
      </c>
      <c r="U87">
        <v>100</v>
      </c>
      <c r="V87" t="s">
        <v>704</v>
      </c>
      <c r="W87" s="3"/>
    </row>
    <row r="88" spans="1:23">
      <c r="A88" t="s">
        <v>463</v>
      </c>
      <c r="B88">
        <v>358721</v>
      </c>
      <c r="C88" s="16">
        <v>358.721</v>
      </c>
      <c r="D88" s="16">
        <v>27.3</v>
      </c>
      <c r="E88">
        <v>0</v>
      </c>
      <c r="F88" s="16">
        <v>81.3</v>
      </c>
      <c r="G88">
        <v>0</v>
      </c>
      <c r="H88" s="16">
        <v>0.4</v>
      </c>
      <c r="I88">
        <v>1</v>
      </c>
      <c r="J88">
        <v>0</v>
      </c>
      <c r="K88">
        <v>0</v>
      </c>
      <c r="L88" s="3" t="s">
        <v>705</v>
      </c>
      <c r="M88" s="16">
        <v>0</v>
      </c>
      <c r="N88" t="s">
        <v>385</v>
      </c>
      <c r="P88">
        <v>0</v>
      </c>
      <c r="Q88">
        <v>0</v>
      </c>
      <c r="R88">
        <v>0</v>
      </c>
      <c r="T88">
        <v>0</v>
      </c>
      <c r="U88">
        <v>100</v>
      </c>
      <c r="V88" t="s">
        <v>704</v>
      </c>
      <c r="W88" s="3"/>
    </row>
    <row r="89" spans="1:23">
      <c r="A89" t="s">
        <v>464</v>
      </c>
      <c r="B89">
        <v>363721</v>
      </c>
      <c r="C89" s="16">
        <v>363.721</v>
      </c>
      <c r="D89" s="16">
        <v>27.3</v>
      </c>
      <c r="E89">
        <v>0</v>
      </c>
      <c r="F89" s="16">
        <v>81.099999999999994</v>
      </c>
      <c r="G89">
        <v>0</v>
      </c>
      <c r="H89" s="16">
        <v>0.3</v>
      </c>
      <c r="I89">
        <v>1</v>
      </c>
      <c r="J89">
        <v>0</v>
      </c>
      <c r="K89">
        <v>0</v>
      </c>
      <c r="L89" s="3" t="s">
        <v>705</v>
      </c>
      <c r="M89" s="16">
        <v>0</v>
      </c>
      <c r="N89" t="s">
        <v>385</v>
      </c>
      <c r="P89">
        <v>0</v>
      </c>
      <c r="Q89">
        <v>0</v>
      </c>
      <c r="R89">
        <v>0</v>
      </c>
      <c r="T89">
        <v>0</v>
      </c>
      <c r="U89">
        <v>100</v>
      </c>
      <c r="V89" t="s">
        <v>704</v>
      </c>
      <c r="W89" s="3"/>
    </row>
    <row r="90" spans="1:23">
      <c r="A90" t="s">
        <v>465</v>
      </c>
      <c r="B90">
        <v>368721</v>
      </c>
      <c r="C90" s="16">
        <v>368.721</v>
      </c>
      <c r="D90" s="16">
        <v>27.3</v>
      </c>
      <c r="E90">
        <v>0</v>
      </c>
      <c r="F90" s="16">
        <v>81</v>
      </c>
      <c r="G90">
        <v>0</v>
      </c>
      <c r="H90" s="16">
        <v>0.2</v>
      </c>
      <c r="I90">
        <v>1</v>
      </c>
      <c r="J90">
        <v>0</v>
      </c>
      <c r="K90">
        <v>0</v>
      </c>
      <c r="L90" s="3" t="s">
        <v>705</v>
      </c>
      <c r="M90" s="16">
        <v>0</v>
      </c>
      <c r="N90" t="s">
        <v>385</v>
      </c>
      <c r="P90">
        <v>0</v>
      </c>
      <c r="Q90">
        <v>0</v>
      </c>
      <c r="R90">
        <v>0</v>
      </c>
      <c r="T90">
        <v>0</v>
      </c>
      <c r="U90">
        <v>100</v>
      </c>
      <c r="V90" t="s">
        <v>704</v>
      </c>
      <c r="W90" s="3"/>
    </row>
    <row r="91" spans="1:23">
      <c r="A91" t="s">
        <v>466</v>
      </c>
      <c r="B91">
        <v>373726</v>
      </c>
      <c r="C91" s="16">
        <v>373.726</v>
      </c>
      <c r="D91" s="16">
        <v>27.3</v>
      </c>
      <c r="E91">
        <v>0</v>
      </c>
      <c r="F91" s="16">
        <v>80.900000000000006</v>
      </c>
      <c r="G91">
        <v>0</v>
      </c>
      <c r="H91" s="16">
        <v>0.2</v>
      </c>
      <c r="I91">
        <v>1</v>
      </c>
      <c r="J91">
        <v>0</v>
      </c>
      <c r="K91">
        <v>0</v>
      </c>
      <c r="L91" s="3" t="s">
        <v>705</v>
      </c>
      <c r="M91" s="16">
        <v>0</v>
      </c>
      <c r="N91" t="s">
        <v>385</v>
      </c>
      <c r="P91">
        <v>0</v>
      </c>
      <c r="Q91">
        <v>0</v>
      </c>
      <c r="R91">
        <v>0</v>
      </c>
      <c r="T91">
        <v>0</v>
      </c>
      <c r="U91">
        <v>100</v>
      </c>
      <c r="V91" t="s">
        <v>704</v>
      </c>
      <c r="W91" s="3"/>
    </row>
    <row r="92" spans="1:23">
      <c r="A92" t="s">
        <v>467</v>
      </c>
      <c r="B92">
        <v>378745</v>
      </c>
      <c r="C92" s="16">
        <v>378.745</v>
      </c>
      <c r="D92" s="16">
        <v>27.2</v>
      </c>
      <c r="E92">
        <v>0</v>
      </c>
      <c r="F92" s="16">
        <v>80.900000000000006</v>
      </c>
      <c r="G92">
        <v>0</v>
      </c>
      <c r="H92" s="16">
        <v>0.2</v>
      </c>
      <c r="I92">
        <v>1</v>
      </c>
      <c r="J92">
        <v>0</v>
      </c>
      <c r="K92">
        <v>0</v>
      </c>
      <c r="L92" s="3" t="s">
        <v>705</v>
      </c>
      <c r="M92" s="16">
        <v>0</v>
      </c>
      <c r="N92" t="s">
        <v>385</v>
      </c>
      <c r="P92">
        <v>0</v>
      </c>
      <c r="Q92">
        <v>0</v>
      </c>
      <c r="R92">
        <v>0</v>
      </c>
      <c r="T92">
        <v>0</v>
      </c>
      <c r="U92">
        <v>100</v>
      </c>
      <c r="V92" t="s">
        <v>704</v>
      </c>
      <c r="W92" s="3"/>
    </row>
    <row r="93" spans="1:23">
      <c r="A93" t="s">
        <v>468</v>
      </c>
      <c r="B93">
        <v>383763</v>
      </c>
      <c r="C93" s="16">
        <v>383.76299999999998</v>
      </c>
      <c r="D93" s="16">
        <v>27.3</v>
      </c>
      <c r="E93">
        <v>0</v>
      </c>
      <c r="F93" s="16">
        <v>80.5</v>
      </c>
      <c r="G93">
        <v>0</v>
      </c>
      <c r="H93" s="16">
        <v>0.2</v>
      </c>
      <c r="I93">
        <v>1</v>
      </c>
      <c r="J93">
        <v>0</v>
      </c>
      <c r="K93">
        <v>0</v>
      </c>
      <c r="L93" s="3" t="s">
        <v>705</v>
      </c>
      <c r="M93" s="16">
        <v>0</v>
      </c>
      <c r="N93" t="s">
        <v>385</v>
      </c>
      <c r="P93">
        <v>0</v>
      </c>
      <c r="Q93">
        <v>0</v>
      </c>
      <c r="R93">
        <v>0</v>
      </c>
      <c r="T93">
        <v>0</v>
      </c>
      <c r="U93">
        <v>100</v>
      </c>
      <c r="V93" t="s">
        <v>704</v>
      </c>
      <c r="W93" s="3"/>
    </row>
    <row r="94" spans="1:23">
      <c r="A94" t="s">
        <v>469</v>
      </c>
      <c r="B94">
        <v>388782</v>
      </c>
      <c r="C94" s="16">
        <v>388.78199999999998</v>
      </c>
      <c r="D94" s="16">
        <v>27.3</v>
      </c>
      <c r="E94">
        <v>0</v>
      </c>
      <c r="F94" s="16">
        <v>80.400000000000006</v>
      </c>
      <c r="G94">
        <v>0</v>
      </c>
      <c r="H94" s="16">
        <v>0</v>
      </c>
      <c r="I94">
        <v>1</v>
      </c>
      <c r="J94">
        <v>0</v>
      </c>
      <c r="K94">
        <v>0</v>
      </c>
      <c r="L94" s="3" t="s">
        <v>705</v>
      </c>
      <c r="M94" s="16">
        <v>0</v>
      </c>
      <c r="N94" t="s">
        <v>385</v>
      </c>
      <c r="P94">
        <v>0</v>
      </c>
      <c r="Q94">
        <v>0</v>
      </c>
      <c r="R94">
        <v>0</v>
      </c>
      <c r="T94">
        <v>0</v>
      </c>
      <c r="U94">
        <v>100</v>
      </c>
      <c r="V94" t="s">
        <v>704</v>
      </c>
      <c r="W94" s="3"/>
    </row>
    <row r="95" spans="1:23">
      <c r="A95" t="s">
        <v>470</v>
      </c>
      <c r="B95">
        <v>393801</v>
      </c>
      <c r="C95" s="16">
        <v>393.80099999999999</v>
      </c>
      <c r="D95" s="16">
        <v>27.3</v>
      </c>
      <c r="E95">
        <v>0</v>
      </c>
      <c r="F95" s="16">
        <v>80.3</v>
      </c>
      <c r="G95">
        <v>0</v>
      </c>
      <c r="H95" s="16">
        <v>0.1</v>
      </c>
      <c r="I95">
        <v>1</v>
      </c>
      <c r="J95">
        <v>0</v>
      </c>
      <c r="K95">
        <v>0</v>
      </c>
      <c r="L95" s="3" t="s">
        <v>705</v>
      </c>
      <c r="M95" s="16">
        <v>0</v>
      </c>
      <c r="N95" t="s">
        <v>385</v>
      </c>
      <c r="P95">
        <v>0</v>
      </c>
      <c r="Q95">
        <v>0</v>
      </c>
      <c r="R95">
        <v>0</v>
      </c>
      <c r="T95">
        <v>0</v>
      </c>
      <c r="U95">
        <v>100</v>
      </c>
      <c r="V95" t="s">
        <v>704</v>
      </c>
      <c r="W95" s="3"/>
    </row>
    <row r="96" spans="1:23">
      <c r="A96" t="s">
        <v>471</v>
      </c>
      <c r="B96">
        <v>398821</v>
      </c>
      <c r="C96" s="16">
        <v>398.82100000000003</v>
      </c>
      <c r="D96" s="16">
        <v>27.3</v>
      </c>
      <c r="E96">
        <v>0</v>
      </c>
      <c r="F96" s="16">
        <v>80.3</v>
      </c>
      <c r="G96">
        <v>0</v>
      </c>
      <c r="H96" s="16">
        <v>0.1</v>
      </c>
      <c r="I96">
        <v>1</v>
      </c>
      <c r="J96">
        <v>0</v>
      </c>
      <c r="K96">
        <v>0</v>
      </c>
      <c r="L96" s="3" t="s">
        <v>705</v>
      </c>
      <c r="M96" s="16">
        <v>0</v>
      </c>
      <c r="N96" t="s">
        <v>385</v>
      </c>
      <c r="P96">
        <v>0</v>
      </c>
      <c r="Q96">
        <v>0</v>
      </c>
      <c r="R96">
        <v>0</v>
      </c>
      <c r="T96">
        <v>0</v>
      </c>
      <c r="U96">
        <v>100</v>
      </c>
      <c r="V96" t="s">
        <v>704</v>
      </c>
      <c r="W96" s="3"/>
    </row>
    <row r="97" spans="1:23">
      <c r="A97" t="s">
        <v>472</v>
      </c>
      <c r="B97">
        <v>403838</v>
      </c>
      <c r="C97" s="16">
        <v>403.83800000000002</v>
      </c>
      <c r="D97" s="16">
        <v>27.3</v>
      </c>
      <c r="E97">
        <v>0</v>
      </c>
      <c r="F97" s="16">
        <v>80.3</v>
      </c>
      <c r="G97">
        <v>0</v>
      </c>
      <c r="H97" s="16">
        <v>0</v>
      </c>
      <c r="I97">
        <v>1</v>
      </c>
      <c r="J97">
        <v>0</v>
      </c>
      <c r="K97">
        <v>0</v>
      </c>
      <c r="L97" s="3" t="s">
        <v>705</v>
      </c>
      <c r="M97" s="16">
        <v>0</v>
      </c>
      <c r="N97" t="s">
        <v>385</v>
      </c>
      <c r="P97">
        <v>0</v>
      </c>
      <c r="Q97">
        <v>0</v>
      </c>
      <c r="R97">
        <v>0</v>
      </c>
      <c r="T97">
        <v>0</v>
      </c>
      <c r="U97">
        <v>100</v>
      </c>
      <c r="V97" t="s">
        <v>704</v>
      </c>
      <c r="W97" s="3"/>
    </row>
    <row r="98" spans="1:23">
      <c r="A98" t="s">
        <v>473</v>
      </c>
      <c r="B98">
        <v>408857</v>
      </c>
      <c r="C98" s="16">
        <v>408.85700000000003</v>
      </c>
      <c r="D98" s="16">
        <v>27.3</v>
      </c>
      <c r="E98">
        <v>0</v>
      </c>
      <c r="F98" s="16">
        <v>80.5</v>
      </c>
      <c r="G98">
        <v>0</v>
      </c>
      <c r="H98" s="16">
        <v>0</v>
      </c>
      <c r="I98">
        <v>1</v>
      </c>
      <c r="J98">
        <v>0</v>
      </c>
      <c r="K98">
        <v>0</v>
      </c>
      <c r="L98" s="3" t="s">
        <v>705</v>
      </c>
      <c r="M98" s="16">
        <v>0</v>
      </c>
      <c r="N98" t="s">
        <v>385</v>
      </c>
      <c r="P98">
        <v>0</v>
      </c>
      <c r="Q98">
        <v>0</v>
      </c>
      <c r="R98">
        <v>0</v>
      </c>
      <c r="T98">
        <v>0</v>
      </c>
      <c r="U98">
        <v>100</v>
      </c>
      <c r="V98" t="s">
        <v>704</v>
      </c>
      <c r="W98" s="3"/>
    </row>
    <row r="99" spans="1:23">
      <c r="A99" t="s">
        <v>474</v>
      </c>
      <c r="B99">
        <v>413877</v>
      </c>
      <c r="C99" s="16">
        <v>413.87700000000001</v>
      </c>
      <c r="D99" s="16">
        <v>27.3</v>
      </c>
      <c r="E99">
        <v>0</v>
      </c>
      <c r="F99" s="16">
        <v>80.400000000000006</v>
      </c>
      <c r="G99">
        <v>0</v>
      </c>
      <c r="H99" s="16">
        <v>0.1</v>
      </c>
      <c r="I99">
        <v>1</v>
      </c>
      <c r="J99">
        <v>0</v>
      </c>
      <c r="K99">
        <v>0</v>
      </c>
      <c r="L99" s="3" t="s">
        <v>705</v>
      </c>
      <c r="M99" s="16">
        <v>0</v>
      </c>
      <c r="N99" t="s">
        <v>385</v>
      </c>
      <c r="P99">
        <v>0</v>
      </c>
      <c r="Q99">
        <v>0</v>
      </c>
      <c r="R99">
        <v>0</v>
      </c>
      <c r="T99">
        <v>0</v>
      </c>
      <c r="U99">
        <v>100</v>
      </c>
      <c r="V99" t="s">
        <v>704</v>
      </c>
      <c r="W99" s="3"/>
    </row>
    <row r="100" spans="1:23">
      <c r="A100" t="s">
        <v>475</v>
      </c>
      <c r="B100">
        <v>418894</v>
      </c>
      <c r="C100" s="16">
        <v>418.89400000000001</v>
      </c>
      <c r="D100" s="16">
        <v>27.3</v>
      </c>
      <c r="E100">
        <v>0</v>
      </c>
      <c r="F100" s="16">
        <v>80.3</v>
      </c>
      <c r="G100">
        <v>0</v>
      </c>
      <c r="H100" s="16">
        <v>0.1</v>
      </c>
      <c r="I100">
        <v>1</v>
      </c>
      <c r="J100">
        <v>0</v>
      </c>
      <c r="K100">
        <v>0</v>
      </c>
      <c r="L100" s="3" t="s">
        <v>705</v>
      </c>
      <c r="M100" s="16">
        <v>0</v>
      </c>
      <c r="N100" t="s">
        <v>385</v>
      </c>
      <c r="P100">
        <v>0</v>
      </c>
      <c r="Q100">
        <v>0</v>
      </c>
      <c r="R100">
        <v>0</v>
      </c>
      <c r="T100">
        <v>0</v>
      </c>
      <c r="U100">
        <v>100</v>
      </c>
      <c r="V100" t="s">
        <v>704</v>
      </c>
      <c r="W100" s="3"/>
    </row>
    <row r="101" spans="1:23">
      <c r="A101" t="s">
        <v>476</v>
      </c>
      <c r="B101">
        <v>423913</v>
      </c>
      <c r="C101" s="16">
        <v>423.91300000000001</v>
      </c>
      <c r="D101" s="16">
        <v>27.2</v>
      </c>
      <c r="E101">
        <v>0</v>
      </c>
      <c r="F101" s="16">
        <v>80.2</v>
      </c>
      <c r="G101">
        <v>0</v>
      </c>
      <c r="H101" s="16">
        <v>0</v>
      </c>
      <c r="I101">
        <v>1</v>
      </c>
      <c r="J101">
        <v>0</v>
      </c>
      <c r="K101">
        <v>0</v>
      </c>
      <c r="L101" s="3" t="s">
        <v>705</v>
      </c>
      <c r="M101" s="16">
        <v>0</v>
      </c>
      <c r="N101" t="s">
        <v>385</v>
      </c>
      <c r="P101">
        <v>0</v>
      </c>
      <c r="Q101">
        <v>0</v>
      </c>
      <c r="R101">
        <v>0</v>
      </c>
      <c r="T101">
        <v>0</v>
      </c>
      <c r="U101">
        <v>100</v>
      </c>
      <c r="V101" t="s">
        <v>704</v>
      </c>
      <c r="W101" s="3"/>
    </row>
    <row r="102" spans="1:23">
      <c r="A102" t="s">
        <v>477</v>
      </c>
      <c r="B102">
        <v>428932</v>
      </c>
      <c r="C102" s="16">
        <v>428.93200000000002</v>
      </c>
      <c r="D102" s="16">
        <v>27.3</v>
      </c>
      <c r="E102">
        <v>0</v>
      </c>
      <c r="F102" s="16">
        <v>80.099999999999994</v>
      </c>
      <c r="G102">
        <v>0</v>
      </c>
      <c r="H102" s="16">
        <v>0.1</v>
      </c>
      <c r="I102">
        <v>1</v>
      </c>
      <c r="J102">
        <v>0</v>
      </c>
      <c r="K102">
        <v>0</v>
      </c>
      <c r="L102" s="3" t="s">
        <v>705</v>
      </c>
      <c r="M102" s="16">
        <v>0</v>
      </c>
      <c r="N102" t="s">
        <v>385</v>
      </c>
      <c r="P102">
        <v>0</v>
      </c>
      <c r="Q102">
        <v>0</v>
      </c>
      <c r="R102">
        <v>0</v>
      </c>
      <c r="T102">
        <v>0</v>
      </c>
      <c r="U102">
        <v>100</v>
      </c>
      <c r="V102" t="s">
        <v>704</v>
      </c>
      <c r="W102" s="3"/>
    </row>
    <row r="103" spans="1:23">
      <c r="A103" t="s">
        <v>478</v>
      </c>
      <c r="B103">
        <v>433951</v>
      </c>
      <c r="C103" s="16">
        <v>433.95100000000002</v>
      </c>
      <c r="D103" s="16">
        <v>27.3</v>
      </c>
      <c r="E103">
        <v>0</v>
      </c>
      <c r="F103" s="16">
        <v>80.099999999999994</v>
      </c>
      <c r="G103">
        <v>0</v>
      </c>
      <c r="H103" s="16">
        <v>0</v>
      </c>
      <c r="I103">
        <v>1</v>
      </c>
      <c r="J103">
        <v>0</v>
      </c>
      <c r="K103">
        <v>0</v>
      </c>
      <c r="L103" s="3" t="s">
        <v>705</v>
      </c>
      <c r="M103" s="16">
        <v>0</v>
      </c>
      <c r="N103" t="s">
        <v>385</v>
      </c>
      <c r="P103">
        <v>0</v>
      </c>
      <c r="Q103">
        <v>0</v>
      </c>
      <c r="R103">
        <v>0</v>
      </c>
      <c r="T103">
        <v>0</v>
      </c>
      <c r="U103">
        <v>100</v>
      </c>
      <c r="V103" t="s">
        <v>704</v>
      </c>
      <c r="W103" s="3"/>
    </row>
    <row r="104" spans="1:23">
      <c r="A104" t="s">
        <v>479</v>
      </c>
      <c r="B104">
        <v>438969</v>
      </c>
      <c r="C104" s="16">
        <v>438.96899999999999</v>
      </c>
      <c r="D104" s="16">
        <v>27.3</v>
      </c>
      <c r="E104">
        <v>0</v>
      </c>
      <c r="F104" s="16">
        <v>80</v>
      </c>
      <c r="G104">
        <v>0</v>
      </c>
      <c r="H104" s="16">
        <v>0</v>
      </c>
      <c r="I104">
        <v>0</v>
      </c>
      <c r="J104">
        <v>0</v>
      </c>
      <c r="K104">
        <v>0</v>
      </c>
      <c r="L104" s="3" t="s">
        <v>702</v>
      </c>
      <c r="M104" s="16">
        <v>0</v>
      </c>
      <c r="N104" t="s">
        <v>385</v>
      </c>
      <c r="P104">
        <v>0</v>
      </c>
      <c r="Q104">
        <v>0</v>
      </c>
      <c r="R104">
        <v>0</v>
      </c>
      <c r="T104">
        <v>0</v>
      </c>
      <c r="U104">
        <v>100</v>
      </c>
      <c r="V104" t="s">
        <v>704</v>
      </c>
      <c r="W104" s="3"/>
    </row>
    <row r="105" spans="1:23">
      <c r="A105" t="s">
        <v>480</v>
      </c>
      <c r="B105">
        <v>443988</v>
      </c>
      <c r="C105" s="16">
        <v>443.988</v>
      </c>
      <c r="D105" s="16">
        <v>27.3</v>
      </c>
      <c r="E105">
        <v>0</v>
      </c>
      <c r="F105" s="16">
        <v>80</v>
      </c>
      <c r="G105">
        <v>0</v>
      </c>
      <c r="H105" s="16">
        <v>0.8</v>
      </c>
      <c r="I105">
        <v>1</v>
      </c>
      <c r="J105">
        <v>0</v>
      </c>
      <c r="K105">
        <v>0</v>
      </c>
      <c r="L105" s="3" t="s">
        <v>705</v>
      </c>
      <c r="M105" s="16">
        <v>0</v>
      </c>
      <c r="N105" t="s">
        <v>385</v>
      </c>
      <c r="P105">
        <v>0</v>
      </c>
      <c r="Q105">
        <v>0</v>
      </c>
      <c r="R105">
        <v>0</v>
      </c>
      <c r="T105">
        <v>0</v>
      </c>
      <c r="U105">
        <v>100</v>
      </c>
      <c r="V105" t="s">
        <v>704</v>
      </c>
      <c r="W105" s="3"/>
    </row>
    <row r="106" spans="1:23">
      <c r="A106" t="s">
        <v>481</v>
      </c>
      <c r="B106">
        <v>449007</v>
      </c>
      <c r="C106" s="16">
        <v>449.00700000000001</v>
      </c>
      <c r="D106" s="16">
        <v>27.3</v>
      </c>
      <c r="E106">
        <v>0</v>
      </c>
      <c r="F106" s="16">
        <v>80.099999999999994</v>
      </c>
      <c r="G106">
        <v>0</v>
      </c>
      <c r="H106" s="16">
        <v>1.1000000000000001</v>
      </c>
      <c r="I106">
        <v>1</v>
      </c>
      <c r="J106">
        <v>0</v>
      </c>
      <c r="K106">
        <v>0</v>
      </c>
      <c r="L106" s="3" t="s">
        <v>705</v>
      </c>
      <c r="M106" s="16">
        <v>0</v>
      </c>
      <c r="N106" t="s">
        <v>385</v>
      </c>
      <c r="P106">
        <v>0</v>
      </c>
      <c r="Q106">
        <v>0</v>
      </c>
      <c r="R106">
        <v>0</v>
      </c>
      <c r="T106">
        <v>0</v>
      </c>
      <c r="U106">
        <v>100</v>
      </c>
      <c r="V106" t="s">
        <v>704</v>
      </c>
      <c r="W106" s="3"/>
    </row>
    <row r="107" spans="1:23" ht="27.6">
      <c r="A107" t="s">
        <v>482</v>
      </c>
      <c r="B107">
        <v>454025</v>
      </c>
      <c r="C107" s="16">
        <v>454.02499999999998</v>
      </c>
      <c r="D107" s="16">
        <v>27.3</v>
      </c>
      <c r="E107">
        <v>0</v>
      </c>
      <c r="F107" s="16">
        <v>80.099999999999994</v>
      </c>
      <c r="G107">
        <v>0</v>
      </c>
      <c r="H107" s="16">
        <v>1.2</v>
      </c>
      <c r="I107">
        <v>1</v>
      </c>
      <c r="J107">
        <v>0</v>
      </c>
      <c r="K107">
        <v>1</v>
      </c>
      <c r="L107" s="3" t="s">
        <v>707</v>
      </c>
      <c r="M107" s="16">
        <v>0</v>
      </c>
      <c r="N107" t="s">
        <v>385</v>
      </c>
      <c r="P107">
        <v>0</v>
      </c>
      <c r="Q107">
        <v>0</v>
      </c>
      <c r="R107">
        <v>0</v>
      </c>
      <c r="T107">
        <v>0</v>
      </c>
      <c r="U107">
        <v>100</v>
      </c>
      <c r="V107" t="s">
        <v>704</v>
      </c>
      <c r="W107" s="3" t="s">
        <v>433</v>
      </c>
    </row>
    <row r="108" spans="1:23" ht="27.6">
      <c r="A108" t="s">
        <v>485</v>
      </c>
      <c r="B108">
        <v>466339</v>
      </c>
      <c r="C108" s="16">
        <v>466.339</v>
      </c>
      <c r="D108" s="16">
        <v>27.3</v>
      </c>
      <c r="E108">
        <v>0</v>
      </c>
      <c r="F108" s="16">
        <v>80.3</v>
      </c>
      <c r="G108">
        <v>0</v>
      </c>
      <c r="H108" s="16">
        <v>31.1</v>
      </c>
      <c r="I108">
        <v>1</v>
      </c>
      <c r="J108">
        <v>1</v>
      </c>
      <c r="K108">
        <v>1</v>
      </c>
      <c r="L108" s="3" t="s">
        <v>708</v>
      </c>
      <c r="M108" s="16">
        <v>0</v>
      </c>
      <c r="N108" t="s">
        <v>385</v>
      </c>
      <c r="P108">
        <v>1</v>
      </c>
      <c r="Q108">
        <v>0</v>
      </c>
      <c r="R108">
        <v>0</v>
      </c>
      <c r="T108">
        <v>0</v>
      </c>
      <c r="U108">
        <v>100</v>
      </c>
      <c r="V108" t="s">
        <v>704</v>
      </c>
      <c r="W108" s="3"/>
    </row>
    <row r="109" spans="1:23">
      <c r="A109" t="s">
        <v>486</v>
      </c>
      <c r="B109">
        <v>471500</v>
      </c>
      <c r="C109" s="16">
        <v>471.5</v>
      </c>
      <c r="D109" s="16">
        <v>27.3</v>
      </c>
      <c r="E109">
        <v>0</v>
      </c>
      <c r="F109" s="16">
        <v>80.5</v>
      </c>
      <c r="G109">
        <v>0</v>
      </c>
      <c r="H109" s="16">
        <v>9.9</v>
      </c>
      <c r="I109">
        <v>1</v>
      </c>
      <c r="J109">
        <v>0</v>
      </c>
      <c r="K109">
        <v>0</v>
      </c>
      <c r="L109" s="3" t="s">
        <v>705</v>
      </c>
      <c r="M109" s="16">
        <v>0</v>
      </c>
      <c r="N109" t="s">
        <v>385</v>
      </c>
      <c r="P109">
        <v>1</v>
      </c>
      <c r="Q109">
        <v>0</v>
      </c>
      <c r="R109">
        <v>0</v>
      </c>
      <c r="T109">
        <v>0</v>
      </c>
      <c r="U109">
        <v>100</v>
      </c>
      <c r="V109" t="s">
        <v>704</v>
      </c>
      <c r="W109" s="3"/>
    </row>
    <row r="110" spans="1:23">
      <c r="A110" t="s">
        <v>487</v>
      </c>
      <c r="B110">
        <v>476518</v>
      </c>
      <c r="C110" s="16">
        <v>476.51799999999997</v>
      </c>
      <c r="D110" s="16">
        <v>27.3</v>
      </c>
      <c r="E110">
        <v>0</v>
      </c>
      <c r="F110" s="16">
        <v>80.5</v>
      </c>
      <c r="G110">
        <v>0</v>
      </c>
      <c r="H110" s="16">
        <v>3.2</v>
      </c>
      <c r="I110">
        <v>1</v>
      </c>
      <c r="J110">
        <v>0</v>
      </c>
      <c r="K110">
        <v>0</v>
      </c>
      <c r="L110" s="3" t="s">
        <v>705</v>
      </c>
      <c r="M110" s="16">
        <v>0</v>
      </c>
      <c r="N110" t="s">
        <v>385</v>
      </c>
      <c r="P110">
        <v>1</v>
      </c>
      <c r="Q110">
        <v>0</v>
      </c>
      <c r="R110">
        <v>0</v>
      </c>
      <c r="T110">
        <v>0</v>
      </c>
      <c r="U110">
        <v>100</v>
      </c>
      <c r="V110" t="s">
        <v>704</v>
      </c>
      <c r="W110" s="3"/>
    </row>
    <row r="111" spans="1:23">
      <c r="A111" t="s">
        <v>488</v>
      </c>
      <c r="B111">
        <v>481538</v>
      </c>
      <c r="C111" s="16">
        <v>481.53800000000001</v>
      </c>
      <c r="D111" s="16">
        <v>27.2</v>
      </c>
      <c r="E111">
        <v>0</v>
      </c>
      <c r="F111" s="16">
        <v>80.5</v>
      </c>
      <c r="G111">
        <v>0</v>
      </c>
      <c r="H111" s="16">
        <v>0.5</v>
      </c>
      <c r="I111">
        <v>1</v>
      </c>
      <c r="J111">
        <v>0</v>
      </c>
      <c r="K111">
        <v>0</v>
      </c>
      <c r="L111" s="3" t="s">
        <v>705</v>
      </c>
      <c r="M111" s="16">
        <v>0</v>
      </c>
      <c r="N111" t="s">
        <v>385</v>
      </c>
      <c r="P111">
        <v>1</v>
      </c>
      <c r="Q111">
        <v>0</v>
      </c>
      <c r="R111">
        <v>0</v>
      </c>
      <c r="T111">
        <v>0</v>
      </c>
      <c r="U111">
        <v>100</v>
      </c>
      <c r="V111" t="s">
        <v>704</v>
      </c>
      <c r="W111" s="3"/>
    </row>
    <row r="112" spans="1:23" ht="27.6">
      <c r="A112" t="s">
        <v>489</v>
      </c>
      <c r="B112">
        <v>486555</v>
      </c>
      <c r="C112" s="16">
        <v>486.55500000000001</v>
      </c>
      <c r="D112" s="16">
        <v>27.3</v>
      </c>
      <c r="E112">
        <v>0</v>
      </c>
      <c r="F112" s="16">
        <v>80.5</v>
      </c>
      <c r="G112">
        <v>0</v>
      </c>
      <c r="H112" s="16">
        <v>0</v>
      </c>
      <c r="I112">
        <v>1</v>
      </c>
      <c r="J112">
        <v>0</v>
      </c>
      <c r="K112">
        <v>1</v>
      </c>
      <c r="L112" s="3" t="s">
        <v>707</v>
      </c>
      <c r="M112" s="16">
        <v>0</v>
      </c>
      <c r="N112" t="s">
        <v>385</v>
      </c>
      <c r="P112">
        <v>1</v>
      </c>
      <c r="Q112">
        <v>0</v>
      </c>
      <c r="R112">
        <v>0</v>
      </c>
      <c r="T112">
        <v>0</v>
      </c>
      <c r="U112">
        <v>100</v>
      </c>
      <c r="V112" t="s">
        <v>704</v>
      </c>
      <c r="W112" s="3" t="s">
        <v>433</v>
      </c>
    </row>
    <row r="113" spans="1:23" ht="27.6">
      <c r="A113" t="s">
        <v>492</v>
      </c>
      <c r="B113">
        <v>492331</v>
      </c>
      <c r="C113" s="16">
        <v>492.33100000000002</v>
      </c>
      <c r="D113" s="16">
        <v>27.3</v>
      </c>
      <c r="E113">
        <v>0</v>
      </c>
      <c r="F113" s="16">
        <v>80.7</v>
      </c>
      <c r="G113">
        <v>0</v>
      </c>
      <c r="H113" s="16">
        <v>41.2</v>
      </c>
      <c r="I113">
        <v>1</v>
      </c>
      <c r="J113">
        <v>1</v>
      </c>
      <c r="K113">
        <v>1</v>
      </c>
      <c r="L113" s="3" t="s">
        <v>708</v>
      </c>
      <c r="M113" s="16">
        <v>0</v>
      </c>
      <c r="N113" t="s">
        <v>385</v>
      </c>
      <c r="P113">
        <v>2</v>
      </c>
      <c r="Q113">
        <v>0</v>
      </c>
      <c r="R113">
        <v>0</v>
      </c>
      <c r="T113">
        <v>0</v>
      </c>
      <c r="U113">
        <v>100</v>
      </c>
      <c r="V113" t="s">
        <v>704</v>
      </c>
      <c r="W113" s="3"/>
    </row>
    <row r="114" spans="1:23" ht="27.6">
      <c r="A114" t="s">
        <v>493</v>
      </c>
      <c r="B114">
        <v>497330</v>
      </c>
      <c r="C114" s="16">
        <v>497.33</v>
      </c>
      <c r="D114" s="16">
        <v>27.3</v>
      </c>
      <c r="E114">
        <v>0</v>
      </c>
      <c r="F114" s="16">
        <v>80.8</v>
      </c>
      <c r="G114">
        <v>0</v>
      </c>
      <c r="H114" s="16">
        <v>2.1</v>
      </c>
      <c r="I114">
        <v>1</v>
      </c>
      <c r="J114">
        <v>0</v>
      </c>
      <c r="K114">
        <v>1</v>
      </c>
      <c r="L114" s="3" t="s">
        <v>707</v>
      </c>
      <c r="M114" s="16">
        <v>0</v>
      </c>
      <c r="N114" t="s">
        <v>385</v>
      </c>
      <c r="P114">
        <v>2</v>
      </c>
      <c r="Q114">
        <v>0</v>
      </c>
      <c r="R114">
        <v>0</v>
      </c>
      <c r="T114">
        <v>0</v>
      </c>
      <c r="U114">
        <v>100</v>
      </c>
      <c r="V114" t="s">
        <v>704</v>
      </c>
      <c r="W114" s="3" t="s">
        <v>433</v>
      </c>
    </row>
    <row r="115" spans="1:23" ht="27.6">
      <c r="A115" t="s">
        <v>497</v>
      </c>
      <c r="B115">
        <v>502942</v>
      </c>
      <c r="C115" s="16">
        <v>502.94200000000001</v>
      </c>
      <c r="D115" s="16">
        <v>27.3</v>
      </c>
      <c r="E115">
        <v>0</v>
      </c>
      <c r="F115" s="16">
        <v>80.8</v>
      </c>
      <c r="G115">
        <v>0</v>
      </c>
      <c r="H115" s="16">
        <v>35.299999999999997</v>
      </c>
      <c r="I115">
        <v>1</v>
      </c>
      <c r="J115">
        <v>1</v>
      </c>
      <c r="K115">
        <v>1</v>
      </c>
      <c r="L115" s="3" t="s">
        <v>708</v>
      </c>
      <c r="M115" s="16">
        <v>0</v>
      </c>
      <c r="N115" t="s">
        <v>385</v>
      </c>
      <c r="P115">
        <v>0</v>
      </c>
      <c r="Q115">
        <v>0</v>
      </c>
      <c r="R115">
        <v>0</v>
      </c>
      <c r="T115">
        <v>0</v>
      </c>
      <c r="U115">
        <v>100</v>
      </c>
      <c r="V115" t="s">
        <v>704</v>
      </c>
      <c r="W115" s="3"/>
    </row>
    <row r="116" spans="1:23">
      <c r="A116" t="s">
        <v>498</v>
      </c>
      <c r="B116">
        <v>508116</v>
      </c>
      <c r="C116" s="16">
        <v>508.11599999999999</v>
      </c>
      <c r="D116" s="16">
        <v>27.3</v>
      </c>
      <c r="E116">
        <v>0</v>
      </c>
      <c r="F116" s="16">
        <v>80.8</v>
      </c>
      <c r="G116">
        <v>0</v>
      </c>
      <c r="H116" s="16">
        <v>1.4</v>
      </c>
      <c r="I116">
        <v>1</v>
      </c>
      <c r="J116">
        <v>0</v>
      </c>
      <c r="K116">
        <v>0</v>
      </c>
      <c r="L116" s="3" t="s">
        <v>705</v>
      </c>
      <c r="M116" s="16">
        <v>0</v>
      </c>
      <c r="N116" t="s">
        <v>385</v>
      </c>
      <c r="P116">
        <v>0</v>
      </c>
      <c r="Q116">
        <v>0</v>
      </c>
      <c r="R116">
        <v>0</v>
      </c>
      <c r="T116">
        <v>0</v>
      </c>
      <c r="U116">
        <v>100</v>
      </c>
      <c r="V116" t="s">
        <v>704</v>
      </c>
      <c r="W116" s="3"/>
    </row>
    <row r="117" spans="1:23" ht="27.6">
      <c r="A117" t="s">
        <v>499</v>
      </c>
      <c r="B117">
        <v>513134</v>
      </c>
      <c r="C117" s="16">
        <v>513.13400000000001</v>
      </c>
      <c r="D117" s="16">
        <v>27.3</v>
      </c>
      <c r="E117">
        <v>0</v>
      </c>
      <c r="F117" s="16">
        <v>80.8</v>
      </c>
      <c r="G117">
        <v>0</v>
      </c>
      <c r="H117" s="16">
        <v>11.1</v>
      </c>
      <c r="I117">
        <v>1</v>
      </c>
      <c r="J117">
        <v>1</v>
      </c>
      <c r="K117">
        <v>1</v>
      </c>
      <c r="L117" s="3" t="s">
        <v>708</v>
      </c>
      <c r="M117" s="16">
        <v>0</v>
      </c>
      <c r="N117" t="s">
        <v>385</v>
      </c>
      <c r="P117">
        <v>0</v>
      </c>
      <c r="Q117">
        <v>0</v>
      </c>
      <c r="R117">
        <v>0</v>
      </c>
      <c r="T117">
        <v>0</v>
      </c>
      <c r="U117">
        <v>100</v>
      </c>
      <c r="V117" t="s">
        <v>704</v>
      </c>
      <c r="W117" s="3"/>
    </row>
    <row r="118" spans="1:23">
      <c r="A118" t="s">
        <v>500</v>
      </c>
      <c r="B118">
        <v>518154</v>
      </c>
      <c r="C118" s="16">
        <v>518.154</v>
      </c>
      <c r="D118" s="16">
        <v>27.3</v>
      </c>
      <c r="E118">
        <v>0</v>
      </c>
      <c r="F118" s="16">
        <v>80.900000000000006</v>
      </c>
      <c r="G118">
        <v>0</v>
      </c>
      <c r="H118" s="16">
        <v>4.0999999999999996</v>
      </c>
      <c r="I118">
        <v>1</v>
      </c>
      <c r="J118">
        <v>0</v>
      </c>
      <c r="K118">
        <v>0</v>
      </c>
      <c r="L118" s="3" t="s">
        <v>705</v>
      </c>
      <c r="M118" s="16">
        <v>0</v>
      </c>
      <c r="N118" t="s">
        <v>385</v>
      </c>
      <c r="P118">
        <v>0</v>
      </c>
      <c r="Q118">
        <v>0</v>
      </c>
      <c r="R118">
        <v>0</v>
      </c>
      <c r="T118">
        <v>0</v>
      </c>
      <c r="U118">
        <v>100</v>
      </c>
      <c r="V118" t="s">
        <v>704</v>
      </c>
      <c r="W118" s="3"/>
    </row>
    <row r="119" spans="1:23">
      <c r="A119" t="s">
        <v>501</v>
      </c>
      <c r="B119">
        <v>523171</v>
      </c>
      <c r="C119" s="16">
        <v>523.17100000000005</v>
      </c>
      <c r="D119" s="16">
        <v>27.3</v>
      </c>
      <c r="E119">
        <v>0</v>
      </c>
      <c r="F119" s="16">
        <v>81</v>
      </c>
      <c r="G119">
        <v>0</v>
      </c>
      <c r="H119" s="16">
        <v>3.2</v>
      </c>
      <c r="I119">
        <v>1</v>
      </c>
      <c r="J119">
        <v>0</v>
      </c>
      <c r="K119">
        <v>0</v>
      </c>
      <c r="L119" s="3" t="s">
        <v>705</v>
      </c>
      <c r="M119" s="16">
        <v>0</v>
      </c>
      <c r="N119" t="s">
        <v>385</v>
      </c>
      <c r="P119">
        <v>0</v>
      </c>
      <c r="Q119">
        <v>0</v>
      </c>
      <c r="R119">
        <v>0</v>
      </c>
      <c r="T119">
        <v>0</v>
      </c>
      <c r="U119">
        <v>100</v>
      </c>
      <c r="V119" t="s">
        <v>704</v>
      </c>
      <c r="W119" s="3"/>
    </row>
    <row r="120" spans="1:23">
      <c r="A120" t="s">
        <v>502</v>
      </c>
      <c r="B120">
        <v>528190</v>
      </c>
      <c r="C120" s="16">
        <v>528.19000000000005</v>
      </c>
      <c r="D120" s="16">
        <v>27.3</v>
      </c>
      <c r="E120">
        <v>0</v>
      </c>
      <c r="F120" s="16">
        <v>81</v>
      </c>
      <c r="G120">
        <v>0</v>
      </c>
      <c r="H120" s="16">
        <v>2.5</v>
      </c>
      <c r="I120">
        <v>1</v>
      </c>
      <c r="J120">
        <v>0</v>
      </c>
      <c r="K120">
        <v>0</v>
      </c>
      <c r="L120" s="3" t="s">
        <v>705</v>
      </c>
      <c r="M120" s="16">
        <v>0</v>
      </c>
      <c r="N120" t="s">
        <v>385</v>
      </c>
      <c r="P120">
        <v>0</v>
      </c>
      <c r="Q120">
        <v>0</v>
      </c>
      <c r="R120">
        <v>0</v>
      </c>
      <c r="T120">
        <v>0</v>
      </c>
      <c r="U120">
        <v>100</v>
      </c>
      <c r="V120" t="s">
        <v>704</v>
      </c>
      <c r="W120" s="3"/>
    </row>
    <row r="121" spans="1:23" ht="27.6">
      <c r="A121" t="s">
        <v>503</v>
      </c>
      <c r="B121">
        <v>533209</v>
      </c>
      <c r="C121" s="16">
        <v>533.20899999999995</v>
      </c>
      <c r="D121" s="16">
        <v>27.3</v>
      </c>
      <c r="E121">
        <v>0</v>
      </c>
      <c r="F121" s="16">
        <v>81.099999999999994</v>
      </c>
      <c r="G121">
        <v>0</v>
      </c>
      <c r="H121" s="16">
        <v>11.8</v>
      </c>
      <c r="I121">
        <v>1</v>
      </c>
      <c r="J121">
        <v>1</v>
      </c>
      <c r="K121">
        <v>1</v>
      </c>
      <c r="L121" s="3" t="s">
        <v>708</v>
      </c>
      <c r="M121" s="16">
        <v>0</v>
      </c>
      <c r="N121" t="s">
        <v>385</v>
      </c>
      <c r="P121">
        <v>0</v>
      </c>
      <c r="Q121">
        <v>0</v>
      </c>
      <c r="R121">
        <v>0</v>
      </c>
      <c r="T121">
        <v>0</v>
      </c>
      <c r="U121">
        <v>100</v>
      </c>
      <c r="V121" t="s">
        <v>704</v>
      </c>
      <c r="W121" s="3"/>
    </row>
    <row r="122" spans="1:23">
      <c r="A122" t="s">
        <v>504</v>
      </c>
      <c r="B122">
        <v>538226</v>
      </c>
      <c r="C122" s="16">
        <v>538.226</v>
      </c>
      <c r="D122" s="16">
        <v>27.3</v>
      </c>
      <c r="E122">
        <v>0</v>
      </c>
      <c r="F122" s="16">
        <v>81</v>
      </c>
      <c r="G122">
        <v>0</v>
      </c>
      <c r="H122" s="16">
        <v>5.9</v>
      </c>
      <c r="I122">
        <v>1</v>
      </c>
      <c r="J122">
        <v>0</v>
      </c>
      <c r="K122">
        <v>0</v>
      </c>
      <c r="L122" s="3" t="s">
        <v>705</v>
      </c>
      <c r="M122" s="16">
        <v>0</v>
      </c>
      <c r="N122" t="s">
        <v>385</v>
      </c>
      <c r="P122">
        <v>0</v>
      </c>
      <c r="Q122">
        <v>0</v>
      </c>
      <c r="R122">
        <v>0</v>
      </c>
      <c r="T122">
        <v>0</v>
      </c>
      <c r="U122">
        <v>100</v>
      </c>
      <c r="V122" t="s">
        <v>704</v>
      </c>
      <c r="W122" s="3"/>
    </row>
    <row r="123" spans="1:23">
      <c r="A123" t="s">
        <v>505</v>
      </c>
      <c r="B123">
        <v>543245</v>
      </c>
      <c r="C123" s="16">
        <v>543.245</v>
      </c>
      <c r="D123" s="16">
        <v>27.3</v>
      </c>
      <c r="E123">
        <v>0</v>
      </c>
      <c r="F123" s="16">
        <v>81</v>
      </c>
      <c r="G123">
        <v>0</v>
      </c>
      <c r="H123" s="16">
        <v>4.7</v>
      </c>
      <c r="I123">
        <v>1</v>
      </c>
      <c r="J123">
        <v>0</v>
      </c>
      <c r="K123">
        <v>0</v>
      </c>
      <c r="L123" s="3" t="s">
        <v>705</v>
      </c>
      <c r="M123" s="16">
        <v>0</v>
      </c>
      <c r="N123" t="s">
        <v>385</v>
      </c>
      <c r="P123">
        <v>0</v>
      </c>
      <c r="Q123">
        <v>0</v>
      </c>
      <c r="R123">
        <v>0</v>
      </c>
      <c r="T123">
        <v>0</v>
      </c>
      <c r="U123">
        <v>100</v>
      </c>
      <c r="V123" t="s">
        <v>704</v>
      </c>
      <c r="W123" s="3"/>
    </row>
    <row r="124" spans="1:23" ht="27.6">
      <c r="A124" t="s">
        <v>506</v>
      </c>
      <c r="B124">
        <v>548264</v>
      </c>
      <c r="C124" s="16">
        <v>548.26400000000001</v>
      </c>
      <c r="D124" s="16">
        <v>27.3</v>
      </c>
      <c r="E124">
        <v>0</v>
      </c>
      <c r="F124" s="16">
        <v>81</v>
      </c>
      <c r="G124">
        <v>0</v>
      </c>
      <c r="H124" s="16">
        <v>4.0999999999999996</v>
      </c>
      <c r="I124">
        <v>1</v>
      </c>
      <c r="J124">
        <v>0</v>
      </c>
      <c r="K124">
        <v>1</v>
      </c>
      <c r="L124" s="3" t="s">
        <v>707</v>
      </c>
      <c r="M124" s="16">
        <v>0</v>
      </c>
      <c r="N124" t="s">
        <v>385</v>
      </c>
      <c r="P124">
        <v>0</v>
      </c>
      <c r="Q124">
        <v>0</v>
      </c>
      <c r="R124">
        <v>0</v>
      </c>
      <c r="T124">
        <v>0</v>
      </c>
      <c r="U124">
        <v>100</v>
      </c>
      <c r="V124" t="s">
        <v>704</v>
      </c>
      <c r="W124" s="3" t="s">
        <v>433</v>
      </c>
    </row>
    <row r="125" spans="1:23" ht="27.6">
      <c r="A125" t="s">
        <v>509</v>
      </c>
      <c r="B125">
        <v>564671</v>
      </c>
      <c r="C125" s="16">
        <v>564.67100000000005</v>
      </c>
      <c r="D125" s="16">
        <v>27.3</v>
      </c>
      <c r="E125">
        <v>0</v>
      </c>
      <c r="F125" s="16">
        <v>81.099999999999994</v>
      </c>
      <c r="G125">
        <v>0</v>
      </c>
      <c r="H125" s="16">
        <v>11</v>
      </c>
      <c r="I125">
        <v>1</v>
      </c>
      <c r="J125">
        <v>1</v>
      </c>
      <c r="K125">
        <v>1</v>
      </c>
      <c r="L125" s="3" t="s">
        <v>708</v>
      </c>
      <c r="M125" s="16">
        <v>0</v>
      </c>
      <c r="N125" t="s">
        <v>385</v>
      </c>
      <c r="P125">
        <v>0</v>
      </c>
      <c r="Q125">
        <v>0</v>
      </c>
      <c r="R125">
        <v>0</v>
      </c>
      <c r="T125">
        <v>0</v>
      </c>
      <c r="U125">
        <v>100</v>
      </c>
      <c r="V125" t="s">
        <v>704</v>
      </c>
      <c r="W125" s="3"/>
    </row>
    <row r="126" spans="1:23">
      <c r="A126" t="s">
        <v>510</v>
      </c>
      <c r="B126">
        <v>569830</v>
      </c>
      <c r="C126" s="16">
        <v>569.83000000000004</v>
      </c>
      <c r="D126" s="16">
        <v>27.3</v>
      </c>
      <c r="E126">
        <v>0</v>
      </c>
      <c r="F126" s="16">
        <v>81.3</v>
      </c>
      <c r="G126">
        <v>0</v>
      </c>
      <c r="H126" s="16">
        <v>3.9</v>
      </c>
      <c r="I126">
        <v>1</v>
      </c>
      <c r="J126">
        <v>0</v>
      </c>
      <c r="K126">
        <v>0</v>
      </c>
      <c r="L126" s="3" t="s">
        <v>705</v>
      </c>
      <c r="M126" s="16">
        <v>0</v>
      </c>
      <c r="N126" t="s">
        <v>385</v>
      </c>
      <c r="P126">
        <v>0</v>
      </c>
      <c r="Q126">
        <v>0</v>
      </c>
      <c r="R126">
        <v>0</v>
      </c>
      <c r="T126">
        <v>0</v>
      </c>
      <c r="U126">
        <v>100</v>
      </c>
      <c r="V126" t="s">
        <v>704</v>
      </c>
      <c r="W126" s="3"/>
    </row>
    <row r="127" spans="1:23">
      <c r="A127" t="s">
        <v>511</v>
      </c>
      <c r="B127">
        <v>574849</v>
      </c>
      <c r="C127" s="16">
        <v>574.84900000000005</v>
      </c>
      <c r="D127" s="16">
        <v>27.3</v>
      </c>
      <c r="E127">
        <v>0</v>
      </c>
      <c r="F127" s="16">
        <v>81.3</v>
      </c>
      <c r="G127">
        <v>0</v>
      </c>
      <c r="H127" s="16">
        <v>3.7</v>
      </c>
      <c r="I127">
        <v>1</v>
      </c>
      <c r="J127">
        <v>0</v>
      </c>
      <c r="K127">
        <v>0</v>
      </c>
      <c r="L127" s="3" t="s">
        <v>705</v>
      </c>
      <c r="M127" s="16">
        <v>0</v>
      </c>
      <c r="N127" t="s">
        <v>385</v>
      </c>
      <c r="P127">
        <v>0</v>
      </c>
      <c r="Q127">
        <v>0</v>
      </c>
      <c r="R127">
        <v>0</v>
      </c>
      <c r="T127">
        <v>0</v>
      </c>
      <c r="U127">
        <v>100</v>
      </c>
      <c r="V127" t="s">
        <v>704</v>
      </c>
      <c r="W127" s="3"/>
    </row>
    <row r="128" spans="1:23">
      <c r="A128" t="s">
        <v>512</v>
      </c>
      <c r="B128">
        <v>579867</v>
      </c>
      <c r="C128" s="16">
        <v>579.86699999999996</v>
      </c>
      <c r="D128" s="16">
        <v>27.3</v>
      </c>
      <c r="E128">
        <v>0</v>
      </c>
      <c r="F128" s="16">
        <v>81</v>
      </c>
      <c r="G128">
        <v>0</v>
      </c>
      <c r="H128" s="16">
        <v>3.5</v>
      </c>
      <c r="I128">
        <v>1</v>
      </c>
      <c r="J128">
        <v>0</v>
      </c>
      <c r="K128">
        <v>0</v>
      </c>
      <c r="L128" s="3" t="s">
        <v>705</v>
      </c>
      <c r="M128" s="16">
        <v>0</v>
      </c>
      <c r="N128" t="s">
        <v>385</v>
      </c>
      <c r="P128">
        <v>0</v>
      </c>
      <c r="Q128">
        <v>0</v>
      </c>
      <c r="R128">
        <v>0</v>
      </c>
      <c r="T128">
        <v>0</v>
      </c>
      <c r="U128">
        <v>100</v>
      </c>
      <c r="V128" t="s">
        <v>704</v>
      </c>
      <c r="W128" s="3"/>
    </row>
    <row r="129" spans="1:23">
      <c r="A129" t="s">
        <v>513</v>
      </c>
      <c r="B129">
        <v>584886</v>
      </c>
      <c r="C129" s="16">
        <v>584.88599999999997</v>
      </c>
      <c r="D129" s="16">
        <v>27.3</v>
      </c>
      <c r="E129">
        <v>0</v>
      </c>
      <c r="F129" s="16">
        <v>81</v>
      </c>
      <c r="G129">
        <v>0</v>
      </c>
      <c r="H129" s="16">
        <v>3.4</v>
      </c>
      <c r="I129">
        <v>1</v>
      </c>
      <c r="J129">
        <v>0</v>
      </c>
      <c r="K129">
        <v>0</v>
      </c>
      <c r="L129" s="3" t="s">
        <v>705</v>
      </c>
      <c r="M129" s="16">
        <v>0</v>
      </c>
      <c r="N129" t="s">
        <v>385</v>
      </c>
      <c r="P129">
        <v>0</v>
      </c>
      <c r="Q129">
        <v>0</v>
      </c>
      <c r="R129">
        <v>0</v>
      </c>
      <c r="T129">
        <v>0</v>
      </c>
      <c r="U129">
        <v>100</v>
      </c>
      <c r="V129" t="s">
        <v>704</v>
      </c>
      <c r="W129" s="3"/>
    </row>
    <row r="130" spans="1:23">
      <c r="A130" t="s">
        <v>514</v>
      </c>
      <c r="B130">
        <v>589903</v>
      </c>
      <c r="C130" s="16">
        <v>589.90300000000002</v>
      </c>
      <c r="D130" s="16">
        <v>27.3</v>
      </c>
      <c r="E130">
        <v>0</v>
      </c>
      <c r="F130" s="16">
        <v>81</v>
      </c>
      <c r="G130">
        <v>0</v>
      </c>
      <c r="H130" s="16">
        <v>3.3</v>
      </c>
      <c r="I130">
        <v>1</v>
      </c>
      <c r="J130">
        <v>0</v>
      </c>
      <c r="K130">
        <v>0</v>
      </c>
      <c r="L130" s="3" t="s">
        <v>705</v>
      </c>
      <c r="M130" s="16">
        <v>0</v>
      </c>
      <c r="N130" t="s">
        <v>385</v>
      </c>
      <c r="P130">
        <v>0</v>
      </c>
      <c r="Q130">
        <v>0</v>
      </c>
      <c r="R130">
        <v>0</v>
      </c>
      <c r="T130">
        <v>0</v>
      </c>
      <c r="U130">
        <v>100</v>
      </c>
      <c r="V130" t="s">
        <v>704</v>
      </c>
      <c r="W130" s="3"/>
    </row>
    <row r="131" spans="1:23">
      <c r="A131" t="s">
        <v>515</v>
      </c>
      <c r="B131">
        <v>594921</v>
      </c>
      <c r="C131" s="16">
        <v>594.92100000000005</v>
      </c>
      <c r="D131" s="16">
        <v>27.3</v>
      </c>
      <c r="E131">
        <v>0</v>
      </c>
      <c r="F131" s="16">
        <v>81.099999999999994</v>
      </c>
      <c r="G131">
        <v>0</v>
      </c>
      <c r="H131" s="16">
        <v>3.3</v>
      </c>
      <c r="I131">
        <v>1</v>
      </c>
      <c r="J131">
        <v>0</v>
      </c>
      <c r="K131">
        <v>0</v>
      </c>
      <c r="L131" s="3" t="s">
        <v>705</v>
      </c>
      <c r="M131" s="16">
        <v>0</v>
      </c>
      <c r="N131" t="s">
        <v>385</v>
      </c>
      <c r="P131">
        <v>0</v>
      </c>
      <c r="Q131">
        <v>0</v>
      </c>
      <c r="R131">
        <v>0</v>
      </c>
      <c r="T131">
        <v>0</v>
      </c>
      <c r="U131">
        <v>100</v>
      </c>
      <c r="V131" t="s">
        <v>704</v>
      </c>
      <c r="W131" s="3"/>
    </row>
    <row r="132" spans="1:23">
      <c r="A132" t="s">
        <v>516</v>
      </c>
      <c r="B132">
        <v>599941</v>
      </c>
      <c r="C132" s="16">
        <v>599.94100000000003</v>
      </c>
      <c r="D132" s="16">
        <v>27.3</v>
      </c>
      <c r="E132">
        <v>0</v>
      </c>
      <c r="F132" s="16">
        <v>81.099999999999994</v>
      </c>
      <c r="G132">
        <v>0</v>
      </c>
      <c r="H132" s="16">
        <v>3.3</v>
      </c>
      <c r="I132">
        <v>1</v>
      </c>
      <c r="J132">
        <v>0</v>
      </c>
      <c r="K132">
        <v>0</v>
      </c>
      <c r="L132" s="3" t="s">
        <v>705</v>
      </c>
      <c r="M132" s="16">
        <v>0</v>
      </c>
      <c r="N132" t="s">
        <v>385</v>
      </c>
      <c r="P132">
        <v>0</v>
      </c>
      <c r="Q132">
        <v>0</v>
      </c>
      <c r="R132">
        <v>0</v>
      </c>
      <c r="T132">
        <v>0</v>
      </c>
      <c r="U132">
        <v>100</v>
      </c>
      <c r="V132" t="s">
        <v>704</v>
      </c>
      <c r="W132" s="3"/>
    </row>
    <row r="133" spans="1:23">
      <c r="A133" t="s">
        <v>517</v>
      </c>
      <c r="B133">
        <v>604958</v>
      </c>
      <c r="C133" s="16">
        <v>604.95799999999997</v>
      </c>
      <c r="D133" s="16">
        <v>27.3</v>
      </c>
      <c r="E133">
        <v>0</v>
      </c>
      <c r="F133" s="16">
        <v>81.099999999999994</v>
      </c>
      <c r="G133">
        <v>0</v>
      </c>
      <c r="H133" s="16">
        <v>3.3</v>
      </c>
      <c r="I133">
        <v>1</v>
      </c>
      <c r="J133">
        <v>0</v>
      </c>
      <c r="K133">
        <v>0</v>
      </c>
      <c r="L133" s="3" t="s">
        <v>705</v>
      </c>
      <c r="M133" s="16">
        <v>0</v>
      </c>
      <c r="N133" t="s">
        <v>385</v>
      </c>
      <c r="P133">
        <v>0</v>
      </c>
      <c r="Q133">
        <v>0</v>
      </c>
      <c r="R133">
        <v>0</v>
      </c>
      <c r="T133">
        <v>0</v>
      </c>
      <c r="U133">
        <v>100</v>
      </c>
      <c r="V133" t="s">
        <v>704</v>
      </c>
      <c r="W133" s="3"/>
    </row>
    <row r="134" spans="1:23">
      <c r="A134" t="s">
        <v>518</v>
      </c>
      <c r="B134">
        <v>609978</v>
      </c>
      <c r="C134" s="16">
        <v>609.97799999999995</v>
      </c>
      <c r="D134" s="16">
        <v>27.3</v>
      </c>
      <c r="E134">
        <v>0</v>
      </c>
      <c r="F134" s="16">
        <v>81.3</v>
      </c>
      <c r="G134">
        <v>0</v>
      </c>
      <c r="H134" s="16">
        <v>3.2</v>
      </c>
      <c r="I134">
        <v>1</v>
      </c>
      <c r="J134">
        <v>0</v>
      </c>
      <c r="K134">
        <v>0</v>
      </c>
      <c r="L134" s="3" t="s">
        <v>705</v>
      </c>
      <c r="M134" s="16">
        <v>0</v>
      </c>
      <c r="N134" t="s">
        <v>385</v>
      </c>
      <c r="P134">
        <v>0</v>
      </c>
      <c r="Q134">
        <v>0</v>
      </c>
      <c r="R134">
        <v>0</v>
      </c>
      <c r="T134">
        <v>0</v>
      </c>
      <c r="U134">
        <v>100</v>
      </c>
      <c r="V134" t="s">
        <v>704</v>
      </c>
      <c r="W134" s="3"/>
    </row>
    <row r="135" spans="1:23">
      <c r="A135" t="s">
        <v>519</v>
      </c>
      <c r="B135">
        <v>614995</v>
      </c>
      <c r="C135" s="16">
        <v>614.995</v>
      </c>
      <c r="D135" s="16">
        <v>27.3</v>
      </c>
      <c r="E135">
        <v>0</v>
      </c>
      <c r="F135" s="16">
        <v>81.099999999999994</v>
      </c>
      <c r="G135">
        <v>0</v>
      </c>
      <c r="H135" s="16">
        <v>3.2</v>
      </c>
      <c r="I135">
        <v>1</v>
      </c>
      <c r="J135">
        <v>0</v>
      </c>
      <c r="K135">
        <v>0</v>
      </c>
      <c r="L135" s="3" t="s">
        <v>705</v>
      </c>
      <c r="M135" s="16">
        <v>0</v>
      </c>
      <c r="N135" t="s">
        <v>385</v>
      </c>
      <c r="P135">
        <v>0</v>
      </c>
      <c r="Q135">
        <v>0</v>
      </c>
      <c r="R135">
        <v>0</v>
      </c>
      <c r="T135">
        <v>0</v>
      </c>
      <c r="U135">
        <v>100</v>
      </c>
      <c r="V135" t="s">
        <v>704</v>
      </c>
      <c r="W135" s="3"/>
    </row>
    <row r="136" spans="1:23">
      <c r="A136" t="s">
        <v>520</v>
      </c>
      <c r="B136">
        <v>620015</v>
      </c>
      <c r="C136" s="16">
        <v>620.01499999999999</v>
      </c>
      <c r="D136" s="16">
        <v>27.3</v>
      </c>
      <c r="E136">
        <v>0</v>
      </c>
      <c r="F136" s="16">
        <v>81</v>
      </c>
      <c r="G136">
        <v>0</v>
      </c>
      <c r="H136" s="16">
        <v>3.2</v>
      </c>
      <c r="I136">
        <v>1</v>
      </c>
      <c r="J136">
        <v>0</v>
      </c>
      <c r="K136">
        <v>0</v>
      </c>
      <c r="L136" s="3" t="s">
        <v>705</v>
      </c>
      <c r="M136" s="16">
        <v>0</v>
      </c>
      <c r="N136" t="s">
        <v>385</v>
      </c>
      <c r="P136">
        <v>0</v>
      </c>
      <c r="Q136">
        <v>0</v>
      </c>
      <c r="R136">
        <v>0</v>
      </c>
      <c r="T136">
        <v>0</v>
      </c>
      <c r="U136">
        <v>100</v>
      </c>
      <c r="V136" t="s">
        <v>704</v>
      </c>
      <c r="W136" s="3"/>
    </row>
    <row r="137" spans="1:23">
      <c r="A137" t="s">
        <v>521</v>
      </c>
      <c r="B137">
        <v>625033</v>
      </c>
      <c r="C137" s="16">
        <v>625.03300000000002</v>
      </c>
      <c r="D137" s="16">
        <v>27.3</v>
      </c>
      <c r="E137">
        <v>0</v>
      </c>
      <c r="F137" s="16">
        <v>81</v>
      </c>
      <c r="G137">
        <v>0</v>
      </c>
      <c r="H137" s="16">
        <v>3.2</v>
      </c>
      <c r="I137">
        <v>1</v>
      </c>
      <c r="J137">
        <v>0</v>
      </c>
      <c r="K137">
        <v>0</v>
      </c>
      <c r="L137" s="3" t="s">
        <v>705</v>
      </c>
      <c r="M137" s="16">
        <v>0</v>
      </c>
      <c r="N137" t="s">
        <v>385</v>
      </c>
      <c r="P137">
        <v>0</v>
      </c>
      <c r="Q137">
        <v>0</v>
      </c>
      <c r="R137">
        <v>0</v>
      </c>
      <c r="T137">
        <v>0</v>
      </c>
      <c r="U137">
        <v>100</v>
      </c>
      <c r="V137" t="s">
        <v>704</v>
      </c>
      <c r="W137" s="3"/>
    </row>
    <row r="138" spans="1:23">
      <c r="A138" t="s">
        <v>522</v>
      </c>
      <c r="B138">
        <v>630050</v>
      </c>
      <c r="C138" s="16">
        <v>630.04999999999995</v>
      </c>
      <c r="D138" s="16">
        <v>27.3</v>
      </c>
      <c r="E138">
        <v>0</v>
      </c>
      <c r="F138" s="16">
        <v>81.099999999999994</v>
      </c>
      <c r="G138">
        <v>0</v>
      </c>
      <c r="H138" s="16">
        <v>3</v>
      </c>
      <c r="I138">
        <v>1</v>
      </c>
      <c r="J138">
        <v>0</v>
      </c>
      <c r="K138">
        <v>0</v>
      </c>
      <c r="L138" s="3" t="s">
        <v>705</v>
      </c>
      <c r="M138" s="16">
        <v>0</v>
      </c>
      <c r="N138" t="s">
        <v>385</v>
      </c>
      <c r="P138">
        <v>0</v>
      </c>
      <c r="Q138">
        <v>0</v>
      </c>
      <c r="R138">
        <v>0</v>
      </c>
      <c r="T138">
        <v>0</v>
      </c>
      <c r="U138">
        <v>100</v>
      </c>
      <c r="V138" t="s">
        <v>704</v>
      </c>
      <c r="W138" s="3"/>
    </row>
    <row r="139" spans="1:23">
      <c r="A139" t="s">
        <v>523</v>
      </c>
      <c r="B139">
        <v>635070</v>
      </c>
      <c r="C139" s="16">
        <v>635.07000000000005</v>
      </c>
      <c r="D139" s="16">
        <v>27.4</v>
      </c>
      <c r="E139">
        <v>0</v>
      </c>
      <c r="F139" s="16">
        <v>81.3</v>
      </c>
      <c r="G139">
        <v>0</v>
      </c>
      <c r="H139" s="16">
        <v>3</v>
      </c>
      <c r="I139">
        <v>1</v>
      </c>
      <c r="J139">
        <v>0</v>
      </c>
      <c r="K139">
        <v>0</v>
      </c>
      <c r="L139" s="3" t="s">
        <v>705</v>
      </c>
      <c r="M139" s="16">
        <v>0</v>
      </c>
      <c r="N139" t="s">
        <v>385</v>
      </c>
      <c r="P139">
        <v>0</v>
      </c>
      <c r="Q139">
        <v>0</v>
      </c>
      <c r="R139">
        <v>0</v>
      </c>
      <c r="T139">
        <v>0</v>
      </c>
      <c r="U139">
        <v>100</v>
      </c>
      <c r="V139" t="s">
        <v>704</v>
      </c>
      <c r="W139" s="3"/>
    </row>
    <row r="140" spans="1:23">
      <c r="A140" t="s">
        <v>524</v>
      </c>
      <c r="B140">
        <v>640088</v>
      </c>
      <c r="C140" s="16">
        <v>640.08799999999997</v>
      </c>
      <c r="D140" s="16">
        <v>27.3</v>
      </c>
      <c r="E140">
        <v>0</v>
      </c>
      <c r="F140" s="16">
        <v>81.3</v>
      </c>
      <c r="G140">
        <v>0</v>
      </c>
      <c r="H140" s="16">
        <v>2.9</v>
      </c>
      <c r="I140">
        <v>1</v>
      </c>
      <c r="J140">
        <v>0</v>
      </c>
      <c r="K140">
        <v>0</v>
      </c>
      <c r="L140" s="3" t="s">
        <v>705</v>
      </c>
      <c r="M140" s="16">
        <v>0</v>
      </c>
      <c r="N140" t="s">
        <v>385</v>
      </c>
      <c r="P140">
        <v>0</v>
      </c>
      <c r="Q140">
        <v>0</v>
      </c>
      <c r="R140">
        <v>0</v>
      </c>
      <c r="T140">
        <v>0</v>
      </c>
      <c r="U140">
        <v>100</v>
      </c>
      <c r="V140" t="s">
        <v>704</v>
      </c>
      <c r="W140" s="3"/>
    </row>
    <row r="141" spans="1:23">
      <c r="A141" t="s">
        <v>525</v>
      </c>
      <c r="B141">
        <v>645105</v>
      </c>
      <c r="C141" s="16">
        <v>645.10500000000002</v>
      </c>
      <c r="D141" s="16">
        <v>27.4</v>
      </c>
      <c r="E141">
        <v>0</v>
      </c>
      <c r="F141" s="16">
        <v>81.3</v>
      </c>
      <c r="G141">
        <v>0</v>
      </c>
      <c r="H141" s="16">
        <v>3</v>
      </c>
      <c r="I141">
        <v>1</v>
      </c>
      <c r="J141">
        <v>0</v>
      </c>
      <c r="K141">
        <v>0</v>
      </c>
      <c r="L141" s="3" t="s">
        <v>705</v>
      </c>
      <c r="M141" s="16">
        <v>0</v>
      </c>
      <c r="N141" t="s">
        <v>385</v>
      </c>
      <c r="P141">
        <v>0</v>
      </c>
      <c r="Q141">
        <v>0</v>
      </c>
      <c r="R141">
        <v>0</v>
      </c>
      <c r="T141">
        <v>0</v>
      </c>
      <c r="U141">
        <v>100</v>
      </c>
      <c r="V141" t="s">
        <v>704</v>
      </c>
      <c r="W141" s="3"/>
    </row>
    <row r="142" spans="1:23">
      <c r="A142" t="s">
        <v>526</v>
      </c>
      <c r="B142">
        <v>650124</v>
      </c>
      <c r="C142" s="16">
        <v>650.12400000000002</v>
      </c>
      <c r="D142" s="16">
        <v>27.3</v>
      </c>
      <c r="E142">
        <v>0</v>
      </c>
      <c r="F142" s="16">
        <v>81.3</v>
      </c>
      <c r="G142">
        <v>0</v>
      </c>
      <c r="H142" s="16">
        <v>2.9</v>
      </c>
      <c r="I142">
        <v>1</v>
      </c>
      <c r="J142">
        <v>0</v>
      </c>
      <c r="K142">
        <v>0</v>
      </c>
      <c r="L142" s="3" t="s">
        <v>705</v>
      </c>
      <c r="M142" s="16">
        <v>0</v>
      </c>
      <c r="N142" t="s">
        <v>385</v>
      </c>
      <c r="P142">
        <v>0</v>
      </c>
      <c r="Q142">
        <v>0</v>
      </c>
      <c r="R142">
        <v>0</v>
      </c>
      <c r="T142">
        <v>0</v>
      </c>
      <c r="U142">
        <v>100</v>
      </c>
      <c r="V142" t="s">
        <v>704</v>
      </c>
      <c r="W142" s="3"/>
    </row>
    <row r="143" spans="1:23">
      <c r="A143" t="s">
        <v>527</v>
      </c>
      <c r="B143">
        <v>655141</v>
      </c>
      <c r="C143" s="16">
        <v>655.14099999999996</v>
      </c>
      <c r="D143" s="16">
        <v>27.4</v>
      </c>
      <c r="E143">
        <v>0</v>
      </c>
      <c r="F143" s="16">
        <v>81</v>
      </c>
      <c r="G143">
        <v>0</v>
      </c>
      <c r="H143" s="16">
        <v>2.9</v>
      </c>
      <c r="I143">
        <v>1</v>
      </c>
      <c r="J143">
        <v>0</v>
      </c>
      <c r="K143">
        <v>0</v>
      </c>
      <c r="L143" s="3" t="s">
        <v>705</v>
      </c>
      <c r="M143" s="16">
        <v>0</v>
      </c>
      <c r="N143" t="s">
        <v>385</v>
      </c>
      <c r="P143">
        <v>0</v>
      </c>
      <c r="Q143">
        <v>0</v>
      </c>
      <c r="R143">
        <v>0</v>
      </c>
      <c r="T143">
        <v>0</v>
      </c>
      <c r="U143">
        <v>100</v>
      </c>
      <c r="V143" t="s">
        <v>704</v>
      </c>
      <c r="W143" s="3"/>
    </row>
    <row r="144" spans="1:23">
      <c r="A144" t="s">
        <v>528</v>
      </c>
      <c r="B144">
        <v>660161</v>
      </c>
      <c r="C144" s="16">
        <v>660.16099999999994</v>
      </c>
      <c r="D144" s="16">
        <v>27.4</v>
      </c>
      <c r="E144">
        <v>0</v>
      </c>
      <c r="F144" s="16">
        <v>81.099999999999994</v>
      </c>
      <c r="G144">
        <v>0</v>
      </c>
      <c r="H144" s="16">
        <v>2.9</v>
      </c>
      <c r="I144">
        <v>1</v>
      </c>
      <c r="J144">
        <v>0</v>
      </c>
      <c r="K144">
        <v>0</v>
      </c>
      <c r="L144" s="3" t="s">
        <v>705</v>
      </c>
      <c r="M144" s="16">
        <v>0</v>
      </c>
      <c r="N144" t="s">
        <v>385</v>
      </c>
      <c r="P144">
        <v>0</v>
      </c>
      <c r="Q144">
        <v>0</v>
      </c>
      <c r="R144">
        <v>0</v>
      </c>
      <c r="T144">
        <v>0</v>
      </c>
      <c r="U144">
        <v>100</v>
      </c>
      <c r="V144" t="s">
        <v>704</v>
      </c>
      <c r="W144" s="3"/>
    </row>
    <row r="145" spans="1:23">
      <c r="A145" t="s">
        <v>529</v>
      </c>
      <c r="B145">
        <v>665180</v>
      </c>
      <c r="C145" s="16">
        <v>665.18</v>
      </c>
      <c r="D145" s="16">
        <v>27.3</v>
      </c>
      <c r="E145">
        <v>0</v>
      </c>
      <c r="F145" s="16">
        <v>81</v>
      </c>
      <c r="G145">
        <v>0</v>
      </c>
      <c r="H145" s="16">
        <v>2.8</v>
      </c>
      <c r="I145">
        <v>1</v>
      </c>
      <c r="J145">
        <v>0</v>
      </c>
      <c r="K145">
        <v>0</v>
      </c>
      <c r="L145" s="3" t="s">
        <v>705</v>
      </c>
      <c r="M145" s="16">
        <v>0</v>
      </c>
      <c r="N145" t="s">
        <v>385</v>
      </c>
      <c r="P145">
        <v>0</v>
      </c>
      <c r="Q145">
        <v>0</v>
      </c>
      <c r="R145">
        <v>0</v>
      </c>
      <c r="T145">
        <v>0</v>
      </c>
      <c r="U145">
        <v>100</v>
      </c>
      <c r="V145" t="s">
        <v>704</v>
      </c>
      <c r="W145" s="3"/>
    </row>
    <row r="146" spans="1:23">
      <c r="A146" t="s">
        <v>530</v>
      </c>
      <c r="B146">
        <v>670196</v>
      </c>
      <c r="C146" s="16">
        <v>670.19600000000003</v>
      </c>
      <c r="D146" s="16">
        <v>27.4</v>
      </c>
      <c r="E146">
        <v>0</v>
      </c>
      <c r="F146" s="16">
        <v>81</v>
      </c>
      <c r="G146">
        <v>0</v>
      </c>
      <c r="H146" s="16">
        <v>2.9</v>
      </c>
      <c r="I146">
        <v>1</v>
      </c>
      <c r="J146">
        <v>0</v>
      </c>
      <c r="K146">
        <v>0</v>
      </c>
      <c r="L146" s="3" t="s">
        <v>705</v>
      </c>
      <c r="M146" s="16">
        <v>0</v>
      </c>
      <c r="N146" t="s">
        <v>385</v>
      </c>
      <c r="P146">
        <v>0</v>
      </c>
      <c r="Q146">
        <v>0</v>
      </c>
      <c r="R146">
        <v>0</v>
      </c>
      <c r="T146">
        <v>0</v>
      </c>
      <c r="U146">
        <v>100</v>
      </c>
      <c r="V146" t="s">
        <v>704</v>
      </c>
      <c r="W146" s="3"/>
    </row>
    <row r="147" spans="1:23">
      <c r="A147" t="s">
        <v>531</v>
      </c>
      <c r="B147">
        <v>675214</v>
      </c>
      <c r="C147" s="16">
        <v>675.21400000000006</v>
      </c>
      <c r="D147" s="16">
        <v>27.3</v>
      </c>
      <c r="E147">
        <v>0</v>
      </c>
      <c r="F147" s="16">
        <v>81</v>
      </c>
      <c r="G147">
        <v>0</v>
      </c>
      <c r="H147" s="16">
        <v>2.7</v>
      </c>
      <c r="I147">
        <v>1</v>
      </c>
      <c r="J147">
        <v>0</v>
      </c>
      <c r="K147">
        <v>0</v>
      </c>
      <c r="L147" s="3" t="s">
        <v>705</v>
      </c>
      <c r="M147" s="16">
        <v>0</v>
      </c>
      <c r="N147" t="s">
        <v>385</v>
      </c>
      <c r="P147">
        <v>0</v>
      </c>
      <c r="Q147">
        <v>0</v>
      </c>
      <c r="R147">
        <v>0</v>
      </c>
      <c r="T147">
        <v>0</v>
      </c>
      <c r="U147">
        <v>100</v>
      </c>
      <c r="V147" t="s">
        <v>704</v>
      </c>
      <c r="W147" s="3"/>
    </row>
    <row r="148" spans="1:23">
      <c r="A148" t="s">
        <v>532</v>
      </c>
      <c r="B148">
        <v>680231</v>
      </c>
      <c r="C148" s="16">
        <v>680.23099999999999</v>
      </c>
      <c r="D148" s="16">
        <v>27.4</v>
      </c>
      <c r="E148">
        <v>0</v>
      </c>
      <c r="F148" s="16">
        <v>80.900000000000006</v>
      </c>
      <c r="G148">
        <v>0</v>
      </c>
      <c r="H148" s="16">
        <v>2.8</v>
      </c>
      <c r="I148">
        <v>1</v>
      </c>
      <c r="J148">
        <v>0</v>
      </c>
      <c r="K148">
        <v>0</v>
      </c>
      <c r="L148" s="3" t="s">
        <v>705</v>
      </c>
      <c r="M148" s="16">
        <v>0</v>
      </c>
      <c r="N148" t="s">
        <v>385</v>
      </c>
      <c r="P148">
        <v>0</v>
      </c>
      <c r="Q148">
        <v>0</v>
      </c>
      <c r="R148">
        <v>0</v>
      </c>
      <c r="T148">
        <v>0</v>
      </c>
      <c r="U148">
        <v>100</v>
      </c>
      <c r="V148" t="s">
        <v>704</v>
      </c>
      <c r="W148" s="3"/>
    </row>
    <row r="149" spans="1:23">
      <c r="A149" t="s">
        <v>533</v>
      </c>
      <c r="B149">
        <v>685249</v>
      </c>
      <c r="C149" s="16">
        <v>685.24900000000002</v>
      </c>
      <c r="D149" s="16">
        <v>27.4</v>
      </c>
      <c r="E149">
        <v>0</v>
      </c>
      <c r="F149" s="16">
        <v>80.900000000000006</v>
      </c>
      <c r="G149">
        <v>0</v>
      </c>
      <c r="H149" s="16">
        <v>2.7</v>
      </c>
      <c r="I149">
        <v>1</v>
      </c>
      <c r="J149">
        <v>0</v>
      </c>
      <c r="K149">
        <v>0</v>
      </c>
      <c r="L149" s="3" t="s">
        <v>705</v>
      </c>
      <c r="M149" s="16">
        <v>0</v>
      </c>
      <c r="N149" t="s">
        <v>385</v>
      </c>
      <c r="P149">
        <v>0</v>
      </c>
      <c r="Q149">
        <v>0</v>
      </c>
      <c r="R149">
        <v>0</v>
      </c>
      <c r="T149">
        <v>0</v>
      </c>
      <c r="U149">
        <v>100</v>
      </c>
      <c r="V149" t="s">
        <v>704</v>
      </c>
      <c r="W149" s="3"/>
    </row>
    <row r="150" spans="1:23">
      <c r="A150" t="s">
        <v>534</v>
      </c>
      <c r="B150">
        <v>690268</v>
      </c>
      <c r="C150" s="16">
        <v>690.26800000000003</v>
      </c>
      <c r="D150" s="16">
        <v>27.4</v>
      </c>
      <c r="E150">
        <v>0</v>
      </c>
      <c r="F150" s="16">
        <v>80.8</v>
      </c>
      <c r="G150">
        <v>0</v>
      </c>
      <c r="H150" s="16">
        <v>2.7</v>
      </c>
      <c r="I150">
        <v>1</v>
      </c>
      <c r="J150">
        <v>0</v>
      </c>
      <c r="K150">
        <v>0</v>
      </c>
      <c r="L150" s="3" t="s">
        <v>705</v>
      </c>
      <c r="M150" s="16">
        <v>0</v>
      </c>
      <c r="N150" t="s">
        <v>385</v>
      </c>
      <c r="P150">
        <v>0</v>
      </c>
      <c r="Q150">
        <v>0</v>
      </c>
      <c r="R150">
        <v>0</v>
      </c>
      <c r="T150">
        <v>0</v>
      </c>
      <c r="U150">
        <v>100</v>
      </c>
      <c r="V150" t="s">
        <v>704</v>
      </c>
      <c r="W150" s="3"/>
    </row>
    <row r="151" spans="1:23">
      <c r="A151" t="s">
        <v>535</v>
      </c>
      <c r="B151">
        <v>695286</v>
      </c>
      <c r="C151" s="16">
        <v>695.28599999999994</v>
      </c>
      <c r="D151" s="16">
        <v>27.4</v>
      </c>
      <c r="E151">
        <v>0</v>
      </c>
      <c r="F151" s="16">
        <v>80.900000000000006</v>
      </c>
      <c r="G151">
        <v>0</v>
      </c>
      <c r="H151" s="16">
        <v>2.7</v>
      </c>
      <c r="I151">
        <v>1</v>
      </c>
      <c r="J151">
        <v>0</v>
      </c>
      <c r="K151">
        <v>0</v>
      </c>
      <c r="L151" s="3" t="s">
        <v>705</v>
      </c>
      <c r="M151" s="16">
        <v>0</v>
      </c>
      <c r="N151" t="s">
        <v>385</v>
      </c>
      <c r="P151">
        <v>0</v>
      </c>
      <c r="Q151">
        <v>0</v>
      </c>
      <c r="R151">
        <v>0</v>
      </c>
      <c r="T151">
        <v>0</v>
      </c>
      <c r="U151">
        <v>100</v>
      </c>
      <c r="V151" t="s">
        <v>704</v>
      </c>
      <c r="W151" s="3"/>
    </row>
    <row r="152" spans="1:23">
      <c r="A152" t="s">
        <v>536</v>
      </c>
      <c r="B152">
        <v>700303</v>
      </c>
      <c r="C152" s="16">
        <v>700.303</v>
      </c>
      <c r="D152" s="16">
        <v>27.4</v>
      </c>
      <c r="E152">
        <v>0</v>
      </c>
      <c r="F152" s="16">
        <v>80.8</v>
      </c>
      <c r="G152">
        <v>0</v>
      </c>
      <c r="H152" s="16">
        <v>2.5</v>
      </c>
      <c r="I152">
        <v>1</v>
      </c>
      <c r="J152">
        <v>0</v>
      </c>
      <c r="K152">
        <v>0</v>
      </c>
      <c r="L152" s="3" t="s">
        <v>705</v>
      </c>
      <c r="M152" s="16">
        <v>0</v>
      </c>
      <c r="N152" t="s">
        <v>385</v>
      </c>
      <c r="P152">
        <v>0</v>
      </c>
      <c r="Q152">
        <v>0</v>
      </c>
      <c r="R152">
        <v>0</v>
      </c>
      <c r="T152">
        <v>0</v>
      </c>
      <c r="U152">
        <v>100</v>
      </c>
      <c r="V152" t="s">
        <v>704</v>
      </c>
      <c r="W152" s="3"/>
    </row>
    <row r="153" spans="1:23">
      <c r="A153" t="s">
        <v>537</v>
      </c>
      <c r="B153">
        <v>705320</v>
      </c>
      <c r="C153" s="16">
        <v>705.32</v>
      </c>
      <c r="D153" s="16">
        <v>27.4</v>
      </c>
      <c r="E153">
        <v>0</v>
      </c>
      <c r="F153" s="16">
        <v>80.8</v>
      </c>
      <c r="G153">
        <v>0</v>
      </c>
      <c r="H153" s="16">
        <v>2.6</v>
      </c>
      <c r="I153">
        <v>1</v>
      </c>
      <c r="J153">
        <v>0</v>
      </c>
      <c r="K153">
        <v>0</v>
      </c>
      <c r="L153" s="3" t="s">
        <v>705</v>
      </c>
      <c r="M153" s="16">
        <v>0</v>
      </c>
      <c r="N153" t="s">
        <v>385</v>
      </c>
      <c r="P153">
        <v>0</v>
      </c>
      <c r="Q153">
        <v>0</v>
      </c>
      <c r="R153">
        <v>0</v>
      </c>
      <c r="T153">
        <v>0</v>
      </c>
      <c r="U153">
        <v>100</v>
      </c>
      <c r="V153" t="s">
        <v>704</v>
      </c>
      <c r="W153" s="3"/>
    </row>
    <row r="154" spans="1:23">
      <c r="A154" t="s">
        <v>538</v>
      </c>
      <c r="B154">
        <v>710338</v>
      </c>
      <c r="C154" s="16">
        <v>710.33799999999997</v>
      </c>
      <c r="D154" s="16">
        <v>27.4</v>
      </c>
      <c r="E154">
        <v>0</v>
      </c>
      <c r="F154" s="16">
        <v>80.5</v>
      </c>
      <c r="G154">
        <v>0</v>
      </c>
      <c r="H154" s="16">
        <v>2.6</v>
      </c>
      <c r="I154">
        <v>1</v>
      </c>
      <c r="J154">
        <v>0</v>
      </c>
      <c r="K154">
        <v>0</v>
      </c>
      <c r="L154" s="3" t="s">
        <v>705</v>
      </c>
      <c r="M154" s="16">
        <v>0</v>
      </c>
      <c r="N154" t="s">
        <v>385</v>
      </c>
      <c r="P154">
        <v>0</v>
      </c>
      <c r="Q154">
        <v>0</v>
      </c>
      <c r="R154">
        <v>0</v>
      </c>
      <c r="T154">
        <v>0</v>
      </c>
      <c r="U154">
        <v>100</v>
      </c>
      <c r="V154" t="s">
        <v>704</v>
      </c>
      <c r="W154" s="3"/>
    </row>
    <row r="155" spans="1:23">
      <c r="A155" t="s">
        <v>539</v>
      </c>
      <c r="B155">
        <v>715357</v>
      </c>
      <c r="C155" s="16">
        <v>715.35699999999997</v>
      </c>
      <c r="D155" s="16">
        <v>27.4</v>
      </c>
      <c r="E155">
        <v>0</v>
      </c>
      <c r="F155" s="16">
        <v>80.599999999999994</v>
      </c>
      <c r="G155">
        <v>0</v>
      </c>
      <c r="H155" s="16">
        <v>2.6</v>
      </c>
      <c r="I155">
        <v>1</v>
      </c>
      <c r="J155">
        <v>0</v>
      </c>
      <c r="K155">
        <v>0</v>
      </c>
      <c r="L155" s="3" t="s">
        <v>705</v>
      </c>
      <c r="M155" s="16">
        <v>0</v>
      </c>
      <c r="N155" t="s">
        <v>385</v>
      </c>
      <c r="P155">
        <v>0</v>
      </c>
      <c r="Q155">
        <v>0</v>
      </c>
      <c r="R155">
        <v>0</v>
      </c>
      <c r="T155">
        <v>0</v>
      </c>
      <c r="U155">
        <v>100</v>
      </c>
      <c r="V155" t="s">
        <v>704</v>
      </c>
      <c r="W155" s="3"/>
    </row>
    <row r="156" spans="1:23">
      <c r="A156" t="s">
        <v>540</v>
      </c>
      <c r="B156">
        <v>720373</v>
      </c>
      <c r="C156" s="16">
        <v>720.37300000000005</v>
      </c>
      <c r="D156" s="16">
        <v>27.4</v>
      </c>
      <c r="E156">
        <v>0</v>
      </c>
      <c r="F156" s="16">
        <v>80.5</v>
      </c>
      <c r="G156">
        <v>0</v>
      </c>
      <c r="H156" s="16">
        <v>2.5</v>
      </c>
      <c r="I156">
        <v>1</v>
      </c>
      <c r="J156">
        <v>0</v>
      </c>
      <c r="K156">
        <v>0</v>
      </c>
      <c r="L156" s="3" t="s">
        <v>705</v>
      </c>
      <c r="M156" s="16">
        <v>0</v>
      </c>
      <c r="N156" t="s">
        <v>385</v>
      </c>
      <c r="P156">
        <v>0</v>
      </c>
      <c r="Q156">
        <v>0</v>
      </c>
      <c r="R156">
        <v>0</v>
      </c>
      <c r="T156">
        <v>0</v>
      </c>
      <c r="U156">
        <v>100</v>
      </c>
      <c r="V156" t="s">
        <v>704</v>
      </c>
      <c r="W156" s="3"/>
    </row>
    <row r="157" spans="1:23">
      <c r="A157" t="s">
        <v>541</v>
      </c>
      <c r="B157">
        <v>725392</v>
      </c>
      <c r="C157" s="16">
        <v>725.39200000000005</v>
      </c>
      <c r="D157" s="16">
        <v>27.4</v>
      </c>
      <c r="E157">
        <v>0</v>
      </c>
      <c r="F157" s="16">
        <v>80.7</v>
      </c>
      <c r="G157">
        <v>0</v>
      </c>
      <c r="H157" s="16">
        <v>2.5</v>
      </c>
      <c r="I157">
        <v>1</v>
      </c>
      <c r="J157">
        <v>0</v>
      </c>
      <c r="K157">
        <v>0</v>
      </c>
      <c r="L157" s="3" t="s">
        <v>705</v>
      </c>
      <c r="M157" s="16">
        <v>0</v>
      </c>
      <c r="N157" t="s">
        <v>385</v>
      </c>
      <c r="P157">
        <v>0</v>
      </c>
      <c r="Q157">
        <v>0</v>
      </c>
      <c r="R157">
        <v>0</v>
      </c>
      <c r="T157">
        <v>0</v>
      </c>
      <c r="U157">
        <v>100</v>
      </c>
      <c r="V157" t="s">
        <v>704</v>
      </c>
      <c r="W157" s="3"/>
    </row>
    <row r="158" spans="1:23">
      <c r="A158" t="s">
        <v>542</v>
      </c>
      <c r="B158">
        <v>730408</v>
      </c>
      <c r="C158" s="16">
        <v>730.40800000000002</v>
      </c>
      <c r="D158" s="16">
        <v>27.4</v>
      </c>
      <c r="E158">
        <v>0</v>
      </c>
      <c r="F158" s="16">
        <v>80.599999999999994</v>
      </c>
      <c r="G158">
        <v>0</v>
      </c>
      <c r="H158" s="16">
        <v>2.5</v>
      </c>
      <c r="I158">
        <v>1</v>
      </c>
      <c r="J158">
        <v>0</v>
      </c>
      <c r="K158">
        <v>0</v>
      </c>
      <c r="L158" s="3" t="s">
        <v>705</v>
      </c>
      <c r="M158" s="16">
        <v>0</v>
      </c>
      <c r="N158" t="s">
        <v>385</v>
      </c>
      <c r="P158">
        <v>0</v>
      </c>
      <c r="Q158">
        <v>0</v>
      </c>
      <c r="R158">
        <v>0</v>
      </c>
      <c r="T158">
        <v>0</v>
      </c>
      <c r="U158">
        <v>100</v>
      </c>
      <c r="V158" t="s">
        <v>704</v>
      </c>
      <c r="W158" s="3"/>
    </row>
    <row r="159" spans="1:23">
      <c r="A159" t="s">
        <v>543</v>
      </c>
      <c r="B159">
        <v>735427</v>
      </c>
      <c r="C159" s="16">
        <v>735.42700000000002</v>
      </c>
      <c r="D159" s="16">
        <v>27.4</v>
      </c>
      <c r="E159">
        <v>0</v>
      </c>
      <c r="F159" s="16">
        <v>80.5</v>
      </c>
      <c r="G159">
        <v>0</v>
      </c>
      <c r="H159" s="16">
        <v>2.4</v>
      </c>
      <c r="I159">
        <v>1</v>
      </c>
      <c r="J159">
        <v>0</v>
      </c>
      <c r="K159">
        <v>0</v>
      </c>
      <c r="L159" s="3" t="s">
        <v>705</v>
      </c>
      <c r="M159" s="16">
        <v>0</v>
      </c>
      <c r="N159" t="s">
        <v>385</v>
      </c>
      <c r="P159">
        <v>0</v>
      </c>
      <c r="Q159">
        <v>0</v>
      </c>
      <c r="R159">
        <v>0</v>
      </c>
      <c r="T159">
        <v>0</v>
      </c>
      <c r="U159">
        <v>100</v>
      </c>
      <c r="V159" t="s">
        <v>704</v>
      </c>
      <c r="W159" s="3"/>
    </row>
    <row r="160" spans="1:23">
      <c r="A160" t="s">
        <v>544</v>
      </c>
      <c r="B160">
        <v>740444</v>
      </c>
      <c r="C160" s="16">
        <v>740.44399999999996</v>
      </c>
      <c r="D160" s="16">
        <v>27.4</v>
      </c>
      <c r="E160">
        <v>0</v>
      </c>
      <c r="F160" s="16">
        <v>80.599999999999994</v>
      </c>
      <c r="G160">
        <v>0</v>
      </c>
      <c r="H160" s="16">
        <v>2.5</v>
      </c>
      <c r="I160">
        <v>1</v>
      </c>
      <c r="J160">
        <v>0</v>
      </c>
      <c r="K160">
        <v>0</v>
      </c>
      <c r="L160" s="3" t="s">
        <v>705</v>
      </c>
      <c r="M160" s="16">
        <v>0</v>
      </c>
      <c r="N160" t="s">
        <v>385</v>
      </c>
      <c r="P160">
        <v>0</v>
      </c>
      <c r="Q160">
        <v>0</v>
      </c>
      <c r="R160">
        <v>0</v>
      </c>
      <c r="T160">
        <v>0</v>
      </c>
      <c r="U160">
        <v>100</v>
      </c>
      <c r="V160" t="s">
        <v>704</v>
      </c>
      <c r="W160" s="3"/>
    </row>
    <row r="161" spans="1:23">
      <c r="A161" t="s">
        <v>545</v>
      </c>
      <c r="B161">
        <v>745461</v>
      </c>
      <c r="C161" s="16">
        <v>745.46100000000001</v>
      </c>
      <c r="D161" s="16">
        <v>27.4</v>
      </c>
      <c r="E161">
        <v>0</v>
      </c>
      <c r="F161" s="16">
        <v>80.8</v>
      </c>
      <c r="G161">
        <v>0</v>
      </c>
      <c r="H161" s="16">
        <v>2.5</v>
      </c>
      <c r="I161">
        <v>1</v>
      </c>
      <c r="J161">
        <v>0</v>
      </c>
      <c r="K161">
        <v>0</v>
      </c>
      <c r="L161" s="3" t="s">
        <v>705</v>
      </c>
      <c r="M161" s="16">
        <v>0</v>
      </c>
      <c r="N161" t="s">
        <v>385</v>
      </c>
      <c r="P161">
        <v>0</v>
      </c>
      <c r="Q161">
        <v>0</v>
      </c>
      <c r="R161">
        <v>0</v>
      </c>
      <c r="T161">
        <v>0</v>
      </c>
      <c r="U161">
        <v>100</v>
      </c>
      <c r="V161" t="s">
        <v>704</v>
      </c>
      <c r="W161" s="3"/>
    </row>
    <row r="162" spans="1:23">
      <c r="A162" t="s">
        <v>546</v>
      </c>
      <c r="B162">
        <v>750478</v>
      </c>
      <c r="C162" s="16">
        <v>750.47799999999995</v>
      </c>
      <c r="D162" s="16">
        <v>27.4</v>
      </c>
      <c r="E162">
        <v>0</v>
      </c>
      <c r="F162" s="16">
        <v>80.8</v>
      </c>
      <c r="G162">
        <v>0</v>
      </c>
      <c r="H162" s="16">
        <v>2.5</v>
      </c>
      <c r="I162">
        <v>1</v>
      </c>
      <c r="J162">
        <v>0</v>
      </c>
      <c r="K162">
        <v>0</v>
      </c>
      <c r="L162" s="3" t="s">
        <v>705</v>
      </c>
      <c r="M162" s="16">
        <v>0</v>
      </c>
      <c r="N162" t="s">
        <v>385</v>
      </c>
      <c r="P162">
        <v>0</v>
      </c>
      <c r="Q162">
        <v>0</v>
      </c>
      <c r="R162">
        <v>0</v>
      </c>
      <c r="T162">
        <v>0</v>
      </c>
      <c r="U162">
        <v>100</v>
      </c>
      <c r="V162" t="s">
        <v>704</v>
      </c>
      <c r="W162" s="3"/>
    </row>
    <row r="163" spans="1:23">
      <c r="A163" t="s">
        <v>547</v>
      </c>
      <c r="B163">
        <v>755494</v>
      </c>
      <c r="C163" s="16">
        <v>755.49400000000003</v>
      </c>
      <c r="D163" s="16">
        <v>27.4</v>
      </c>
      <c r="E163">
        <v>0</v>
      </c>
      <c r="F163" s="16">
        <v>81</v>
      </c>
      <c r="G163">
        <v>0</v>
      </c>
      <c r="H163" s="16">
        <v>2.6</v>
      </c>
      <c r="I163">
        <v>1</v>
      </c>
      <c r="J163">
        <v>0</v>
      </c>
      <c r="K163">
        <v>0</v>
      </c>
      <c r="L163" s="3" t="s">
        <v>705</v>
      </c>
      <c r="M163" s="16">
        <v>0</v>
      </c>
      <c r="N163" t="s">
        <v>385</v>
      </c>
      <c r="P163">
        <v>0</v>
      </c>
      <c r="Q163">
        <v>0</v>
      </c>
      <c r="R163">
        <v>0</v>
      </c>
      <c r="T163">
        <v>0</v>
      </c>
      <c r="U163">
        <v>100</v>
      </c>
      <c r="V163" t="s">
        <v>704</v>
      </c>
      <c r="W163" s="3"/>
    </row>
    <row r="164" spans="1:23">
      <c r="A164" t="s">
        <v>548</v>
      </c>
      <c r="B164">
        <v>760513</v>
      </c>
      <c r="C164" s="16">
        <v>760.51300000000003</v>
      </c>
      <c r="D164" s="16">
        <v>27.4</v>
      </c>
      <c r="E164">
        <v>0</v>
      </c>
      <c r="F164" s="16">
        <v>81</v>
      </c>
      <c r="G164">
        <v>0</v>
      </c>
      <c r="H164" s="16">
        <v>2.5</v>
      </c>
      <c r="I164">
        <v>1</v>
      </c>
      <c r="J164">
        <v>0</v>
      </c>
      <c r="K164">
        <v>0</v>
      </c>
      <c r="L164" s="3" t="s">
        <v>705</v>
      </c>
      <c r="M164" s="16">
        <v>0</v>
      </c>
      <c r="N164" t="s">
        <v>385</v>
      </c>
      <c r="P164">
        <v>0</v>
      </c>
      <c r="Q164">
        <v>0</v>
      </c>
      <c r="R164">
        <v>0</v>
      </c>
      <c r="T164">
        <v>0</v>
      </c>
      <c r="U164">
        <v>100</v>
      </c>
      <c r="V164" t="s">
        <v>704</v>
      </c>
      <c r="W164" s="3"/>
    </row>
    <row r="165" spans="1:23">
      <c r="A165" t="s">
        <v>549</v>
      </c>
      <c r="B165">
        <v>765530</v>
      </c>
      <c r="C165" s="16">
        <v>765.53</v>
      </c>
      <c r="D165" s="16">
        <v>27.4</v>
      </c>
      <c r="E165">
        <v>0</v>
      </c>
      <c r="F165" s="16">
        <v>81</v>
      </c>
      <c r="G165">
        <v>0</v>
      </c>
      <c r="H165" s="16">
        <v>2.5</v>
      </c>
      <c r="I165">
        <v>1</v>
      </c>
      <c r="J165">
        <v>0</v>
      </c>
      <c r="K165">
        <v>0</v>
      </c>
      <c r="L165" s="3" t="s">
        <v>705</v>
      </c>
      <c r="M165" s="16">
        <v>0</v>
      </c>
      <c r="N165" t="s">
        <v>385</v>
      </c>
      <c r="P165">
        <v>0</v>
      </c>
      <c r="Q165">
        <v>0</v>
      </c>
      <c r="R165">
        <v>0</v>
      </c>
      <c r="T165">
        <v>0</v>
      </c>
      <c r="U165">
        <v>100</v>
      </c>
      <c r="V165" t="s">
        <v>704</v>
      </c>
      <c r="W165" s="3"/>
    </row>
    <row r="166" spans="1:23">
      <c r="A166" t="s">
        <v>550</v>
      </c>
      <c r="B166">
        <v>770548</v>
      </c>
      <c r="C166" s="16">
        <v>770.548</v>
      </c>
      <c r="D166" s="16">
        <v>27.4</v>
      </c>
      <c r="E166">
        <v>0</v>
      </c>
      <c r="F166" s="16">
        <v>81</v>
      </c>
      <c r="G166">
        <v>0</v>
      </c>
      <c r="H166" s="16">
        <v>2.5</v>
      </c>
      <c r="I166">
        <v>1</v>
      </c>
      <c r="J166">
        <v>0</v>
      </c>
      <c r="K166">
        <v>0</v>
      </c>
      <c r="L166" s="3" t="s">
        <v>705</v>
      </c>
      <c r="M166" s="16">
        <v>0</v>
      </c>
      <c r="N166" t="s">
        <v>385</v>
      </c>
      <c r="P166">
        <v>0</v>
      </c>
      <c r="Q166">
        <v>0</v>
      </c>
      <c r="R166">
        <v>0</v>
      </c>
      <c r="T166">
        <v>0</v>
      </c>
      <c r="U166">
        <v>100</v>
      </c>
      <c r="V166" t="s">
        <v>704</v>
      </c>
      <c r="W166" s="3"/>
    </row>
    <row r="167" spans="1:23">
      <c r="A167" t="s">
        <v>551</v>
      </c>
      <c r="B167">
        <v>775565</v>
      </c>
      <c r="C167" s="16">
        <v>775.56500000000005</v>
      </c>
      <c r="D167" s="16">
        <v>27.4</v>
      </c>
      <c r="E167">
        <v>0</v>
      </c>
      <c r="F167" s="16">
        <v>81</v>
      </c>
      <c r="G167">
        <v>0</v>
      </c>
      <c r="H167" s="16">
        <v>2.4</v>
      </c>
      <c r="I167">
        <v>1</v>
      </c>
      <c r="J167">
        <v>0</v>
      </c>
      <c r="K167">
        <v>0</v>
      </c>
      <c r="L167" s="3" t="s">
        <v>705</v>
      </c>
      <c r="M167" s="16">
        <v>0</v>
      </c>
      <c r="N167" t="s">
        <v>385</v>
      </c>
      <c r="P167">
        <v>0</v>
      </c>
      <c r="Q167">
        <v>0</v>
      </c>
      <c r="R167">
        <v>0</v>
      </c>
      <c r="T167">
        <v>0</v>
      </c>
      <c r="U167">
        <v>100</v>
      </c>
      <c r="V167" t="s">
        <v>704</v>
      </c>
      <c r="W167" s="3"/>
    </row>
    <row r="168" spans="1:23">
      <c r="A168" t="s">
        <v>552</v>
      </c>
      <c r="B168">
        <v>780581</v>
      </c>
      <c r="C168" s="16">
        <v>780.58100000000002</v>
      </c>
      <c r="D168" s="16">
        <v>27.4</v>
      </c>
      <c r="E168">
        <v>0</v>
      </c>
      <c r="F168" s="16">
        <v>81</v>
      </c>
      <c r="G168">
        <v>0</v>
      </c>
      <c r="H168" s="16">
        <v>2.4</v>
      </c>
      <c r="I168">
        <v>1</v>
      </c>
      <c r="J168">
        <v>0</v>
      </c>
      <c r="K168">
        <v>0</v>
      </c>
      <c r="L168" s="3" t="s">
        <v>705</v>
      </c>
      <c r="M168" s="16">
        <v>0</v>
      </c>
      <c r="N168" t="s">
        <v>385</v>
      </c>
      <c r="P168">
        <v>0</v>
      </c>
      <c r="Q168">
        <v>0</v>
      </c>
      <c r="R168">
        <v>0</v>
      </c>
      <c r="T168">
        <v>0</v>
      </c>
      <c r="U168">
        <v>100</v>
      </c>
      <c r="V168" t="s">
        <v>704</v>
      </c>
      <c r="W168" s="3"/>
    </row>
    <row r="169" spans="1:23">
      <c r="A169" t="s">
        <v>553</v>
      </c>
      <c r="B169">
        <v>785600</v>
      </c>
      <c r="C169" s="16">
        <v>785.6</v>
      </c>
      <c r="D169" s="16">
        <v>27.4</v>
      </c>
      <c r="E169">
        <v>0</v>
      </c>
      <c r="F169" s="16">
        <v>81</v>
      </c>
      <c r="G169">
        <v>0</v>
      </c>
      <c r="H169" s="16">
        <v>2.4</v>
      </c>
      <c r="I169">
        <v>1</v>
      </c>
      <c r="J169">
        <v>0</v>
      </c>
      <c r="K169">
        <v>0</v>
      </c>
      <c r="L169" s="3" t="s">
        <v>705</v>
      </c>
      <c r="M169" s="16">
        <v>0</v>
      </c>
      <c r="N169" t="s">
        <v>385</v>
      </c>
      <c r="P169">
        <v>0</v>
      </c>
      <c r="Q169">
        <v>0</v>
      </c>
      <c r="R169">
        <v>0</v>
      </c>
      <c r="T169">
        <v>0</v>
      </c>
      <c r="U169">
        <v>100</v>
      </c>
      <c r="V169" t="s">
        <v>704</v>
      </c>
      <c r="W169" s="3"/>
    </row>
    <row r="170" spans="1:23">
      <c r="A170" t="s">
        <v>554</v>
      </c>
      <c r="B170">
        <v>790617</v>
      </c>
      <c r="C170" s="16">
        <v>790.61699999999996</v>
      </c>
      <c r="D170" s="16">
        <v>27.4</v>
      </c>
      <c r="E170">
        <v>0</v>
      </c>
      <c r="F170" s="16">
        <v>81</v>
      </c>
      <c r="G170">
        <v>0</v>
      </c>
      <c r="H170" s="16">
        <v>2.2999999999999998</v>
      </c>
      <c r="I170">
        <v>1</v>
      </c>
      <c r="J170">
        <v>0</v>
      </c>
      <c r="K170">
        <v>0</v>
      </c>
      <c r="L170" s="3" t="s">
        <v>705</v>
      </c>
      <c r="M170" s="16">
        <v>0</v>
      </c>
      <c r="N170" t="s">
        <v>385</v>
      </c>
      <c r="P170">
        <v>0</v>
      </c>
      <c r="Q170">
        <v>0</v>
      </c>
      <c r="R170">
        <v>0</v>
      </c>
      <c r="T170">
        <v>0</v>
      </c>
      <c r="U170">
        <v>100</v>
      </c>
      <c r="V170" t="s">
        <v>704</v>
      </c>
      <c r="W170" s="3"/>
    </row>
    <row r="171" spans="1:23">
      <c r="A171" t="s">
        <v>555</v>
      </c>
      <c r="B171">
        <v>795635</v>
      </c>
      <c r="C171" s="16">
        <v>795.63499999999999</v>
      </c>
      <c r="D171" s="16">
        <v>27.4</v>
      </c>
      <c r="E171">
        <v>0</v>
      </c>
      <c r="F171" s="16">
        <v>81.099999999999994</v>
      </c>
      <c r="G171">
        <v>0</v>
      </c>
      <c r="H171" s="16">
        <v>2.2999999999999998</v>
      </c>
      <c r="I171">
        <v>1</v>
      </c>
      <c r="J171">
        <v>0</v>
      </c>
      <c r="K171">
        <v>0</v>
      </c>
      <c r="L171" s="3" t="s">
        <v>705</v>
      </c>
      <c r="M171" s="16">
        <v>0</v>
      </c>
      <c r="N171" t="s">
        <v>385</v>
      </c>
      <c r="P171">
        <v>0</v>
      </c>
      <c r="Q171">
        <v>0</v>
      </c>
      <c r="R171">
        <v>0</v>
      </c>
      <c r="T171">
        <v>0</v>
      </c>
      <c r="U171">
        <v>100</v>
      </c>
      <c r="V171" t="s">
        <v>704</v>
      </c>
      <c r="W171" s="3"/>
    </row>
    <row r="172" spans="1:23">
      <c r="A172" t="s">
        <v>556</v>
      </c>
      <c r="B172">
        <v>800652</v>
      </c>
      <c r="C172" s="16">
        <v>800.65200000000004</v>
      </c>
      <c r="D172" s="16">
        <v>27.4</v>
      </c>
      <c r="E172">
        <v>0</v>
      </c>
      <c r="F172" s="16">
        <v>81.099999999999994</v>
      </c>
      <c r="G172">
        <v>0</v>
      </c>
      <c r="H172" s="16">
        <v>2.2999999999999998</v>
      </c>
      <c r="I172">
        <v>1</v>
      </c>
      <c r="J172">
        <v>0</v>
      </c>
      <c r="K172">
        <v>0</v>
      </c>
      <c r="L172" s="3" t="s">
        <v>705</v>
      </c>
      <c r="M172" s="16">
        <v>0</v>
      </c>
      <c r="N172" t="s">
        <v>385</v>
      </c>
      <c r="P172">
        <v>0</v>
      </c>
      <c r="Q172">
        <v>0</v>
      </c>
      <c r="R172">
        <v>0</v>
      </c>
      <c r="T172">
        <v>0</v>
      </c>
      <c r="U172">
        <v>100</v>
      </c>
      <c r="V172" t="s">
        <v>704</v>
      </c>
      <c r="W172" s="3"/>
    </row>
    <row r="173" spans="1:23">
      <c r="A173" t="s">
        <v>557</v>
      </c>
      <c r="B173">
        <v>805668</v>
      </c>
      <c r="C173" s="16">
        <v>805.66800000000001</v>
      </c>
      <c r="D173" s="16">
        <v>27.4</v>
      </c>
      <c r="E173">
        <v>0</v>
      </c>
      <c r="F173" s="16">
        <v>81</v>
      </c>
      <c r="G173">
        <v>0</v>
      </c>
      <c r="H173" s="16">
        <v>2.2999999999999998</v>
      </c>
      <c r="I173">
        <v>1</v>
      </c>
      <c r="J173">
        <v>0</v>
      </c>
      <c r="K173">
        <v>0</v>
      </c>
      <c r="L173" s="3" t="s">
        <v>705</v>
      </c>
      <c r="M173" s="16">
        <v>0</v>
      </c>
      <c r="N173" t="s">
        <v>385</v>
      </c>
      <c r="P173">
        <v>0</v>
      </c>
      <c r="Q173">
        <v>0</v>
      </c>
      <c r="R173">
        <v>0</v>
      </c>
      <c r="T173">
        <v>0</v>
      </c>
      <c r="U173">
        <v>100</v>
      </c>
      <c r="V173" t="s">
        <v>704</v>
      </c>
      <c r="W173" s="3"/>
    </row>
    <row r="174" spans="1:23">
      <c r="A174" t="s">
        <v>558</v>
      </c>
      <c r="B174">
        <v>810687</v>
      </c>
      <c r="C174" s="16">
        <v>810.68700000000001</v>
      </c>
      <c r="D174" s="16">
        <v>27.4</v>
      </c>
      <c r="E174">
        <v>0</v>
      </c>
      <c r="F174" s="16">
        <v>81</v>
      </c>
      <c r="G174">
        <v>0</v>
      </c>
      <c r="H174" s="16">
        <v>2.2999999999999998</v>
      </c>
      <c r="I174">
        <v>1</v>
      </c>
      <c r="J174">
        <v>0</v>
      </c>
      <c r="K174">
        <v>0</v>
      </c>
      <c r="L174" s="3" t="s">
        <v>705</v>
      </c>
      <c r="M174" s="16">
        <v>0</v>
      </c>
      <c r="N174" t="s">
        <v>385</v>
      </c>
      <c r="P174">
        <v>0</v>
      </c>
      <c r="Q174">
        <v>0</v>
      </c>
      <c r="R174">
        <v>0</v>
      </c>
      <c r="T174">
        <v>0</v>
      </c>
      <c r="U174">
        <v>100</v>
      </c>
      <c r="V174" t="s">
        <v>704</v>
      </c>
      <c r="W174" s="3"/>
    </row>
    <row r="175" spans="1:23">
      <c r="A175" t="s">
        <v>559</v>
      </c>
      <c r="B175">
        <v>815704</v>
      </c>
      <c r="C175" s="16">
        <v>815.70399999999995</v>
      </c>
      <c r="D175" s="16">
        <v>27.5</v>
      </c>
      <c r="E175">
        <v>0</v>
      </c>
      <c r="F175" s="16">
        <v>81.900000000000006</v>
      </c>
      <c r="G175">
        <v>0</v>
      </c>
      <c r="H175" s="16">
        <v>2.2999999999999998</v>
      </c>
      <c r="I175">
        <v>1</v>
      </c>
      <c r="J175">
        <v>0</v>
      </c>
      <c r="K175">
        <v>0</v>
      </c>
      <c r="L175" s="3" t="s">
        <v>705</v>
      </c>
      <c r="M175" s="16">
        <v>0</v>
      </c>
      <c r="N175" t="s">
        <v>385</v>
      </c>
      <c r="P175">
        <v>0</v>
      </c>
      <c r="Q175">
        <v>0</v>
      </c>
      <c r="R175">
        <v>0</v>
      </c>
      <c r="T175">
        <v>0</v>
      </c>
      <c r="U175">
        <v>100</v>
      </c>
      <c r="V175" t="s">
        <v>704</v>
      </c>
      <c r="W175" s="3"/>
    </row>
    <row r="176" spans="1:23">
      <c r="A176" t="s">
        <v>560</v>
      </c>
      <c r="B176">
        <v>820720</v>
      </c>
      <c r="C176" s="16">
        <v>820.72</v>
      </c>
      <c r="D176" s="16">
        <v>27.7</v>
      </c>
      <c r="E176">
        <v>0</v>
      </c>
      <c r="F176" s="16">
        <v>83</v>
      </c>
      <c r="G176">
        <v>0</v>
      </c>
      <c r="H176" s="16">
        <v>2.4</v>
      </c>
      <c r="I176">
        <v>1</v>
      </c>
      <c r="J176">
        <v>0</v>
      </c>
      <c r="K176">
        <v>0</v>
      </c>
      <c r="L176" s="3" t="s">
        <v>705</v>
      </c>
      <c r="M176" s="16">
        <v>0</v>
      </c>
      <c r="N176" t="s">
        <v>385</v>
      </c>
      <c r="O176">
        <v>1</v>
      </c>
      <c r="P176">
        <v>0</v>
      </c>
      <c r="Q176">
        <v>0</v>
      </c>
      <c r="R176">
        <v>0</v>
      </c>
      <c r="S176">
        <v>1</v>
      </c>
      <c r="T176">
        <v>0</v>
      </c>
      <c r="U176">
        <v>100</v>
      </c>
      <c r="V176" t="s">
        <v>704</v>
      </c>
      <c r="W176" s="3" t="s">
        <v>561</v>
      </c>
    </row>
    <row r="177" spans="1:23">
      <c r="A177" t="s">
        <v>566</v>
      </c>
      <c r="B177">
        <v>825795</v>
      </c>
      <c r="C177" s="16">
        <v>825.79499999999996</v>
      </c>
      <c r="D177" s="16">
        <v>28.1</v>
      </c>
      <c r="E177">
        <v>0</v>
      </c>
      <c r="F177" s="16">
        <v>84.3</v>
      </c>
      <c r="G177">
        <v>0</v>
      </c>
      <c r="H177" s="16">
        <v>2.5</v>
      </c>
      <c r="I177">
        <v>1</v>
      </c>
      <c r="J177">
        <v>0</v>
      </c>
      <c r="K177">
        <v>0</v>
      </c>
      <c r="L177" s="3" t="s">
        <v>705</v>
      </c>
      <c r="M177" s="16">
        <v>0</v>
      </c>
      <c r="N177" t="s">
        <v>567</v>
      </c>
      <c r="O177">
        <v>1</v>
      </c>
      <c r="P177">
        <v>0</v>
      </c>
      <c r="Q177">
        <v>0</v>
      </c>
      <c r="R177">
        <v>0</v>
      </c>
      <c r="S177">
        <v>0</v>
      </c>
      <c r="T177">
        <v>0</v>
      </c>
      <c r="U177">
        <v>100</v>
      </c>
      <c r="V177" t="s">
        <v>704</v>
      </c>
      <c r="W177" s="3"/>
    </row>
    <row r="178" spans="1:23">
      <c r="A178" t="s">
        <v>570</v>
      </c>
      <c r="B178">
        <v>830752</v>
      </c>
      <c r="C178" s="16">
        <v>830.75199999999995</v>
      </c>
      <c r="D178" s="16">
        <v>28.6</v>
      </c>
      <c r="E178">
        <v>0</v>
      </c>
      <c r="F178" s="16">
        <v>83.8</v>
      </c>
      <c r="G178">
        <v>0</v>
      </c>
      <c r="H178" s="16">
        <v>1.9</v>
      </c>
      <c r="I178">
        <v>1</v>
      </c>
      <c r="J178">
        <v>0</v>
      </c>
      <c r="K178">
        <v>0</v>
      </c>
      <c r="L178" s="3" t="s">
        <v>705</v>
      </c>
      <c r="M178" s="16">
        <v>0</v>
      </c>
      <c r="N178" t="s">
        <v>571</v>
      </c>
      <c r="O178">
        <v>1</v>
      </c>
      <c r="P178">
        <v>0</v>
      </c>
      <c r="Q178">
        <v>1</v>
      </c>
      <c r="R178">
        <v>0</v>
      </c>
      <c r="S178">
        <v>0</v>
      </c>
      <c r="T178">
        <v>1</v>
      </c>
      <c r="U178">
        <v>100</v>
      </c>
      <c r="V178" t="s">
        <v>704</v>
      </c>
      <c r="W178" s="3"/>
    </row>
    <row r="179" spans="1:23">
      <c r="A179" t="s">
        <v>572</v>
      </c>
      <c r="B179">
        <v>835763</v>
      </c>
      <c r="C179" s="16">
        <v>835.76300000000003</v>
      </c>
      <c r="D179" s="16">
        <v>29</v>
      </c>
      <c r="E179">
        <v>0</v>
      </c>
      <c r="F179" s="16">
        <v>72.2</v>
      </c>
      <c r="G179">
        <v>0</v>
      </c>
      <c r="H179" s="16">
        <v>1.8</v>
      </c>
      <c r="I179">
        <v>1</v>
      </c>
      <c r="J179">
        <v>0</v>
      </c>
      <c r="K179">
        <v>0</v>
      </c>
      <c r="L179" s="3" t="s">
        <v>705</v>
      </c>
      <c r="M179" s="16">
        <v>0.6978700000000001</v>
      </c>
      <c r="N179" t="s">
        <v>571</v>
      </c>
      <c r="O179">
        <v>1</v>
      </c>
      <c r="P179">
        <v>0</v>
      </c>
      <c r="Q179">
        <v>1</v>
      </c>
      <c r="R179">
        <v>0</v>
      </c>
      <c r="S179">
        <v>0</v>
      </c>
      <c r="T179">
        <v>0</v>
      </c>
      <c r="U179">
        <v>100</v>
      </c>
      <c r="V179" t="s">
        <v>704</v>
      </c>
      <c r="W179" s="3"/>
    </row>
    <row r="180" spans="1:23" ht="27.6">
      <c r="A180" t="s">
        <v>573</v>
      </c>
      <c r="B180">
        <v>841183</v>
      </c>
      <c r="C180" s="16">
        <v>841.18299999999999</v>
      </c>
      <c r="D180" s="16">
        <v>29.1</v>
      </c>
      <c r="E180">
        <v>0</v>
      </c>
      <c r="F180" s="16">
        <v>71.3</v>
      </c>
      <c r="G180">
        <v>0</v>
      </c>
      <c r="H180" s="16">
        <v>70.5</v>
      </c>
      <c r="I180">
        <v>1</v>
      </c>
      <c r="J180">
        <v>1</v>
      </c>
      <c r="K180">
        <v>1</v>
      </c>
      <c r="L180" s="3" t="s">
        <v>708</v>
      </c>
      <c r="M180" s="16">
        <v>0.67227000000000003</v>
      </c>
      <c r="N180" t="s">
        <v>571</v>
      </c>
      <c r="O180">
        <v>1</v>
      </c>
      <c r="P180">
        <v>0</v>
      </c>
      <c r="Q180">
        <v>1</v>
      </c>
      <c r="R180">
        <v>0</v>
      </c>
      <c r="S180">
        <v>0</v>
      </c>
      <c r="T180">
        <v>0</v>
      </c>
      <c r="U180">
        <v>100</v>
      </c>
      <c r="V180" t="s">
        <v>704</v>
      </c>
      <c r="W180" s="3"/>
    </row>
    <row r="181" spans="1:23" ht="27.6">
      <c r="A181" t="s">
        <v>577</v>
      </c>
      <c r="B181">
        <v>846615</v>
      </c>
      <c r="C181" s="16">
        <v>846.61500000000001</v>
      </c>
      <c r="D181" s="16">
        <v>29.1</v>
      </c>
      <c r="E181">
        <v>1</v>
      </c>
      <c r="F181" s="16">
        <v>71.3</v>
      </c>
      <c r="G181">
        <v>1</v>
      </c>
      <c r="H181" s="16">
        <v>136.30000000000001</v>
      </c>
      <c r="I181">
        <v>1</v>
      </c>
      <c r="J181">
        <v>1</v>
      </c>
      <c r="K181">
        <v>1</v>
      </c>
      <c r="L181" s="3" t="s">
        <v>708</v>
      </c>
      <c r="M181" s="16">
        <v>0.71492999999999995</v>
      </c>
      <c r="N181" t="s">
        <v>571</v>
      </c>
      <c r="O181">
        <v>1</v>
      </c>
      <c r="P181">
        <v>0</v>
      </c>
      <c r="Q181">
        <v>1</v>
      </c>
      <c r="R181">
        <v>0</v>
      </c>
      <c r="S181">
        <v>0</v>
      </c>
      <c r="T181">
        <v>0</v>
      </c>
      <c r="U181">
        <v>60</v>
      </c>
      <c r="V181" t="s">
        <v>706</v>
      </c>
      <c r="W181" s="3"/>
    </row>
    <row r="182" spans="1:23">
      <c r="A182" t="s">
        <v>579</v>
      </c>
      <c r="B182">
        <v>851615</v>
      </c>
      <c r="C182" s="16">
        <v>851.61500000000001</v>
      </c>
      <c r="D182" s="16">
        <v>29.1</v>
      </c>
      <c r="E182">
        <v>1</v>
      </c>
      <c r="F182" s="16">
        <v>71.3</v>
      </c>
      <c r="G182">
        <v>1</v>
      </c>
      <c r="H182" s="16">
        <v>1.7</v>
      </c>
      <c r="I182">
        <v>1</v>
      </c>
      <c r="J182">
        <v>0</v>
      </c>
      <c r="K182">
        <v>0</v>
      </c>
      <c r="L182" s="3" t="s">
        <v>705</v>
      </c>
      <c r="M182" s="16">
        <v>0.66052999999999995</v>
      </c>
      <c r="N182" t="s">
        <v>571</v>
      </c>
      <c r="O182">
        <v>1</v>
      </c>
      <c r="P182">
        <v>0</v>
      </c>
      <c r="Q182">
        <v>1</v>
      </c>
      <c r="R182">
        <v>0</v>
      </c>
      <c r="S182">
        <v>0</v>
      </c>
      <c r="T182">
        <v>0</v>
      </c>
      <c r="U182">
        <v>60</v>
      </c>
      <c r="V182" t="s">
        <v>706</v>
      </c>
      <c r="W182" s="3"/>
    </row>
    <row r="183" spans="1:23">
      <c r="A183" t="s">
        <v>580</v>
      </c>
      <c r="B183">
        <v>856585</v>
      </c>
      <c r="C183" s="16">
        <v>856.58500000000004</v>
      </c>
      <c r="D183" s="16">
        <v>29.1</v>
      </c>
      <c r="E183">
        <v>0</v>
      </c>
      <c r="F183" s="16">
        <v>69.900000000000006</v>
      </c>
      <c r="G183">
        <v>0</v>
      </c>
      <c r="H183" s="16">
        <v>1.9</v>
      </c>
      <c r="I183">
        <v>1</v>
      </c>
      <c r="J183">
        <v>0</v>
      </c>
      <c r="K183">
        <v>0</v>
      </c>
      <c r="L183" s="3" t="s">
        <v>705</v>
      </c>
      <c r="M183" s="16">
        <v>0.65733000000000008</v>
      </c>
      <c r="N183" t="s">
        <v>571</v>
      </c>
      <c r="O183">
        <v>1</v>
      </c>
      <c r="P183">
        <v>0</v>
      </c>
      <c r="Q183">
        <v>1</v>
      </c>
      <c r="R183">
        <v>0</v>
      </c>
      <c r="S183">
        <v>0</v>
      </c>
      <c r="T183">
        <v>0</v>
      </c>
      <c r="U183">
        <v>100</v>
      </c>
      <c r="V183" t="s">
        <v>704</v>
      </c>
      <c r="W183" s="3"/>
    </row>
    <row r="184" spans="1:23">
      <c r="A184" t="s">
        <v>582</v>
      </c>
      <c r="B184">
        <v>861617</v>
      </c>
      <c r="C184" s="16">
        <v>861.61699999999996</v>
      </c>
      <c r="D184" s="16">
        <v>29.1</v>
      </c>
      <c r="E184">
        <v>1</v>
      </c>
      <c r="F184" s="16">
        <v>69.900000000000006</v>
      </c>
      <c r="G184">
        <v>1</v>
      </c>
      <c r="H184" s="16">
        <v>1.7</v>
      </c>
      <c r="I184">
        <v>1</v>
      </c>
      <c r="J184">
        <v>0</v>
      </c>
      <c r="K184">
        <v>0</v>
      </c>
      <c r="L184" s="3" t="s">
        <v>705</v>
      </c>
      <c r="M184" s="16">
        <v>0.65332999999999997</v>
      </c>
      <c r="N184" t="s">
        <v>571</v>
      </c>
      <c r="O184">
        <v>1</v>
      </c>
      <c r="P184">
        <v>0</v>
      </c>
      <c r="Q184">
        <v>1</v>
      </c>
      <c r="R184">
        <v>0</v>
      </c>
      <c r="S184">
        <v>0</v>
      </c>
      <c r="T184">
        <v>0</v>
      </c>
      <c r="U184">
        <v>60</v>
      </c>
      <c r="V184" t="s">
        <v>706</v>
      </c>
      <c r="W184" s="3"/>
    </row>
    <row r="185" spans="1:23">
      <c r="A185" t="s">
        <v>583</v>
      </c>
      <c r="B185">
        <v>866584</v>
      </c>
      <c r="C185" s="16">
        <v>866.58399999999995</v>
      </c>
      <c r="D185" s="16">
        <v>29</v>
      </c>
      <c r="E185">
        <v>0</v>
      </c>
      <c r="F185" s="16">
        <v>69.099999999999994</v>
      </c>
      <c r="G185">
        <v>0</v>
      </c>
      <c r="H185" s="16">
        <v>1.8</v>
      </c>
      <c r="I185">
        <v>1</v>
      </c>
      <c r="J185">
        <v>0</v>
      </c>
      <c r="K185">
        <v>0</v>
      </c>
      <c r="L185" s="3" t="s">
        <v>705</v>
      </c>
      <c r="M185" s="16">
        <v>0.63227</v>
      </c>
      <c r="N185" t="s">
        <v>571</v>
      </c>
      <c r="O185">
        <v>1</v>
      </c>
      <c r="P185">
        <v>0</v>
      </c>
      <c r="Q185">
        <v>1</v>
      </c>
      <c r="R185">
        <v>0</v>
      </c>
      <c r="S185">
        <v>0</v>
      </c>
      <c r="T185">
        <v>0</v>
      </c>
      <c r="U185">
        <v>100</v>
      </c>
      <c r="V185" t="s">
        <v>704</v>
      </c>
      <c r="W185" s="3"/>
    </row>
    <row r="186" spans="1:23">
      <c r="A186" t="s">
        <v>585</v>
      </c>
      <c r="B186">
        <v>871616</v>
      </c>
      <c r="C186" s="16">
        <v>871.61599999999999</v>
      </c>
      <c r="D186" s="16">
        <v>29</v>
      </c>
      <c r="E186">
        <v>1</v>
      </c>
      <c r="F186" s="16">
        <v>69.099999999999994</v>
      </c>
      <c r="G186">
        <v>1</v>
      </c>
      <c r="H186" s="16">
        <v>1.9</v>
      </c>
      <c r="I186">
        <v>1</v>
      </c>
      <c r="J186">
        <v>0</v>
      </c>
      <c r="K186">
        <v>0</v>
      </c>
      <c r="L186" s="3" t="s">
        <v>705</v>
      </c>
      <c r="M186" s="16">
        <v>0.66933000000000009</v>
      </c>
      <c r="N186" t="s">
        <v>571</v>
      </c>
      <c r="O186">
        <v>1</v>
      </c>
      <c r="P186">
        <v>0</v>
      </c>
      <c r="Q186">
        <v>1</v>
      </c>
      <c r="R186">
        <v>0</v>
      </c>
      <c r="S186">
        <v>0</v>
      </c>
      <c r="T186">
        <v>0</v>
      </c>
      <c r="U186">
        <v>60</v>
      </c>
      <c r="V186" t="s">
        <v>706</v>
      </c>
      <c r="W186" s="3"/>
    </row>
    <row r="187" spans="1:23" ht="27.6">
      <c r="A187" t="s">
        <v>586</v>
      </c>
      <c r="B187">
        <v>876584</v>
      </c>
      <c r="C187" s="16">
        <v>876.58399999999995</v>
      </c>
      <c r="D187" s="16">
        <v>28.8</v>
      </c>
      <c r="E187">
        <v>0</v>
      </c>
      <c r="F187" s="16">
        <v>68.7</v>
      </c>
      <c r="G187">
        <v>0</v>
      </c>
      <c r="H187" s="16">
        <v>135.1</v>
      </c>
      <c r="I187">
        <v>1</v>
      </c>
      <c r="J187">
        <v>1</v>
      </c>
      <c r="K187">
        <v>1</v>
      </c>
      <c r="L187" s="3" t="s">
        <v>708</v>
      </c>
      <c r="M187" s="16">
        <v>0.72026999999999997</v>
      </c>
      <c r="N187" t="s">
        <v>571</v>
      </c>
      <c r="O187">
        <v>1</v>
      </c>
      <c r="P187">
        <v>0</v>
      </c>
      <c r="Q187">
        <v>1</v>
      </c>
      <c r="R187">
        <v>0</v>
      </c>
      <c r="S187">
        <v>0</v>
      </c>
      <c r="T187">
        <v>0</v>
      </c>
      <c r="U187">
        <v>100</v>
      </c>
      <c r="V187" t="s">
        <v>704</v>
      </c>
      <c r="W187" s="3"/>
    </row>
    <row r="188" spans="1:23">
      <c r="A188" t="s">
        <v>588</v>
      </c>
      <c r="B188">
        <v>881616</v>
      </c>
      <c r="C188" s="16">
        <v>881.61599999999999</v>
      </c>
      <c r="D188" s="16">
        <v>28.8</v>
      </c>
      <c r="E188">
        <v>1</v>
      </c>
      <c r="F188" s="16">
        <v>68.7</v>
      </c>
      <c r="G188">
        <v>1</v>
      </c>
      <c r="H188" s="16">
        <v>2.2000000000000002</v>
      </c>
      <c r="I188">
        <v>1</v>
      </c>
      <c r="J188">
        <v>0</v>
      </c>
      <c r="K188">
        <v>0</v>
      </c>
      <c r="L188" s="3" t="s">
        <v>705</v>
      </c>
      <c r="M188" s="16">
        <v>0.74239999999999995</v>
      </c>
      <c r="N188" t="s">
        <v>571</v>
      </c>
      <c r="O188">
        <v>1</v>
      </c>
      <c r="P188">
        <v>0</v>
      </c>
      <c r="Q188">
        <v>1</v>
      </c>
      <c r="R188">
        <v>0</v>
      </c>
      <c r="S188">
        <v>0</v>
      </c>
      <c r="T188">
        <v>0</v>
      </c>
      <c r="U188">
        <v>60</v>
      </c>
      <c r="V188" t="s">
        <v>706</v>
      </c>
      <c r="W188" s="3"/>
    </row>
    <row r="189" spans="1:23">
      <c r="A189" t="s">
        <v>590</v>
      </c>
      <c r="B189">
        <v>886616</v>
      </c>
      <c r="C189" s="16">
        <v>886.61599999999999</v>
      </c>
      <c r="D189" s="16">
        <v>28.8</v>
      </c>
      <c r="E189">
        <v>1</v>
      </c>
      <c r="F189" s="16">
        <v>68.7</v>
      </c>
      <c r="G189">
        <v>1</v>
      </c>
      <c r="H189" s="16">
        <v>2.1</v>
      </c>
      <c r="I189">
        <v>1</v>
      </c>
      <c r="J189">
        <v>0</v>
      </c>
      <c r="K189">
        <v>0</v>
      </c>
      <c r="L189" s="3" t="s">
        <v>705</v>
      </c>
      <c r="M189" s="16">
        <v>0.73466999999999993</v>
      </c>
      <c r="N189" t="s">
        <v>571</v>
      </c>
      <c r="O189">
        <v>1</v>
      </c>
      <c r="P189">
        <v>0</v>
      </c>
      <c r="Q189">
        <v>1</v>
      </c>
      <c r="R189">
        <v>0</v>
      </c>
      <c r="S189">
        <v>0</v>
      </c>
      <c r="T189">
        <v>0</v>
      </c>
      <c r="U189">
        <v>60</v>
      </c>
      <c r="V189" t="s">
        <v>706</v>
      </c>
      <c r="W189" s="3"/>
    </row>
    <row r="190" spans="1:23">
      <c r="A190" t="s">
        <v>592</v>
      </c>
      <c r="B190">
        <v>891633</v>
      </c>
      <c r="C190" s="16">
        <v>891.63300000000004</v>
      </c>
      <c r="D190" s="16">
        <v>28.8</v>
      </c>
      <c r="E190">
        <v>1</v>
      </c>
      <c r="F190" s="16">
        <v>68.7</v>
      </c>
      <c r="G190">
        <v>1</v>
      </c>
      <c r="H190" s="16">
        <v>2</v>
      </c>
      <c r="I190">
        <v>1</v>
      </c>
      <c r="J190">
        <v>0</v>
      </c>
      <c r="K190">
        <v>0</v>
      </c>
      <c r="L190" s="3" t="s">
        <v>705</v>
      </c>
      <c r="M190" s="16">
        <v>0.69200000000000006</v>
      </c>
      <c r="N190" t="s">
        <v>571</v>
      </c>
      <c r="O190">
        <v>1</v>
      </c>
      <c r="P190">
        <v>0</v>
      </c>
      <c r="Q190">
        <v>1</v>
      </c>
      <c r="R190">
        <v>0</v>
      </c>
      <c r="S190">
        <v>0</v>
      </c>
      <c r="T190">
        <v>0</v>
      </c>
      <c r="U190">
        <v>60</v>
      </c>
      <c r="V190" t="s">
        <v>706</v>
      </c>
      <c r="W190" s="3"/>
    </row>
    <row r="191" spans="1:23">
      <c r="A191" t="s">
        <v>594</v>
      </c>
      <c r="B191">
        <v>896633</v>
      </c>
      <c r="C191" s="16">
        <v>896.63300000000004</v>
      </c>
      <c r="D191" s="16">
        <v>28.8</v>
      </c>
      <c r="E191">
        <v>1</v>
      </c>
      <c r="F191" s="16">
        <v>68.7</v>
      </c>
      <c r="G191">
        <v>1</v>
      </c>
      <c r="H191" s="16">
        <v>2</v>
      </c>
      <c r="I191">
        <v>1</v>
      </c>
      <c r="J191">
        <v>0</v>
      </c>
      <c r="K191">
        <v>0</v>
      </c>
      <c r="L191" s="3" t="s">
        <v>705</v>
      </c>
      <c r="M191" s="16">
        <v>0.73199999999999998</v>
      </c>
      <c r="N191" t="s">
        <v>571</v>
      </c>
      <c r="O191">
        <v>1</v>
      </c>
      <c r="P191">
        <v>0</v>
      </c>
      <c r="Q191">
        <v>1</v>
      </c>
      <c r="R191">
        <v>0</v>
      </c>
      <c r="S191">
        <v>0</v>
      </c>
      <c r="T191">
        <v>0</v>
      </c>
      <c r="U191">
        <v>60</v>
      </c>
      <c r="V191" t="s">
        <v>706</v>
      </c>
      <c r="W191" s="3"/>
    </row>
    <row r="192" spans="1:23">
      <c r="A192" t="s">
        <v>596</v>
      </c>
      <c r="B192">
        <v>901634</v>
      </c>
      <c r="C192" s="16">
        <v>901.63400000000001</v>
      </c>
      <c r="D192" s="16">
        <v>28.8</v>
      </c>
      <c r="E192">
        <v>1</v>
      </c>
      <c r="F192" s="16">
        <v>68.7</v>
      </c>
      <c r="G192">
        <v>1</v>
      </c>
      <c r="H192" s="16">
        <v>2</v>
      </c>
      <c r="I192">
        <v>1</v>
      </c>
      <c r="J192">
        <v>0</v>
      </c>
      <c r="K192">
        <v>0</v>
      </c>
      <c r="L192" s="3" t="s">
        <v>705</v>
      </c>
      <c r="M192" s="16">
        <v>0.96747000000000005</v>
      </c>
      <c r="N192" t="s">
        <v>571</v>
      </c>
      <c r="O192">
        <v>1</v>
      </c>
      <c r="P192">
        <v>0</v>
      </c>
      <c r="Q192">
        <v>1</v>
      </c>
      <c r="R192">
        <v>0</v>
      </c>
      <c r="S192">
        <v>0</v>
      </c>
      <c r="T192">
        <v>0</v>
      </c>
      <c r="U192">
        <v>60</v>
      </c>
      <c r="V192" t="s">
        <v>706</v>
      </c>
      <c r="W192" s="3"/>
    </row>
    <row r="193" spans="1:23">
      <c r="A193" t="s">
        <v>598</v>
      </c>
      <c r="B193">
        <v>906633</v>
      </c>
      <c r="C193" s="16">
        <v>906.63300000000004</v>
      </c>
      <c r="D193" s="16">
        <v>28.8</v>
      </c>
      <c r="E193">
        <v>1</v>
      </c>
      <c r="F193" s="16">
        <v>68.7</v>
      </c>
      <c r="G193">
        <v>1</v>
      </c>
      <c r="H193" s="16">
        <v>2.5</v>
      </c>
      <c r="I193">
        <v>1</v>
      </c>
      <c r="J193">
        <v>0</v>
      </c>
      <c r="K193">
        <v>0</v>
      </c>
      <c r="L193" s="3" t="s">
        <v>705</v>
      </c>
      <c r="M193" s="16">
        <v>2.6135999999999999</v>
      </c>
      <c r="N193" t="s">
        <v>571</v>
      </c>
      <c r="O193">
        <v>1</v>
      </c>
      <c r="P193">
        <v>0</v>
      </c>
      <c r="Q193">
        <v>1</v>
      </c>
      <c r="R193">
        <v>0</v>
      </c>
      <c r="S193">
        <v>0</v>
      </c>
      <c r="T193">
        <v>0</v>
      </c>
      <c r="U193">
        <v>60</v>
      </c>
      <c r="V193" t="s">
        <v>706</v>
      </c>
      <c r="W193" s="3"/>
    </row>
    <row r="194" spans="1:23">
      <c r="A194" t="s">
        <v>603</v>
      </c>
      <c r="B194">
        <v>911619</v>
      </c>
      <c r="C194" s="16">
        <v>911.61900000000003</v>
      </c>
      <c r="D194" s="16">
        <v>28.4</v>
      </c>
      <c r="E194">
        <v>0</v>
      </c>
      <c r="F194" s="16">
        <v>69</v>
      </c>
      <c r="G194">
        <v>0</v>
      </c>
      <c r="H194" s="16">
        <v>1.7</v>
      </c>
      <c r="I194">
        <v>1</v>
      </c>
      <c r="J194">
        <v>0</v>
      </c>
      <c r="K194">
        <v>0</v>
      </c>
      <c r="L194" s="3" t="s">
        <v>705</v>
      </c>
      <c r="M194" s="16">
        <v>3.9472000000000005</v>
      </c>
      <c r="N194" t="s">
        <v>604</v>
      </c>
      <c r="O194">
        <v>1</v>
      </c>
      <c r="P194">
        <v>0</v>
      </c>
      <c r="Q194">
        <v>0</v>
      </c>
      <c r="R194">
        <v>1</v>
      </c>
      <c r="S194">
        <v>0</v>
      </c>
      <c r="T194">
        <v>0</v>
      </c>
      <c r="U194">
        <v>100</v>
      </c>
      <c r="V194" t="s">
        <v>704</v>
      </c>
      <c r="W194" s="3"/>
    </row>
    <row r="195" spans="1:23">
      <c r="A195" t="s">
        <v>605</v>
      </c>
      <c r="B195">
        <v>916601</v>
      </c>
      <c r="C195" s="16">
        <v>916.601</v>
      </c>
      <c r="D195" s="16">
        <v>28.4</v>
      </c>
      <c r="E195">
        <v>0</v>
      </c>
      <c r="F195" s="16">
        <v>70.900000000000006</v>
      </c>
      <c r="G195">
        <v>0</v>
      </c>
      <c r="H195" s="16">
        <v>1.6</v>
      </c>
      <c r="I195">
        <v>1</v>
      </c>
      <c r="J195">
        <v>0</v>
      </c>
      <c r="K195">
        <v>0</v>
      </c>
      <c r="L195" s="3" t="s">
        <v>705</v>
      </c>
      <c r="M195" s="16">
        <v>0.187</v>
      </c>
      <c r="N195" t="s">
        <v>604</v>
      </c>
      <c r="O195">
        <v>1</v>
      </c>
      <c r="P195">
        <v>0</v>
      </c>
      <c r="Q195">
        <v>0</v>
      </c>
      <c r="R195">
        <v>1</v>
      </c>
      <c r="S195">
        <v>0</v>
      </c>
      <c r="T195">
        <v>0</v>
      </c>
      <c r="U195">
        <v>100</v>
      </c>
      <c r="V195" t="s">
        <v>704</v>
      </c>
      <c r="W195" s="3"/>
    </row>
    <row r="196" spans="1:23">
      <c r="A196" t="s">
        <v>609</v>
      </c>
      <c r="B196">
        <v>921617</v>
      </c>
      <c r="C196" s="16">
        <v>921.61699999999996</v>
      </c>
      <c r="D196" s="16">
        <v>28.4</v>
      </c>
      <c r="E196">
        <v>0</v>
      </c>
      <c r="F196" s="16">
        <v>75.099999999999994</v>
      </c>
      <c r="G196">
        <v>0</v>
      </c>
      <c r="H196" s="16">
        <v>1.6</v>
      </c>
      <c r="I196">
        <v>1</v>
      </c>
      <c r="J196">
        <v>0</v>
      </c>
      <c r="K196">
        <v>0</v>
      </c>
      <c r="L196" s="3" t="s">
        <v>705</v>
      </c>
      <c r="M196" s="16">
        <v>0</v>
      </c>
      <c r="N196" t="s">
        <v>610</v>
      </c>
      <c r="O196">
        <v>1</v>
      </c>
      <c r="P196">
        <v>0</v>
      </c>
      <c r="Q196">
        <v>0</v>
      </c>
      <c r="R196">
        <v>0</v>
      </c>
      <c r="S196">
        <v>0</v>
      </c>
      <c r="T196">
        <v>0</v>
      </c>
      <c r="U196">
        <v>100</v>
      </c>
      <c r="V196" t="s">
        <v>704</v>
      </c>
      <c r="W196" s="3"/>
    </row>
    <row r="197" spans="1:23">
      <c r="A197" t="s">
        <v>611</v>
      </c>
      <c r="B197">
        <v>926602</v>
      </c>
      <c r="C197" s="16">
        <v>926.60199999999998</v>
      </c>
      <c r="D197" s="16">
        <v>28.4</v>
      </c>
      <c r="E197">
        <v>0</v>
      </c>
      <c r="F197" s="16">
        <v>75.3</v>
      </c>
      <c r="G197">
        <v>0</v>
      </c>
      <c r="H197" s="16">
        <v>1.3</v>
      </c>
      <c r="I197">
        <v>1</v>
      </c>
      <c r="J197">
        <v>0</v>
      </c>
      <c r="K197">
        <v>0</v>
      </c>
      <c r="L197" s="3" t="s">
        <v>705</v>
      </c>
      <c r="M197" s="16">
        <v>0</v>
      </c>
      <c r="N197" t="s">
        <v>385</v>
      </c>
      <c r="O197">
        <v>2</v>
      </c>
      <c r="P197">
        <v>0</v>
      </c>
      <c r="Q197">
        <v>0</v>
      </c>
      <c r="R197">
        <v>0</v>
      </c>
      <c r="S197">
        <v>0</v>
      </c>
      <c r="T197">
        <v>0</v>
      </c>
      <c r="U197">
        <v>100</v>
      </c>
      <c r="V197" t="s">
        <v>704</v>
      </c>
      <c r="W197" s="3" t="s">
        <v>612</v>
      </c>
    </row>
    <row r="198" spans="1:23">
      <c r="A198" t="s">
        <v>614</v>
      </c>
      <c r="B198">
        <v>931618</v>
      </c>
      <c r="C198" s="16">
        <v>931.61800000000005</v>
      </c>
      <c r="D198" s="16">
        <v>28.4</v>
      </c>
      <c r="E198">
        <v>0</v>
      </c>
      <c r="F198" s="16">
        <v>76.3</v>
      </c>
      <c r="G198">
        <v>0</v>
      </c>
      <c r="H198" s="16">
        <v>1.5</v>
      </c>
      <c r="I198">
        <v>1</v>
      </c>
      <c r="J198">
        <v>0</v>
      </c>
      <c r="K198">
        <v>0</v>
      </c>
      <c r="L198" s="3" t="s">
        <v>705</v>
      </c>
      <c r="M198" s="16">
        <v>0</v>
      </c>
      <c r="N198" t="s">
        <v>567</v>
      </c>
      <c r="O198">
        <v>2</v>
      </c>
      <c r="P198">
        <v>0</v>
      </c>
      <c r="Q198">
        <v>0</v>
      </c>
      <c r="R198">
        <v>0</v>
      </c>
      <c r="S198">
        <v>0</v>
      </c>
      <c r="T198">
        <v>0</v>
      </c>
      <c r="U198">
        <v>100</v>
      </c>
      <c r="V198" t="s">
        <v>704</v>
      </c>
      <c r="W198" s="3"/>
    </row>
    <row r="199" spans="1:23">
      <c r="A199" t="s">
        <v>615</v>
      </c>
      <c r="B199">
        <v>936603</v>
      </c>
      <c r="C199" s="16">
        <v>936.60299999999995</v>
      </c>
      <c r="D199" s="16">
        <v>28.3</v>
      </c>
      <c r="E199">
        <v>0</v>
      </c>
      <c r="F199" s="16">
        <v>76.599999999999994</v>
      </c>
      <c r="G199">
        <v>0</v>
      </c>
      <c r="H199" s="16">
        <v>2.2000000000000002</v>
      </c>
      <c r="I199">
        <v>1</v>
      </c>
      <c r="J199">
        <v>0</v>
      </c>
      <c r="K199">
        <v>0</v>
      </c>
      <c r="L199" s="3" t="s">
        <v>705</v>
      </c>
      <c r="M199" s="16">
        <v>0</v>
      </c>
      <c r="N199" t="s">
        <v>571</v>
      </c>
      <c r="O199">
        <v>2</v>
      </c>
      <c r="P199">
        <v>0</v>
      </c>
      <c r="Q199">
        <v>1</v>
      </c>
      <c r="R199">
        <v>0</v>
      </c>
      <c r="S199">
        <v>0</v>
      </c>
      <c r="T199">
        <v>1</v>
      </c>
      <c r="U199">
        <v>100</v>
      </c>
      <c r="V199" t="s">
        <v>704</v>
      </c>
      <c r="W199" s="3"/>
    </row>
    <row r="200" spans="1:23">
      <c r="A200" t="s">
        <v>616</v>
      </c>
      <c r="B200">
        <v>941602</v>
      </c>
      <c r="C200" s="16">
        <v>941.60199999999998</v>
      </c>
      <c r="D200" s="16">
        <v>28.2</v>
      </c>
      <c r="E200">
        <v>0</v>
      </c>
      <c r="F200" s="16">
        <v>70.400000000000006</v>
      </c>
      <c r="G200">
        <v>0</v>
      </c>
      <c r="H200" s="16">
        <v>1.4</v>
      </c>
      <c r="I200">
        <v>1</v>
      </c>
      <c r="J200">
        <v>0</v>
      </c>
      <c r="K200">
        <v>0</v>
      </c>
      <c r="L200" s="3" t="s">
        <v>705</v>
      </c>
      <c r="M200" s="16">
        <v>1.6991999999999998</v>
      </c>
      <c r="N200" t="s">
        <v>571</v>
      </c>
      <c r="O200">
        <v>2</v>
      </c>
      <c r="P200">
        <v>0</v>
      </c>
      <c r="Q200">
        <v>1</v>
      </c>
      <c r="R200">
        <v>0</v>
      </c>
      <c r="S200">
        <v>0</v>
      </c>
      <c r="T200">
        <v>0</v>
      </c>
      <c r="U200">
        <v>100</v>
      </c>
      <c r="V200" t="s">
        <v>704</v>
      </c>
      <c r="W200" s="3"/>
    </row>
    <row r="201" spans="1:23">
      <c r="A201" t="s">
        <v>617</v>
      </c>
      <c r="B201">
        <v>946603</v>
      </c>
      <c r="C201" s="16">
        <v>946.60299999999995</v>
      </c>
      <c r="D201" s="16">
        <v>28.2</v>
      </c>
      <c r="E201">
        <v>0</v>
      </c>
      <c r="F201" s="16">
        <v>70</v>
      </c>
      <c r="G201">
        <v>0</v>
      </c>
      <c r="H201" s="16">
        <v>1.7</v>
      </c>
      <c r="I201">
        <v>1</v>
      </c>
      <c r="J201">
        <v>0</v>
      </c>
      <c r="K201">
        <v>0</v>
      </c>
      <c r="L201" s="3" t="s">
        <v>705</v>
      </c>
      <c r="M201" s="16">
        <v>4.9629300000000001</v>
      </c>
      <c r="N201" t="s">
        <v>571</v>
      </c>
      <c r="O201">
        <v>2</v>
      </c>
      <c r="P201">
        <v>0</v>
      </c>
      <c r="Q201">
        <v>1</v>
      </c>
      <c r="R201">
        <v>0</v>
      </c>
      <c r="S201">
        <v>0</v>
      </c>
      <c r="T201">
        <v>0</v>
      </c>
      <c r="U201">
        <v>100</v>
      </c>
      <c r="V201" t="s">
        <v>704</v>
      </c>
      <c r="W201" s="3"/>
    </row>
    <row r="202" spans="1:23" ht="27.6">
      <c r="A202" t="s">
        <v>618</v>
      </c>
      <c r="B202">
        <v>951603</v>
      </c>
      <c r="C202" s="16">
        <v>951.60299999999995</v>
      </c>
      <c r="D202" s="16">
        <v>28.1</v>
      </c>
      <c r="E202">
        <v>0</v>
      </c>
      <c r="F202" s="16">
        <v>70.3</v>
      </c>
      <c r="G202">
        <v>0</v>
      </c>
      <c r="H202" s="16">
        <v>4280.8</v>
      </c>
      <c r="I202">
        <v>1</v>
      </c>
      <c r="J202">
        <v>1</v>
      </c>
      <c r="K202">
        <v>1</v>
      </c>
      <c r="L202" s="3" t="s">
        <v>708</v>
      </c>
      <c r="M202" s="16">
        <v>2.7834699999999999</v>
      </c>
      <c r="N202" t="s">
        <v>571</v>
      </c>
      <c r="O202">
        <v>2</v>
      </c>
      <c r="P202">
        <v>0</v>
      </c>
      <c r="Q202">
        <v>1</v>
      </c>
      <c r="R202">
        <v>0</v>
      </c>
      <c r="S202">
        <v>0</v>
      </c>
      <c r="T202">
        <v>0</v>
      </c>
      <c r="U202">
        <v>100</v>
      </c>
      <c r="V202" t="s">
        <v>704</v>
      </c>
      <c r="W202" s="3"/>
    </row>
    <row r="203" spans="1:23" ht="27.6">
      <c r="A203" t="s">
        <v>620</v>
      </c>
      <c r="B203">
        <v>956603</v>
      </c>
      <c r="C203" s="16">
        <v>956.60299999999995</v>
      </c>
      <c r="D203" s="16">
        <v>28.1</v>
      </c>
      <c r="E203">
        <v>0</v>
      </c>
      <c r="F203" s="16">
        <v>70</v>
      </c>
      <c r="G203">
        <v>0</v>
      </c>
      <c r="H203" s="16">
        <v>2001.3</v>
      </c>
      <c r="I203">
        <v>1</v>
      </c>
      <c r="J203">
        <v>1</v>
      </c>
      <c r="K203">
        <v>1</v>
      </c>
      <c r="L203" s="3" t="s">
        <v>708</v>
      </c>
      <c r="M203" s="16">
        <v>1.8738699999999999</v>
      </c>
      <c r="N203" t="s">
        <v>571</v>
      </c>
      <c r="O203">
        <v>2</v>
      </c>
      <c r="P203">
        <v>0</v>
      </c>
      <c r="Q203">
        <v>1</v>
      </c>
      <c r="R203">
        <v>0</v>
      </c>
      <c r="S203">
        <v>0</v>
      </c>
      <c r="T203">
        <v>0</v>
      </c>
      <c r="U203">
        <v>100</v>
      </c>
      <c r="V203" t="s">
        <v>704</v>
      </c>
      <c r="W203" s="3"/>
    </row>
    <row r="204" spans="1:23" ht="27.6">
      <c r="A204" t="s">
        <v>621</v>
      </c>
      <c r="B204">
        <v>962184</v>
      </c>
      <c r="C204" s="16">
        <v>962.18399999999997</v>
      </c>
      <c r="D204" s="16">
        <v>28</v>
      </c>
      <c r="E204">
        <v>0</v>
      </c>
      <c r="F204" s="16">
        <v>70</v>
      </c>
      <c r="G204">
        <v>0</v>
      </c>
      <c r="H204" s="16">
        <v>69.7</v>
      </c>
      <c r="I204">
        <v>1</v>
      </c>
      <c r="J204">
        <v>1</v>
      </c>
      <c r="K204">
        <v>1</v>
      </c>
      <c r="L204" s="3" t="s">
        <v>708</v>
      </c>
      <c r="M204" s="16">
        <v>1.5773300000000001</v>
      </c>
      <c r="N204" t="s">
        <v>571</v>
      </c>
      <c r="O204">
        <v>2</v>
      </c>
      <c r="P204">
        <v>0</v>
      </c>
      <c r="Q204">
        <v>1</v>
      </c>
      <c r="R204">
        <v>0</v>
      </c>
      <c r="S204">
        <v>0</v>
      </c>
      <c r="T204">
        <v>0</v>
      </c>
      <c r="U204">
        <v>100</v>
      </c>
      <c r="V204" t="s">
        <v>704</v>
      </c>
      <c r="W204" s="3"/>
    </row>
    <row r="205" spans="1:23">
      <c r="A205" t="s">
        <v>623</v>
      </c>
      <c r="B205">
        <v>967358</v>
      </c>
      <c r="C205" s="16">
        <v>967.35799999999995</v>
      </c>
      <c r="D205" s="16">
        <v>28</v>
      </c>
      <c r="E205">
        <v>1</v>
      </c>
      <c r="F205" s="16">
        <v>70</v>
      </c>
      <c r="G205">
        <v>1</v>
      </c>
      <c r="H205" s="16">
        <v>1.7</v>
      </c>
      <c r="I205">
        <v>1</v>
      </c>
      <c r="J205">
        <v>0</v>
      </c>
      <c r="K205">
        <v>0</v>
      </c>
      <c r="L205" s="3" t="s">
        <v>705</v>
      </c>
      <c r="M205" s="16">
        <v>1.1237300000000001</v>
      </c>
      <c r="N205" t="s">
        <v>571</v>
      </c>
      <c r="O205">
        <v>2</v>
      </c>
      <c r="P205">
        <v>0</v>
      </c>
      <c r="Q205">
        <v>1</v>
      </c>
      <c r="R205">
        <v>0</v>
      </c>
      <c r="S205">
        <v>0</v>
      </c>
      <c r="T205">
        <v>0</v>
      </c>
      <c r="U205">
        <v>60</v>
      </c>
      <c r="V205" t="s">
        <v>706</v>
      </c>
      <c r="W205" s="3"/>
    </row>
    <row r="206" spans="1:23">
      <c r="A206" t="s">
        <v>624</v>
      </c>
      <c r="B206">
        <v>972325</v>
      </c>
      <c r="C206" s="16">
        <v>972.32500000000005</v>
      </c>
      <c r="D206" s="16">
        <v>27.9</v>
      </c>
      <c r="E206">
        <v>0</v>
      </c>
      <c r="F206" s="16">
        <v>70.099999999999994</v>
      </c>
      <c r="G206">
        <v>0</v>
      </c>
      <c r="H206" s="16">
        <v>1.1000000000000001</v>
      </c>
      <c r="I206">
        <v>1</v>
      </c>
      <c r="J206">
        <v>0</v>
      </c>
      <c r="K206">
        <v>0</v>
      </c>
      <c r="L206" s="3" t="s">
        <v>705</v>
      </c>
      <c r="M206" s="16">
        <v>1.0512000000000001</v>
      </c>
      <c r="N206" t="s">
        <v>571</v>
      </c>
      <c r="O206">
        <v>2</v>
      </c>
      <c r="P206">
        <v>0</v>
      </c>
      <c r="Q206">
        <v>1</v>
      </c>
      <c r="R206">
        <v>0</v>
      </c>
      <c r="S206">
        <v>0</v>
      </c>
      <c r="T206">
        <v>0</v>
      </c>
      <c r="U206">
        <v>100</v>
      </c>
      <c r="V206" t="s">
        <v>704</v>
      </c>
      <c r="W206" s="3"/>
    </row>
    <row r="207" spans="1:23">
      <c r="A207" t="s">
        <v>625</v>
      </c>
      <c r="B207">
        <v>977326</v>
      </c>
      <c r="C207" s="16">
        <v>977.32600000000002</v>
      </c>
      <c r="D207" s="16">
        <v>27.9</v>
      </c>
      <c r="E207">
        <v>0</v>
      </c>
      <c r="F207" s="16">
        <v>70.099999999999994</v>
      </c>
      <c r="G207">
        <v>0</v>
      </c>
      <c r="H207" s="16">
        <v>1.7</v>
      </c>
      <c r="I207">
        <v>1</v>
      </c>
      <c r="J207">
        <v>0</v>
      </c>
      <c r="K207">
        <v>0</v>
      </c>
      <c r="L207" s="3" t="s">
        <v>705</v>
      </c>
      <c r="M207" s="16">
        <v>1.0087999999999999</v>
      </c>
      <c r="N207" t="s">
        <v>571</v>
      </c>
      <c r="O207">
        <v>2</v>
      </c>
      <c r="P207">
        <v>0</v>
      </c>
      <c r="Q207">
        <v>1</v>
      </c>
      <c r="R207">
        <v>0</v>
      </c>
      <c r="S207">
        <v>0</v>
      </c>
      <c r="T207">
        <v>0</v>
      </c>
      <c r="U207">
        <v>100</v>
      </c>
      <c r="V207" t="s">
        <v>704</v>
      </c>
      <c r="W207" s="3"/>
    </row>
    <row r="208" spans="1:23">
      <c r="A208" t="s">
        <v>626</v>
      </c>
      <c r="B208">
        <v>982326</v>
      </c>
      <c r="C208" s="16">
        <v>982.32600000000002</v>
      </c>
      <c r="D208" s="16">
        <v>27.8</v>
      </c>
      <c r="E208">
        <v>0</v>
      </c>
      <c r="F208" s="16">
        <v>70.2</v>
      </c>
      <c r="G208">
        <v>0</v>
      </c>
      <c r="H208" s="16">
        <v>0.3</v>
      </c>
      <c r="I208">
        <v>1</v>
      </c>
      <c r="J208">
        <v>0</v>
      </c>
      <c r="K208">
        <v>0</v>
      </c>
      <c r="L208" s="3" t="s">
        <v>705</v>
      </c>
      <c r="M208" s="16">
        <v>0.97040000000000004</v>
      </c>
      <c r="N208" t="s">
        <v>571</v>
      </c>
      <c r="O208">
        <v>2</v>
      </c>
      <c r="P208">
        <v>0</v>
      </c>
      <c r="Q208">
        <v>1</v>
      </c>
      <c r="R208">
        <v>0</v>
      </c>
      <c r="S208">
        <v>0</v>
      </c>
      <c r="T208">
        <v>0</v>
      </c>
      <c r="U208">
        <v>100</v>
      </c>
      <c r="V208" t="s">
        <v>704</v>
      </c>
      <c r="W208" s="3"/>
    </row>
    <row r="209" spans="1:23">
      <c r="A209" t="s">
        <v>627</v>
      </c>
      <c r="B209">
        <v>987326</v>
      </c>
      <c r="C209" s="16">
        <v>987.32600000000002</v>
      </c>
      <c r="D209" s="16">
        <v>27.8</v>
      </c>
      <c r="E209">
        <v>0</v>
      </c>
      <c r="F209" s="16">
        <v>70.400000000000006</v>
      </c>
      <c r="G209">
        <v>0</v>
      </c>
      <c r="H209" s="16">
        <v>1.9</v>
      </c>
      <c r="I209">
        <v>1</v>
      </c>
      <c r="J209">
        <v>0</v>
      </c>
      <c r="K209">
        <v>0</v>
      </c>
      <c r="L209" s="3" t="s">
        <v>705</v>
      </c>
      <c r="M209" s="16">
        <v>0.9</v>
      </c>
      <c r="N209" t="s">
        <v>571</v>
      </c>
      <c r="O209">
        <v>2</v>
      </c>
      <c r="P209">
        <v>0</v>
      </c>
      <c r="Q209">
        <v>1</v>
      </c>
      <c r="R209">
        <v>0</v>
      </c>
      <c r="S209">
        <v>0</v>
      </c>
      <c r="T209">
        <v>0</v>
      </c>
      <c r="U209">
        <v>100</v>
      </c>
      <c r="V209" t="s">
        <v>704</v>
      </c>
      <c r="W209" s="3"/>
    </row>
    <row r="210" spans="1:23" ht="27.6">
      <c r="A210" t="s">
        <v>629</v>
      </c>
      <c r="B210">
        <v>992736</v>
      </c>
      <c r="C210" s="16">
        <v>992.73599999999999</v>
      </c>
      <c r="D210" s="16">
        <v>27.8</v>
      </c>
      <c r="E210">
        <v>1</v>
      </c>
      <c r="F210" s="16">
        <v>70.400000000000006</v>
      </c>
      <c r="G210">
        <v>1</v>
      </c>
      <c r="H210" s="16">
        <v>71.900000000000006</v>
      </c>
      <c r="I210">
        <v>1</v>
      </c>
      <c r="J210">
        <v>1</v>
      </c>
      <c r="K210">
        <v>1</v>
      </c>
      <c r="L210" s="3" t="s">
        <v>708</v>
      </c>
      <c r="M210" s="16">
        <v>0.96719999999999995</v>
      </c>
      <c r="N210" t="s">
        <v>571</v>
      </c>
      <c r="O210">
        <v>2</v>
      </c>
      <c r="P210">
        <v>0</v>
      </c>
      <c r="Q210">
        <v>1</v>
      </c>
      <c r="R210">
        <v>0</v>
      </c>
      <c r="S210">
        <v>0</v>
      </c>
      <c r="T210">
        <v>0</v>
      </c>
      <c r="U210">
        <v>60</v>
      </c>
      <c r="V210" t="s">
        <v>706</v>
      </c>
      <c r="W210" s="3"/>
    </row>
    <row r="211" spans="1:23">
      <c r="A211" t="s">
        <v>631</v>
      </c>
      <c r="B211">
        <v>997836</v>
      </c>
      <c r="C211" s="16">
        <v>997.83600000000001</v>
      </c>
      <c r="D211" s="16">
        <v>27.8</v>
      </c>
      <c r="E211">
        <v>1</v>
      </c>
      <c r="F211" s="16">
        <v>70.400000000000006</v>
      </c>
      <c r="G211">
        <v>1</v>
      </c>
      <c r="H211" s="16">
        <v>2.5</v>
      </c>
      <c r="I211">
        <v>1</v>
      </c>
      <c r="J211">
        <v>0</v>
      </c>
      <c r="K211">
        <v>0</v>
      </c>
      <c r="L211" s="3" t="s">
        <v>705</v>
      </c>
      <c r="M211" s="16">
        <v>0.92879999999999996</v>
      </c>
      <c r="N211" t="s">
        <v>571</v>
      </c>
      <c r="O211">
        <v>2</v>
      </c>
      <c r="P211">
        <v>0</v>
      </c>
      <c r="Q211">
        <v>1</v>
      </c>
      <c r="R211">
        <v>0</v>
      </c>
      <c r="S211">
        <v>0</v>
      </c>
      <c r="T211">
        <v>0</v>
      </c>
      <c r="U211">
        <v>60</v>
      </c>
      <c r="V211" t="s">
        <v>706</v>
      </c>
      <c r="W211" s="3"/>
    </row>
    <row r="212" spans="1:23">
      <c r="A212" t="s">
        <v>633</v>
      </c>
      <c r="B212">
        <v>1002823</v>
      </c>
      <c r="C212" s="16">
        <v>1002.823</v>
      </c>
      <c r="D212" s="16">
        <v>27.7</v>
      </c>
      <c r="E212">
        <v>0</v>
      </c>
      <c r="F212" s="16">
        <v>70.400000000000006</v>
      </c>
      <c r="G212">
        <v>0</v>
      </c>
      <c r="H212" s="16">
        <v>1.7</v>
      </c>
      <c r="I212">
        <v>1</v>
      </c>
      <c r="J212">
        <v>0</v>
      </c>
      <c r="K212">
        <v>0</v>
      </c>
      <c r="L212" s="3" t="s">
        <v>705</v>
      </c>
      <c r="M212" s="16">
        <v>0.88159999999999994</v>
      </c>
      <c r="N212" t="s">
        <v>604</v>
      </c>
      <c r="O212">
        <v>2</v>
      </c>
      <c r="P212">
        <v>0</v>
      </c>
      <c r="Q212">
        <v>0</v>
      </c>
      <c r="R212">
        <v>1</v>
      </c>
      <c r="S212">
        <v>0</v>
      </c>
      <c r="T212">
        <v>0</v>
      </c>
      <c r="U212">
        <v>100</v>
      </c>
      <c r="V212" t="s">
        <v>704</v>
      </c>
      <c r="W212" s="3"/>
    </row>
    <row r="213" spans="1:23">
      <c r="A213" t="s">
        <v>634</v>
      </c>
      <c r="B213">
        <v>1007805</v>
      </c>
      <c r="C213" s="16">
        <v>1007.8049999999999</v>
      </c>
      <c r="D213" s="16">
        <v>27.7</v>
      </c>
      <c r="E213">
        <v>0</v>
      </c>
      <c r="F213" s="16">
        <v>72</v>
      </c>
      <c r="G213">
        <v>0</v>
      </c>
      <c r="H213" s="16">
        <v>1.9</v>
      </c>
      <c r="I213">
        <v>1</v>
      </c>
      <c r="J213">
        <v>0</v>
      </c>
      <c r="K213">
        <v>0</v>
      </c>
      <c r="L213" s="3" t="s">
        <v>705</v>
      </c>
      <c r="M213" s="16">
        <v>0.107</v>
      </c>
      <c r="N213" t="s">
        <v>604</v>
      </c>
      <c r="O213">
        <v>2</v>
      </c>
      <c r="P213">
        <v>0</v>
      </c>
      <c r="Q213">
        <v>0</v>
      </c>
      <c r="R213">
        <v>1</v>
      </c>
      <c r="S213">
        <v>0</v>
      </c>
      <c r="T213">
        <v>0</v>
      </c>
      <c r="U213">
        <v>100</v>
      </c>
      <c r="V213" t="s">
        <v>704</v>
      </c>
      <c r="W213" s="3"/>
    </row>
    <row r="214" spans="1:23">
      <c r="A214" t="s">
        <v>636</v>
      </c>
      <c r="B214">
        <v>1012823</v>
      </c>
      <c r="C214" s="16">
        <v>1012.823</v>
      </c>
      <c r="D214" s="16">
        <v>27.8</v>
      </c>
      <c r="E214">
        <v>0</v>
      </c>
      <c r="F214" s="16">
        <v>76.900000000000006</v>
      </c>
      <c r="G214">
        <v>0</v>
      </c>
      <c r="H214" s="16">
        <v>1.8</v>
      </c>
      <c r="I214">
        <v>1</v>
      </c>
      <c r="J214">
        <v>0</v>
      </c>
      <c r="K214">
        <v>0</v>
      </c>
      <c r="L214" s="3" t="s">
        <v>705</v>
      </c>
      <c r="M214" s="16">
        <v>0</v>
      </c>
      <c r="N214" t="s">
        <v>610</v>
      </c>
      <c r="O214">
        <v>2</v>
      </c>
      <c r="P214">
        <v>0</v>
      </c>
      <c r="Q214">
        <v>0</v>
      </c>
      <c r="R214">
        <v>0</v>
      </c>
      <c r="S214">
        <v>0</v>
      </c>
      <c r="T214">
        <v>0</v>
      </c>
      <c r="U214">
        <v>100</v>
      </c>
      <c r="V214" t="s">
        <v>704</v>
      </c>
      <c r="W214" s="3"/>
    </row>
    <row r="215" spans="1:23">
      <c r="A215" t="s">
        <v>637</v>
      </c>
      <c r="B215">
        <v>1017824</v>
      </c>
      <c r="C215" s="16">
        <v>1017.824</v>
      </c>
      <c r="D215" s="16">
        <v>27.8</v>
      </c>
      <c r="E215">
        <v>0</v>
      </c>
      <c r="F215" s="16">
        <v>77</v>
      </c>
      <c r="G215">
        <v>0</v>
      </c>
      <c r="H215" s="16">
        <v>2.2000000000000002</v>
      </c>
      <c r="I215">
        <v>1</v>
      </c>
      <c r="J215">
        <v>0</v>
      </c>
      <c r="K215">
        <v>0</v>
      </c>
      <c r="L215" s="3" t="s">
        <v>705</v>
      </c>
      <c r="M215" s="16">
        <v>0</v>
      </c>
      <c r="N215" t="s">
        <v>385</v>
      </c>
      <c r="O215">
        <v>2</v>
      </c>
      <c r="P215">
        <v>0</v>
      </c>
      <c r="Q215">
        <v>0</v>
      </c>
      <c r="R215">
        <v>0</v>
      </c>
      <c r="S215">
        <v>0</v>
      </c>
      <c r="T215">
        <v>0</v>
      </c>
      <c r="U215">
        <v>100</v>
      </c>
      <c r="V215" t="s">
        <v>704</v>
      </c>
      <c r="W215" s="3"/>
    </row>
    <row r="216" spans="1:23">
      <c r="A216" t="s">
        <v>638</v>
      </c>
      <c r="B216">
        <v>1022841</v>
      </c>
      <c r="C216" s="16">
        <v>1022.841</v>
      </c>
      <c r="D216" s="16">
        <v>27.8</v>
      </c>
      <c r="E216">
        <v>0</v>
      </c>
      <c r="F216" s="16">
        <v>78.2</v>
      </c>
      <c r="G216">
        <v>0</v>
      </c>
      <c r="H216" s="16">
        <v>2.2000000000000002</v>
      </c>
      <c r="I216">
        <v>1</v>
      </c>
      <c r="J216">
        <v>0</v>
      </c>
      <c r="K216">
        <v>0</v>
      </c>
      <c r="L216" s="3" t="s">
        <v>705</v>
      </c>
      <c r="M216" s="16">
        <v>0</v>
      </c>
      <c r="N216" t="s">
        <v>385</v>
      </c>
      <c r="O216">
        <v>2</v>
      </c>
      <c r="P216">
        <v>0</v>
      </c>
      <c r="Q216">
        <v>0</v>
      </c>
      <c r="R216">
        <v>0</v>
      </c>
      <c r="S216">
        <v>0</v>
      </c>
      <c r="T216">
        <v>0</v>
      </c>
      <c r="U216">
        <v>100</v>
      </c>
      <c r="V216" t="s">
        <v>704</v>
      </c>
      <c r="W216" s="3"/>
    </row>
    <row r="217" spans="1:23">
      <c r="A217" t="s">
        <v>639</v>
      </c>
      <c r="B217">
        <v>1027859</v>
      </c>
      <c r="C217" s="16">
        <v>1027.8589999999999</v>
      </c>
      <c r="D217" s="16">
        <v>27.8</v>
      </c>
      <c r="E217">
        <v>0</v>
      </c>
      <c r="F217" s="16">
        <v>78.7</v>
      </c>
      <c r="G217">
        <v>0</v>
      </c>
      <c r="H217" s="16">
        <v>2.2999999999999998</v>
      </c>
      <c r="I217">
        <v>1</v>
      </c>
      <c r="J217">
        <v>0</v>
      </c>
      <c r="K217">
        <v>0</v>
      </c>
      <c r="L217" s="3" t="s">
        <v>705</v>
      </c>
      <c r="M217" s="16">
        <v>0</v>
      </c>
      <c r="N217" t="s">
        <v>385</v>
      </c>
      <c r="O217">
        <v>2</v>
      </c>
      <c r="P217">
        <v>0</v>
      </c>
      <c r="Q217">
        <v>0</v>
      </c>
      <c r="R217">
        <v>0</v>
      </c>
      <c r="S217">
        <v>0</v>
      </c>
      <c r="T217">
        <v>0</v>
      </c>
      <c r="U217">
        <v>100</v>
      </c>
      <c r="V217" t="s">
        <v>704</v>
      </c>
      <c r="W217" s="3"/>
    </row>
    <row r="218" spans="1:23">
      <c r="A218" t="s">
        <v>640</v>
      </c>
      <c r="B218">
        <v>1032878</v>
      </c>
      <c r="C218" s="16">
        <v>1032.8779999999999</v>
      </c>
      <c r="D218" s="16">
        <v>27.8</v>
      </c>
      <c r="E218">
        <v>0</v>
      </c>
      <c r="F218" s="16">
        <v>79</v>
      </c>
      <c r="G218">
        <v>0</v>
      </c>
      <c r="H218" s="16">
        <v>2</v>
      </c>
      <c r="I218">
        <v>1</v>
      </c>
      <c r="J218">
        <v>0</v>
      </c>
      <c r="K218">
        <v>0</v>
      </c>
      <c r="L218" s="3" t="s">
        <v>705</v>
      </c>
      <c r="M218" s="16">
        <v>0</v>
      </c>
      <c r="N218" t="s">
        <v>385</v>
      </c>
      <c r="O218">
        <v>2</v>
      </c>
      <c r="P218">
        <v>0</v>
      </c>
      <c r="Q218">
        <v>0</v>
      </c>
      <c r="R218">
        <v>0</v>
      </c>
      <c r="S218">
        <v>0</v>
      </c>
      <c r="T218">
        <v>0</v>
      </c>
      <c r="U218">
        <v>100</v>
      </c>
      <c r="V218" t="s">
        <v>704</v>
      </c>
      <c r="W218" s="3"/>
    </row>
    <row r="219" spans="1:23">
      <c r="A219" t="s">
        <v>641</v>
      </c>
      <c r="B219">
        <v>1037896</v>
      </c>
      <c r="C219" s="16">
        <v>1037.896</v>
      </c>
      <c r="D219" s="16">
        <v>27.9</v>
      </c>
      <c r="E219">
        <v>0</v>
      </c>
      <c r="F219" s="16">
        <v>80.599999999999994</v>
      </c>
      <c r="G219">
        <v>0</v>
      </c>
      <c r="H219" s="16">
        <v>2.1</v>
      </c>
      <c r="I219">
        <v>1</v>
      </c>
      <c r="J219">
        <v>0</v>
      </c>
      <c r="K219">
        <v>0</v>
      </c>
      <c r="L219" s="3" t="s">
        <v>705</v>
      </c>
      <c r="M219" s="16">
        <v>0</v>
      </c>
      <c r="N219" t="s">
        <v>385</v>
      </c>
      <c r="O219">
        <v>3</v>
      </c>
      <c r="P219">
        <v>0</v>
      </c>
      <c r="Q219">
        <v>0</v>
      </c>
      <c r="R219">
        <v>0</v>
      </c>
      <c r="S219">
        <v>1</v>
      </c>
      <c r="T219">
        <v>0</v>
      </c>
      <c r="U219">
        <v>100</v>
      </c>
      <c r="V219" t="s">
        <v>704</v>
      </c>
      <c r="W219" s="3" t="s">
        <v>642</v>
      </c>
    </row>
    <row r="220" spans="1:23">
      <c r="A220" t="s">
        <v>645</v>
      </c>
      <c r="B220">
        <v>1042970</v>
      </c>
      <c r="C220" s="16">
        <v>1042.97</v>
      </c>
      <c r="D220" s="16">
        <v>28.1</v>
      </c>
      <c r="E220">
        <v>0</v>
      </c>
      <c r="F220" s="16">
        <v>84.2</v>
      </c>
      <c r="G220">
        <v>0</v>
      </c>
      <c r="H220" s="16">
        <v>1.9</v>
      </c>
      <c r="I220">
        <v>1</v>
      </c>
      <c r="J220">
        <v>0</v>
      </c>
      <c r="K220">
        <v>0</v>
      </c>
      <c r="L220" s="3" t="s">
        <v>705</v>
      </c>
      <c r="M220" s="16">
        <v>0</v>
      </c>
      <c r="N220" t="s">
        <v>567</v>
      </c>
      <c r="O220">
        <v>3</v>
      </c>
      <c r="P220">
        <v>0</v>
      </c>
      <c r="Q220">
        <v>0</v>
      </c>
      <c r="R220">
        <v>0</v>
      </c>
      <c r="S220">
        <v>0</v>
      </c>
      <c r="T220">
        <v>0</v>
      </c>
      <c r="U220">
        <v>100</v>
      </c>
      <c r="V220" t="s">
        <v>704</v>
      </c>
      <c r="W220" s="3"/>
    </row>
    <row r="221" spans="1:23">
      <c r="A221" t="s">
        <v>647</v>
      </c>
      <c r="B221">
        <v>1047928</v>
      </c>
      <c r="C221" s="16">
        <v>1047.9280000000001</v>
      </c>
      <c r="D221" s="16">
        <v>28.4</v>
      </c>
      <c r="E221">
        <v>0</v>
      </c>
      <c r="F221" s="16">
        <v>86.5</v>
      </c>
      <c r="G221">
        <v>0</v>
      </c>
      <c r="H221" s="16">
        <v>1.6</v>
      </c>
      <c r="I221">
        <v>1</v>
      </c>
      <c r="J221">
        <v>0</v>
      </c>
      <c r="K221">
        <v>0</v>
      </c>
      <c r="L221" s="3" t="s">
        <v>705</v>
      </c>
      <c r="M221" s="16">
        <v>0</v>
      </c>
      <c r="N221" t="s">
        <v>571</v>
      </c>
      <c r="O221">
        <v>3</v>
      </c>
      <c r="P221">
        <v>0</v>
      </c>
      <c r="Q221">
        <v>1</v>
      </c>
      <c r="R221">
        <v>0</v>
      </c>
      <c r="S221">
        <v>0</v>
      </c>
      <c r="T221">
        <v>1</v>
      </c>
      <c r="U221">
        <v>100</v>
      </c>
      <c r="V221" t="s">
        <v>704</v>
      </c>
      <c r="W221" s="3"/>
    </row>
    <row r="222" spans="1:23">
      <c r="A222" t="s">
        <v>649</v>
      </c>
      <c r="B222">
        <v>1052972</v>
      </c>
      <c r="C222" s="16">
        <v>1052.972</v>
      </c>
      <c r="D222" s="16">
        <v>28.4</v>
      </c>
      <c r="E222">
        <v>1</v>
      </c>
      <c r="F222" s="16">
        <v>86.5</v>
      </c>
      <c r="G222">
        <v>1</v>
      </c>
      <c r="H222" s="16">
        <v>1.5</v>
      </c>
      <c r="I222">
        <v>1</v>
      </c>
      <c r="J222">
        <v>0</v>
      </c>
      <c r="K222">
        <v>0</v>
      </c>
      <c r="L222" s="3" t="s">
        <v>705</v>
      </c>
      <c r="M222" s="16">
        <v>0.86266999999999994</v>
      </c>
      <c r="N222" t="s">
        <v>571</v>
      </c>
      <c r="O222">
        <v>3</v>
      </c>
      <c r="P222">
        <v>0</v>
      </c>
      <c r="Q222">
        <v>1</v>
      </c>
      <c r="R222">
        <v>0</v>
      </c>
      <c r="S222">
        <v>1</v>
      </c>
      <c r="T222">
        <v>0</v>
      </c>
      <c r="U222">
        <v>60</v>
      </c>
      <c r="V222" t="s">
        <v>706</v>
      </c>
      <c r="W222" s="3"/>
    </row>
    <row r="223" spans="1:23">
      <c r="A223" t="s">
        <v>651</v>
      </c>
      <c r="B223">
        <v>1057940</v>
      </c>
      <c r="C223" s="16">
        <v>1057.94</v>
      </c>
      <c r="D223" s="16">
        <v>7.1</v>
      </c>
      <c r="E223">
        <v>0</v>
      </c>
      <c r="F223" s="16">
        <v>86.5</v>
      </c>
      <c r="G223">
        <v>1</v>
      </c>
      <c r="H223" s="16">
        <v>1.6</v>
      </c>
      <c r="I223">
        <v>1</v>
      </c>
      <c r="J223">
        <v>0</v>
      </c>
      <c r="K223">
        <v>0</v>
      </c>
      <c r="L223" s="3" t="s">
        <v>705</v>
      </c>
      <c r="M223" s="16">
        <v>0.83840000000000003</v>
      </c>
      <c r="N223" t="s">
        <v>571</v>
      </c>
      <c r="O223">
        <v>3</v>
      </c>
      <c r="P223">
        <v>0</v>
      </c>
      <c r="Q223">
        <v>1</v>
      </c>
      <c r="R223">
        <v>0</v>
      </c>
      <c r="S223">
        <v>1</v>
      </c>
      <c r="T223">
        <v>0</v>
      </c>
      <c r="U223">
        <v>80</v>
      </c>
      <c r="V223" t="s">
        <v>709</v>
      </c>
      <c r="W223" s="3"/>
    </row>
    <row r="224" spans="1:23">
      <c r="A224" t="s">
        <v>654</v>
      </c>
      <c r="B224">
        <v>1062969</v>
      </c>
      <c r="C224" s="16">
        <v>1062.9690000000001</v>
      </c>
      <c r="D224" s="16">
        <v>7.1</v>
      </c>
      <c r="E224">
        <v>1</v>
      </c>
      <c r="F224" s="16">
        <v>86.5</v>
      </c>
      <c r="G224">
        <v>1</v>
      </c>
      <c r="H224" s="16">
        <v>1.6</v>
      </c>
      <c r="I224">
        <v>1</v>
      </c>
      <c r="J224">
        <v>0</v>
      </c>
      <c r="K224">
        <v>0</v>
      </c>
      <c r="L224" s="3" t="s">
        <v>705</v>
      </c>
      <c r="M224" s="16">
        <v>0.80266999999999999</v>
      </c>
      <c r="N224" t="s">
        <v>571</v>
      </c>
      <c r="O224">
        <v>3</v>
      </c>
      <c r="P224">
        <v>0</v>
      </c>
      <c r="Q224">
        <v>1</v>
      </c>
      <c r="R224">
        <v>0</v>
      </c>
      <c r="S224">
        <v>1</v>
      </c>
      <c r="T224">
        <v>0</v>
      </c>
      <c r="U224">
        <v>60</v>
      </c>
      <c r="V224" t="s">
        <v>706</v>
      </c>
      <c r="W224" s="3"/>
    </row>
    <row r="225" spans="1:23" ht="27.6">
      <c r="A225" t="s">
        <v>656</v>
      </c>
      <c r="B225">
        <v>1068476</v>
      </c>
      <c r="C225" s="16">
        <v>1068.4760000000001</v>
      </c>
      <c r="D225" s="16">
        <v>7.1</v>
      </c>
      <c r="E225">
        <v>1</v>
      </c>
      <c r="F225" s="16">
        <v>86.5</v>
      </c>
      <c r="G225">
        <v>1</v>
      </c>
      <c r="H225" s="16">
        <v>344.2</v>
      </c>
      <c r="I225">
        <v>1</v>
      </c>
      <c r="J225">
        <v>1</v>
      </c>
      <c r="K225">
        <v>1</v>
      </c>
      <c r="L225" s="3" t="s">
        <v>708</v>
      </c>
      <c r="M225" s="16">
        <v>0.88052999999999992</v>
      </c>
      <c r="N225" t="s">
        <v>571</v>
      </c>
      <c r="O225">
        <v>3</v>
      </c>
      <c r="P225">
        <v>0</v>
      </c>
      <c r="Q225">
        <v>1</v>
      </c>
      <c r="R225">
        <v>0</v>
      </c>
      <c r="S225">
        <v>1</v>
      </c>
      <c r="T225">
        <v>0</v>
      </c>
      <c r="U225">
        <v>60</v>
      </c>
      <c r="V225" t="s">
        <v>706</v>
      </c>
      <c r="W225" s="3"/>
    </row>
    <row r="226" spans="1:23">
      <c r="A226" t="s">
        <v>658</v>
      </c>
      <c r="B226">
        <v>1073475</v>
      </c>
      <c r="C226" s="16">
        <v>1073.4749999999999</v>
      </c>
      <c r="D226" s="16">
        <v>7.1</v>
      </c>
      <c r="E226">
        <v>1</v>
      </c>
      <c r="F226" s="16">
        <v>86.5</v>
      </c>
      <c r="G226">
        <v>1</v>
      </c>
      <c r="H226" s="16">
        <v>1.6</v>
      </c>
      <c r="I226">
        <v>1</v>
      </c>
      <c r="J226">
        <v>0</v>
      </c>
      <c r="K226">
        <v>0</v>
      </c>
      <c r="L226" s="3" t="s">
        <v>705</v>
      </c>
      <c r="M226" s="16">
        <v>0.80879999999999996</v>
      </c>
      <c r="N226" t="s">
        <v>571</v>
      </c>
      <c r="O226">
        <v>3</v>
      </c>
      <c r="P226">
        <v>0</v>
      </c>
      <c r="Q226">
        <v>1</v>
      </c>
      <c r="R226">
        <v>0</v>
      </c>
      <c r="S226">
        <v>0</v>
      </c>
      <c r="T226">
        <v>0</v>
      </c>
      <c r="U226">
        <v>60</v>
      </c>
      <c r="V226" t="s">
        <v>706</v>
      </c>
      <c r="W226" s="3"/>
    </row>
    <row r="227" spans="1:23">
      <c r="A227" t="s">
        <v>660</v>
      </c>
      <c r="B227">
        <v>1078444</v>
      </c>
      <c r="C227" s="16">
        <v>1078.444</v>
      </c>
      <c r="D227" s="16">
        <v>28.2</v>
      </c>
      <c r="E227">
        <v>0</v>
      </c>
      <c r="F227" s="16">
        <v>72.8</v>
      </c>
      <c r="G227">
        <v>0</v>
      </c>
      <c r="H227" s="16">
        <v>1.6</v>
      </c>
      <c r="I227">
        <v>1</v>
      </c>
      <c r="J227">
        <v>0</v>
      </c>
      <c r="K227">
        <v>0</v>
      </c>
      <c r="L227" s="3" t="s">
        <v>705</v>
      </c>
      <c r="M227" s="16">
        <v>0.78772999999999993</v>
      </c>
      <c r="N227" t="s">
        <v>571</v>
      </c>
      <c r="O227">
        <v>3</v>
      </c>
      <c r="P227">
        <v>0</v>
      </c>
      <c r="Q227">
        <v>1</v>
      </c>
      <c r="R227">
        <v>0</v>
      </c>
      <c r="S227">
        <v>0</v>
      </c>
      <c r="T227">
        <v>0</v>
      </c>
      <c r="U227">
        <v>100</v>
      </c>
      <c r="V227" t="s">
        <v>704</v>
      </c>
      <c r="W227" s="3"/>
    </row>
    <row r="228" spans="1:23">
      <c r="A228" t="s">
        <v>661</v>
      </c>
      <c r="B228">
        <v>1083444</v>
      </c>
      <c r="C228" s="16">
        <v>1083.444</v>
      </c>
      <c r="D228" s="16">
        <v>28.2</v>
      </c>
      <c r="E228">
        <v>0</v>
      </c>
      <c r="F228" s="16">
        <v>72.5</v>
      </c>
      <c r="G228">
        <v>0</v>
      </c>
      <c r="H228" s="16">
        <v>1.1000000000000001</v>
      </c>
      <c r="I228">
        <v>1</v>
      </c>
      <c r="J228">
        <v>0</v>
      </c>
      <c r="K228">
        <v>0</v>
      </c>
      <c r="L228" s="3" t="s">
        <v>705</v>
      </c>
      <c r="M228" s="16">
        <v>0.81333</v>
      </c>
      <c r="N228" t="s">
        <v>571</v>
      </c>
      <c r="O228">
        <v>3</v>
      </c>
      <c r="P228">
        <v>0</v>
      </c>
      <c r="Q228">
        <v>1</v>
      </c>
      <c r="R228">
        <v>0</v>
      </c>
      <c r="S228">
        <v>0</v>
      </c>
      <c r="T228">
        <v>0</v>
      </c>
      <c r="U228">
        <v>100</v>
      </c>
      <c r="V228" t="s">
        <v>704</v>
      </c>
      <c r="W228" s="3"/>
    </row>
    <row r="229" spans="1:23">
      <c r="A229" t="s">
        <v>662</v>
      </c>
      <c r="B229">
        <v>1088444</v>
      </c>
      <c r="C229" s="16">
        <v>1088.444</v>
      </c>
      <c r="D229" s="16">
        <v>28.1</v>
      </c>
      <c r="E229">
        <v>0</v>
      </c>
      <c r="F229" s="16">
        <v>72.3</v>
      </c>
      <c r="G229">
        <v>0</v>
      </c>
      <c r="H229" s="16">
        <v>1.6</v>
      </c>
      <c r="I229">
        <v>1</v>
      </c>
      <c r="J229">
        <v>0</v>
      </c>
      <c r="K229">
        <v>0</v>
      </c>
      <c r="L229" s="3" t="s">
        <v>705</v>
      </c>
      <c r="M229" s="16">
        <v>0.83066999999999991</v>
      </c>
      <c r="N229" t="s">
        <v>571</v>
      </c>
      <c r="O229">
        <v>3</v>
      </c>
      <c r="P229">
        <v>0</v>
      </c>
      <c r="Q229">
        <v>1</v>
      </c>
      <c r="R229">
        <v>0</v>
      </c>
      <c r="S229">
        <v>0</v>
      </c>
      <c r="T229">
        <v>0</v>
      </c>
      <c r="U229">
        <v>100</v>
      </c>
      <c r="V229" t="s">
        <v>704</v>
      </c>
      <c r="W229" s="3"/>
    </row>
    <row r="230" spans="1:23">
      <c r="A230" t="s">
        <v>663</v>
      </c>
      <c r="B230">
        <v>1093443</v>
      </c>
      <c r="C230" s="16">
        <v>1093.443</v>
      </c>
      <c r="D230" s="16">
        <v>28.1</v>
      </c>
      <c r="E230">
        <v>0</v>
      </c>
      <c r="F230" s="16">
        <v>71.8</v>
      </c>
      <c r="G230">
        <v>0</v>
      </c>
      <c r="H230" s="16">
        <v>4.2</v>
      </c>
      <c r="I230">
        <v>1</v>
      </c>
      <c r="J230">
        <v>0</v>
      </c>
      <c r="K230">
        <v>0</v>
      </c>
      <c r="L230" s="3" t="s">
        <v>705</v>
      </c>
      <c r="M230" s="16">
        <v>0.8178700000000001</v>
      </c>
      <c r="N230" t="s">
        <v>571</v>
      </c>
      <c r="O230">
        <v>3</v>
      </c>
      <c r="P230">
        <v>0</v>
      </c>
      <c r="Q230">
        <v>1</v>
      </c>
      <c r="R230">
        <v>0</v>
      </c>
      <c r="S230">
        <v>0</v>
      </c>
      <c r="T230">
        <v>0</v>
      </c>
      <c r="U230">
        <v>100</v>
      </c>
      <c r="V230" t="s">
        <v>704</v>
      </c>
      <c r="W230" s="3"/>
    </row>
    <row r="231" spans="1:23">
      <c r="A231" t="s">
        <v>664</v>
      </c>
      <c r="B231">
        <v>1098443</v>
      </c>
      <c r="C231" s="16">
        <v>1098.443</v>
      </c>
      <c r="D231" s="16">
        <v>28</v>
      </c>
      <c r="E231">
        <v>0</v>
      </c>
      <c r="F231" s="16">
        <v>71.599999999999994</v>
      </c>
      <c r="G231">
        <v>0</v>
      </c>
      <c r="H231" s="16">
        <v>2.4</v>
      </c>
      <c r="I231">
        <v>1</v>
      </c>
      <c r="J231">
        <v>0</v>
      </c>
      <c r="K231">
        <v>0</v>
      </c>
      <c r="L231" s="3" t="s">
        <v>705</v>
      </c>
      <c r="M231" s="16">
        <v>0.82186999999999999</v>
      </c>
      <c r="N231" t="s">
        <v>571</v>
      </c>
      <c r="O231">
        <v>3</v>
      </c>
      <c r="P231">
        <v>0</v>
      </c>
      <c r="Q231">
        <v>1</v>
      </c>
      <c r="R231">
        <v>0</v>
      </c>
      <c r="S231">
        <v>0</v>
      </c>
      <c r="T231">
        <v>0</v>
      </c>
      <c r="U231">
        <v>100</v>
      </c>
      <c r="V231" t="s">
        <v>704</v>
      </c>
      <c r="W231" s="3"/>
    </row>
    <row r="232" spans="1:23">
      <c r="A232" t="s">
        <v>666</v>
      </c>
      <c r="B232">
        <v>1103461</v>
      </c>
      <c r="C232" s="16">
        <v>1103.461</v>
      </c>
      <c r="D232" s="16">
        <v>27.9</v>
      </c>
      <c r="E232">
        <v>0</v>
      </c>
      <c r="F232" s="16">
        <v>71.5</v>
      </c>
      <c r="G232">
        <v>0</v>
      </c>
      <c r="H232" s="16">
        <v>2.2999999999999998</v>
      </c>
      <c r="I232">
        <v>1</v>
      </c>
      <c r="J232">
        <v>0</v>
      </c>
      <c r="K232">
        <v>0</v>
      </c>
      <c r="L232" s="3" t="s">
        <v>705</v>
      </c>
      <c r="M232" s="16">
        <v>0.80906999999999996</v>
      </c>
      <c r="N232" t="s">
        <v>604</v>
      </c>
      <c r="O232">
        <v>3</v>
      </c>
      <c r="P232">
        <v>0</v>
      </c>
      <c r="Q232">
        <v>0</v>
      </c>
      <c r="R232">
        <v>1</v>
      </c>
      <c r="S232">
        <v>0</v>
      </c>
      <c r="T232">
        <v>0</v>
      </c>
      <c r="U232">
        <v>100</v>
      </c>
      <c r="V232" t="s">
        <v>704</v>
      </c>
      <c r="W232" s="3"/>
    </row>
    <row r="233" spans="1:23">
      <c r="A233" t="s">
        <v>667</v>
      </c>
      <c r="B233">
        <v>1108444</v>
      </c>
      <c r="C233" s="16">
        <v>1108.444</v>
      </c>
      <c r="D233" s="16">
        <v>27.9</v>
      </c>
      <c r="E233">
        <v>0</v>
      </c>
      <c r="F233" s="16">
        <v>73.3</v>
      </c>
      <c r="G233">
        <v>0</v>
      </c>
      <c r="H233" s="16">
        <v>2</v>
      </c>
      <c r="I233">
        <v>1</v>
      </c>
      <c r="J233">
        <v>0</v>
      </c>
      <c r="K233">
        <v>0</v>
      </c>
      <c r="L233" s="3" t="s">
        <v>705</v>
      </c>
      <c r="M233" s="16">
        <v>0.107</v>
      </c>
      <c r="N233" t="s">
        <v>604</v>
      </c>
      <c r="O233">
        <v>3</v>
      </c>
      <c r="P233">
        <v>0</v>
      </c>
      <c r="Q233">
        <v>0</v>
      </c>
      <c r="R233">
        <v>1</v>
      </c>
      <c r="S233">
        <v>0</v>
      </c>
      <c r="T233">
        <v>0</v>
      </c>
      <c r="U233">
        <v>100</v>
      </c>
      <c r="V233" t="s">
        <v>704</v>
      </c>
      <c r="W233" s="3"/>
    </row>
    <row r="234" spans="1:23">
      <c r="A234" t="s">
        <v>669</v>
      </c>
      <c r="B234">
        <v>1113458</v>
      </c>
      <c r="C234" s="16">
        <v>1113.4580000000001</v>
      </c>
      <c r="D234" s="16">
        <v>28</v>
      </c>
      <c r="E234">
        <v>0</v>
      </c>
      <c r="F234" s="16">
        <v>78.7</v>
      </c>
      <c r="G234">
        <v>0</v>
      </c>
      <c r="H234" s="16">
        <v>2.1</v>
      </c>
      <c r="I234">
        <v>1</v>
      </c>
      <c r="J234">
        <v>0</v>
      </c>
      <c r="K234">
        <v>0</v>
      </c>
      <c r="L234" s="3" t="s">
        <v>705</v>
      </c>
      <c r="M234" s="16">
        <v>0</v>
      </c>
      <c r="N234" t="s">
        <v>610</v>
      </c>
      <c r="O234">
        <v>3</v>
      </c>
      <c r="P234">
        <v>0</v>
      </c>
      <c r="Q234">
        <v>0</v>
      </c>
      <c r="R234">
        <v>0</v>
      </c>
      <c r="S234">
        <v>0</v>
      </c>
      <c r="T234">
        <v>0</v>
      </c>
      <c r="U234">
        <v>100</v>
      </c>
      <c r="V234" t="s">
        <v>704</v>
      </c>
      <c r="W234" s="3"/>
    </row>
    <row r="235" spans="1:23">
      <c r="A235" t="s">
        <v>670</v>
      </c>
      <c r="B235">
        <v>1118443</v>
      </c>
      <c r="C235" s="16">
        <v>1118.443</v>
      </c>
      <c r="D235" s="16">
        <v>28</v>
      </c>
      <c r="E235">
        <v>0</v>
      </c>
      <c r="F235" s="16">
        <v>79.8</v>
      </c>
      <c r="G235">
        <v>0</v>
      </c>
      <c r="H235" s="16">
        <v>2.8</v>
      </c>
      <c r="I235">
        <v>1</v>
      </c>
      <c r="J235">
        <v>0</v>
      </c>
      <c r="K235">
        <v>0</v>
      </c>
      <c r="L235" s="3" t="s">
        <v>705</v>
      </c>
      <c r="M235" s="16">
        <v>0</v>
      </c>
      <c r="N235" t="s">
        <v>385</v>
      </c>
      <c r="O235">
        <v>4</v>
      </c>
      <c r="P235">
        <v>0</v>
      </c>
      <c r="Q235">
        <v>0</v>
      </c>
      <c r="R235">
        <v>0</v>
      </c>
      <c r="S235">
        <v>0</v>
      </c>
      <c r="T235">
        <v>0</v>
      </c>
      <c r="U235">
        <v>100</v>
      </c>
      <c r="V235" t="s">
        <v>704</v>
      </c>
      <c r="W235" s="3" t="s">
        <v>671</v>
      </c>
    </row>
    <row r="236" spans="1:23">
      <c r="A236" t="s">
        <v>673</v>
      </c>
      <c r="B236">
        <v>1123474</v>
      </c>
      <c r="C236" s="16">
        <v>1123.4739999999999</v>
      </c>
      <c r="D236" s="16">
        <v>28.1</v>
      </c>
      <c r="E236">
        <v>0</v>
      </c>
      <c r="F236" s="16">
        <v>82.2</v>
      </c>
      <c r="G236">
        <v>0</v>
      </c>
      <c r="H236" s="16">
        <v>2.9</v>
      </c>
      <c r="I236">
        <v>1</v>
      </c>
      <c r="J236">
        <v>0</v>
      </c>
      <c r="K236">
        <v>0</v>
      </c>
      <c r="L236" s="3" t="s">
        <v>705</v>
      </c>
      <c r="M236" s="16">
        <v>0</v>
      </c>
      <c r="N236" t="s">
        <v>567</v>
      </c>
      <c r="O236">
        <v>4</v>
      </c>
      <c r="P236">
        <v>0</v>
      </c>
      <c r="Q236">
        <v>0</v>
      </c>
      <c r="R236">
        <v>0</v>
      </c>
      <c r="S236">
        <v>0</v>
      </c>
      <c r="T236">
        <v>0</v>
      </c>
      <c r="U236">
        <v>100</v>
      </c>
      <c r="V236" t="s">
        <v>704</v>
      </c>
      <c r="W236" s="3"/>
    </row>
    <row r="237" spans="1:23">
      <c r="A237" t="s">
        <v>674</v>
      </c>
      <c r="B237">
        <v>1128474</v>
      </c>
      <c r="C237" s="16">
        <v>1128.4739999999999</v>
      </c>
      <c r="D237" s="16">
        <v>28</v>
      </c>
      <c r="E237">
        <v>0</v>
      </c>
      <c r="F237" s="16">
        <v>83</v>
      </c>
      <c r="G237">
        <v>0</v>
      </c>
      <c r="H237" s="16">
        <v>3</v>
      </c>
      <c r="I237">
        <v>1</v>
      </c>
      <c r="J237">
        <v>0</v>
      </c>
      <c r="K237">
        <v>0</v>
      </c>
      <c r="L237" s="3" t="s">
        <v>705</v>
      </c>
      <c r="M237" s="16">
        <v>0</v>
      </c>
      <c r="N237" t="s">
        <v>571</v>
      </c>
      <c r="O237">
        <v>4</v>
      </c>
      <c r="P237">
        <v>0</v>
      </c>
      <c r="Q237">
        <v>1</v>
      </c>
      <c r="R237">
        <v>0</v>
      </c>
      <c r="S237">
        <v>0</v>
      </c>
      <c r="T237">
        <v>1</v>
      </c>
      <c r="U237">
        <v>100</v>
      </c>
      <c r="V237" t="s">
        <v>704</v>
      </c>
      <c r="W237" s="3"/>
    </row>
    <row r="238" spans="1:23">
      <c r="A238" t="s">
        <v>676</v>
      </c>
      <c r="B238">
        <v>1133517</v>
      </c>
      <c r="C238" s="16">
        <v>1133.5170000000001</v>
      </c>
      <c r="D238" s="16">
        <v>28</v>
      </c>
      <c r="E238">
        <v>1</v>
      </c>
      <c r="F238" s="16">
        <v>83</v>
      </c>
      <c r="G238">
        <v>1</v>
      </c>
      <c r="H238" s="16">
        <v>2.6</v>
      </c>
      <c r="I238">
        <v>1</v>
      </c>
      <c r="J238">
        <v>0</v>
      </c>
      <c r="K238">
        <v>0</v>
      </c>
      <c r="L238" s="3" t="s">
        <v>705</v>
      </c>
      <c r="M238" s="16">
        <v>0.69307000000000007</v>
      </c>
      <c r="N238" t="s">
        <v>571</v>
      </c>
      <c r="O238">
        <v>4</v>
      </c>
      <c r="P238">
        <v>0</v>
      </c>
      <c r="Q238">
        <v>1</v>
      </c>
      <c r="R238">
        <v>0</v>
      </c>
      <c r="S238">
        <v>0</v>
      </c>
      <c r="T238">
        <v>0</v>
      </c>
      <c r="U238">
        <v>60</v>
      </c>
      <c r="V238" t="s">
        <v>706</v>
      </c>
      <c r="W238" s="3"/>
    </row>
    <row r="239" spans="1:23">
      <c r="A239" t="s">
        <v>678</v>
      </c>
      <c r="B239">
        <v>1138518</v>
      </c>
      <c r="C239" s="16">
        <v>1138.518</v>
      </c>
      <c r="D239" s="16">
        <v>28</v>
      </c>
      <c r="E239">
        <v>1</v>
      </c>
      <c r="F239" s="16">
        <v>83</v>
      </c>
      <c r="G239">
        <v>1</v>
      </c>
      <c r="H239" s="16">
        <v>2</v>
      </c>
      <c r="I239">
        <v>1</v>
      </c>
      <c r="J239">
        <v>0</v>
      </c>
      <c r="K239">
        <v>0</v>
      </c>
      <c r="L239" s="3" t="s">
        <v>705</v>
      </c>
      <c r="M239" s="16">
        <v>0.70772999999999997</v>
      </c>
      <c r="N239" t="s">
        <v>571</v>
      </c>
      <c r="O239">
        <v>4</v>
      </c>
      <c r="P239">
        <v>0</v>
      </c>
      <c r="Q239">
        <v>1</v>
      </c>
      <c r="R239">
        <v>0</v>
      </c>
      <c r="S239">
        <v>0</v>
      </c>
      <c r="T239">
        <v>0</v>
      </c>
      <c r="U239">
        <v>60</v>
      </c>
      <c r="V239" t="s">
        <v>706</v>
      </c>
      <c r="W239" s="3"/>
    </row>
    <row r="240" spans="1:23">
      <c r="A240" t="s">
        <v>680</v>
      </c>
      <c r="B240">
        <v>1143518</v>
      </c>
      <c r="C240" s="16">
        <v>1143.518</v>
      </c>
      <c r="D240" s="16">
        <v>28</v>
      </c>
      <c r="E240">
        <v>1</v>
      </c>
      <c r="F240" s="16">
        <v>83</v>
      </c>
      <c r="G240">
        <v>1</v>
      </c>
      <c r="H240" s="16">
        <v>1.5</v>
      </c>
      <c r="I240">
        <v>1</v>
      </c>
      <c r="J240">
        <v>0</v>
      </c>
      <c r="K240">
        <v>0</v>
      </c>
      <c r="L240" s="3" t="s">
        <v>705</v>
      </c>
      <c r="M240" s="16">
        <v>0.78107000000000004</v>
      </c>
      <c r="N240" t="s">
        <v>571</v>
      </c>
      <c r="O240">
        <v>4</v>
      </c>
      <c r="P240">
        <v>0</v>
      </c>
      <c r="Q240">
        <v>1</v>
      </c>
      <c r="R240">
        <v>0</v>
      </c>
      <c r="S240">
        <v>0</v>
      </c>
      <c r="T240">
        <v>0</v>
      </c>
      <c r="U240">
        <v>60</v>
      </c>
      <c r="V240" t="s">
        <v>706</v>
      </c>
      <c r="W240" s="3"/>
    </row>
    <row r="241" spans="1:23">
      <c r="A241" t="s">
        <v>682</v>
      </c>
      <c r="B241">
        <v>1148517</v>
      </c>
      <c r="C241" s="16">
        <v>1148.5170000000001</v>
      </c>
      <c r="D241" s="16">
        <v>28</v>
      </c>
      <c r="E241">
        <v>1</v>
      </c>
      <c r="F241" s="16">
        <v>83</v>
      </c>
      <c r="G241">
        <v>1</v>
      </c>
      <c r="H241" s="16">
        <v>0.3</v>
      </c>
      <c r="I241">
        <v>1</v>
      </c>
      <c r="J241">
        <v>0</v>
      </c>
      <c r="K241">
        <v>0</v>
      </c>
      <c r="L241" s="3" t="s">
        <v>705</v>
      </c>
      <c r="M241" s="16">
        <v>0.78079999999999994</v>
      </c>
      <c r="N241" t="s">
        <v>571</v>
      </c>
      <c r="O241">
        <v>4</v>
      </c>
      <c r="P241">
        <v>0</v>
      </c>
      <c r="Q241">
        <v>1</v>
      </c>
      <c r="R241">
        <v>0</v>
      </c>
      <c r="S241">
        <v>0</v>
      </c>
      <c r="T241">
        <v>0</v>
      </c>
      <c r="U241">
        <v>60</v>
      </c>
      <c r="V241" t="s">
        <v>706</v>
      </c>
      <c r="W241" s="3"/>
    </row>
    <row r="242" spans="1:23">
      <c r="A242" t="s">
        <v>684</v>
      </c>
      <c r="B242">
        <v>1153517</v>
      </c>
      <c r="C242" s="16">
        <v>1153.5170000000001</v>
      </c>
      <c r="D242" s="16">
        <v>28</v>
      </c>
      <c r="E242">
        <v>1</v>
      </c>
      <c r="F242" s="16">
        <v>83</v>
      </c>
      <c r="G242">
        <v>1</v>
      </c>
      <c r="H242" s="16">
        <v>1.7</v>
      </c>
      <c r="I242">
        <v>1</v>
      </c>
      <c r="J242">
        <v>0</v>
      </c>
      <c r="K242">
        <v>0</v>
      </c>
      <c r="L242" s="3" t="s">
        <v>705</v>
      </c>
      <c r="M242" s="16">
        <v>0.79519999999999991</v>
      </c>
      <c r="N242" t="s">
        <v>571</v>
      </c>
      <c r="O242">
        <v>4</v>
      </c>
      <c r="P242">
        <v>0</v>
      </c>
      <c r="Q242">
        <v>1</v>
      </c>
      <c r="R242">
        <v>0</v>
      </c>
      <c r="S242">
        <v>0</v>
      </c>
      <c r="T242">
        <v>0</v>
      </c>
      <c r="U242">
        <v>60</v>
      </c>
      <c r="V242" t="s">
        <v>706</v>
      </c>
      <c r="W242" s="3"/>
    </row>
    <row r="243" spans="1:23">
      <c r="A243" t="s">
        <v>686</v>
      </c>
      <c r="B243">
        <v>1158517</v>
      </c>
      <c r="C243" s="16">
        <v>1158.5170000000001</v>
      </c>
      <c r="D243" s="16">
        <v>28</v>
      </c>
      <c r="E243">
        <v>1</v>
      </c>
      <c r="F243" s="16">
        <v>83</v>
      </c>
      <c r="G243">
        <v>1</v>
      </c>
      <c r="H243" s="16">
        <v>1.7</v>
      </c>
      <c r="I243">
        <v>1</v>
      </c>
      <c r="J243">
        <v>0</v>
      </c>
      <c r="K243">
        <v>0</v>
      </c>
      <c r="L243" s="3" t="s">
        <v>705</v>
      </c>
      <c r="M243" s="16">
        <v>0.74533000000000005</v>
      </c>
      <c r="N243" t="s">
        <v>571</v>
      </c>
      <c r="O243">
        <v>4</v>
      </c>
      <c r="P243">
        <v>0</v>
      </c>
      <c r="Q243">
        <v>1</v>
      </c>
      <c r="R243">
        <v>0</v>
      </c>
      <c r="S243">
        <v>0</v>
      </c>
      <c r="T243">
        <v>0</v>
      </c>
      <c r="U243">
        <v>60</v>
      </c>
      <c r="V243" t="s">
        <v>706</v>
      </c>
      <c r="W243" s="3"/>
    </row>
    <row r="244" spans="1:23">
      <c r="A244" t="s">
        <v>688</v>
      </c>
      <c r="B244">
        <v>1163517</v>
      </c>
      <c r="C244" s="16">
        <v>1163.5170000000001</v>
      </c>
      <c r="D244" s="16">
        <v>28</v>
      </c>
      <c r="E244">
        <v>1</v>
      </c>
      <c r="F244" s="16">
        <v>83</v>
      </c>
      <c r="G244">
        <v>1</v>
      </c>
      <c r="H244" s="16">
        <v>5.7</v>
      </c>
      <c r="I244">
        <v>1</v>
      </c>
      <c r="J244">
        <v>0</v>
      </c>
      <c r="K244">
        <v>0</v>
      </c>
      <c r="L244" s="3" t="s">
        <v>705</v>
      </c>
      <c r="M244" s="16">
        <v>0.74612999999999996</v>
      </c>
      <c r="N244" t="s">
        <v>571</v>
      </c>
      <c r="O244">
        <v>4</v>
      </c>
      <c r="P244">
        <v>0</v>
      </c>
      <c r="Q244">
        <v>1</v>
      </c>
      <c r="R244">
        <v>0</v>
      </c>
      <c r="S244">
        <v>0</v>
      </c>
      <c r="T244">
        <v>0</v>
      </c>
      <c r="U244">
        <v>60</v>
      </c>
      <c r="V244" t="s">
        <v>706</v>
      </c>
      <c r="W244" s="3"/>
    </row>
    <row r="245" spans="1:23">
      <c r="A245" t="s">
        <v>690</v>
      </c>
      <c r="B245">
        <v>1168518</v>
      </c>
      <c r="C245" s="16">
        <v>1168.518</v>
      </c>
      <c r="D245" s="16">
        <v>28</v>
      </c>
      <c r="E245">
        <v>1</v>
      </c>
      <c r="F245" s="16">
        <v>83</v>
      </c>
      <c r="G245">
        <v>1</v>
      </c>
      <c r="H245" s="16">
        <v>2</v>
      </c>
      <c r="I245">
        <v>1</v>
      </c>
      <c r="J245">
        <v>0</v>
      </c>
      <c r="K245">
        <v>0</v>
      </c>
      <c r="L245" s="3" t="s">
        <v>705</v>
      </c>
      <c r="M245" s="16">
        <v>0.79920000000000002</v>
      </c>
      <c r="N245" t="s">
        <v>571</v>
      </c>
      <c r="O245">
        <v>4</v>
      </c>
      <c r="P245">
        <v>0</v>
      </c>
      <c r="Q245">
        <v>1</v>
      </c>
      <c r="R245">
        <v>0</v>
      </c>
      <c r="S245">
        <v>0</v>
      </c>
      <c r="T245">
        <v>0</v>
      </c>
      <c r="U245">
        <v>60</v>
      </c>
      <c r="V245" t="s">
        <v>706</v>
      </c>
      <c r="W245" s="3"/>
    </row>
    <row r="246" spans="1:23">
      <c r="A246" t="s">
        <v>692</v>
      </c>
      <c r="B246">
        <v>1173517</v>
      </c>
      <c r="C246" s="16">
        <v>1173.5170000000001</v>
      </c>
      <c r="D246" s="16">
        <v>28</v>
      </c>
      <c r="E246">
        <v>1</v>
      </c>
      <c r="F246" s="16">
        <v>83</v>
      </c>
      <c r="G246">
        <v>1</v>
      </c>
      <c r="H246" s="16">
        <v>2.2000000000000002</v>
      </c>
      <c r="I246">
        <v>1</v>
      </c>
      <c r="J246">
        <v>0</v>
      </c>
      <c r="K246">
        <v>0</v>
      </c>
      <c r="L246" s="3" t="s">
        <v>705</v>
      </c>
      <c r="M246" s="16">
        <v>0.80747000000000002</v>
      </c>
      <c r="N246" t="s">
        <v>571</v>
      </c>
      <c r="O246">
        <v>4</v>
      </c>
      <c r="P246">
        <v>0</v>
      </c>
      <c r="Q246">
        <v>1</v>
      </c>
      <c r="R246">
        <v>0</v>
      </c>
      <c r="S246">
        <v>0</v>
      </c>
      <c r="T246">
        <v>0</v>
      </c>
      <c r="U246">
        <v>60</v>
      </c>
      <c r="V246" t="s">
        <v>706</v>
      </c>
      <c r="W246" s="3"/>
    </row>
  </sheetData>
  <mergeCells count="1">
    <mergeCell ref="A1:W2"/>
  </mergeCells>
  <conditionalFormatting sqref="U5:U246">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214"/>
  <sheetViews>
    <sheetView workbookViewId="0">
      <selection sqref="A1:O2"/>
    </sheetView>
  </sheetViews>
  <sheetFormatPr defaultRowHeight="13.8"/>
  <cols>
    <col min="1" max="4" width="13" customWidth="1"/>
    <col min="5" max="5" width="23" customWidth="1"/>
    <col min="6" max="8" width="15" customWidth="1"/>
    <col min="9" max="9" width="13" customWidth="1"/>
    <col min="10" max="10" width="12" customWidth="1"/>
    <col min="11" max="11" width="29" customWidth="1"/>
    <col min="12" max="13" width="16" customWidth="1"/>
    <col min="14" max="14" width="48" customWidth="1"/>
    <col min="15" max="15" width="36" customWidth="1"/>
  </cols>
  <sheetData>
    <row r="1" spans="1:15" ht="24" customHeight="1">
      <c r="A1" s="56" t="s">
        <v>710</v>
      </c>
      <c r="B1" s="56"/>
      <c r="C1" s="56"/>
      <c r="D1" s="56"/>
      <c r="E1" s="56"/>
      <c r="F1" s="56"/>
      <c r="G1" s="56"/>
      <c r="H1" s="56"/>
      <c r="I1" s="56"/>
      <c r="J1" s="56"/>
      <c r="K1" s="56"/>
      <c r="L1" s="56"/>
      <c r="M1" s="56"/>
      <c r="N1" s="56"/>
      <c r="O1" s="56"/>
    </row>
    <row r="2" spans="1:15" ht="24" customHeight="1">
      <c r="A2" s="56"/>
      <c r="B2" s="56"/>
      <c r="C2" s="56"/>
      <c r="D2" s="56"/>
      <c r="E2" s="56"/>
      <c r="F2" s="56"/>
      <c r="G2" s="56"/>
      <c r="H2" s="56"/>
      <c r="I2" s="56"/>
      <c r="J2" s="56"/>
      <c r="K2" s="56"/>
      <c r="L2" s="56"/>
      <c r="M2" s="56"/>
      <c r="N2" s="56"/>
      <c r="O2" s="56"/>
    </row>
    <row r="4" spans="1:15" ht="22.35" customHeight="1">
      <c r="A4" s="10" t="s">
        <v>711</v>
      </c>
      <c r="B4" s="10" t="s">
        <v>177</v>
      </c>
      <c r="C4" s="10" t="s">
        <v>179</v>
      </c>
      <c r="D4" s="10" t="s">
        <v>180</v>
      </c>
      <c r="E4" s="10" t="s">
        <v>712</v>
      </c>
      <c r="F4" s="10" t="s">
        <v>713</v>
      </c>
      <c r="G4" s="10" t="s">
        <v>714</v>
      </c>
      <c r="H4" s="10" t="s">
        <v>715</v>
      </c>
      <c r="I4" s="10" t="s">
        <v>83</v>
      </c>
      <c r="J4" s="10" t="s">
        <v>716</v>
      </c>
      <c r="K4" s="10" t="s">
        <v>84</v>
      </c>
      <c r="L4" s="10" t="s">
        <v>188</v>
      </c>
      <c r="M4" s="10" t="s">
        <v>717</v>
      </c>
      <c r="N4" s="10" t="s">
        <v>225</v>
      </c>
      <c r="O4" s="10" t="s">
        <v>229</v>
      </c>
    </row>
    <row r="5" spans="1:15">
      <c r="A5" t="s">
        <v>718</v>
      </c>
      <c r="B5" t="s">
        <v>230</v>
      </c>
      <c r="C5">
        <v>5207</v>
      </c>
      <c r="D5" s="16">
        <v>5.2069999999999999</v>
      </c>
      <c r="E5" t="s">
        <v>719</v>
      </c>
      <c r="F5" s="16">
        <v>21.8</v>
      </c>
      <c r="G5" s="16">
        <v>21.8</v>
      </c>
      <c r="H5" s="16">
        <v>21.8</v>
      </c>
      <c r="I5" t="s">
        <v>98</v>
      </c>
      <c r="J5">
        <v>1</v>
      </c>
      <c r="K5" t="s">
        <v>720</v>
      </c>
      <c r="L5" t="s">
        <v>703</v>
      </c>
      <c r="M5">
        <v>0</v>
      </c>
      <c r="N5" s="3" t="s">
        <v>238</v>
      </c>
      <c r="O5" s="3" t="s">
        <v>240</v>
      </c>
    </row>
    <row r="6" spans="1:15">
      <c r="A6" t="s">
        <v>721</v>
      </c>
      <c r="B6" t="s">
        <v>230</v>
      </c>
      <c r="C6">
        <v>5207</v>
      </c>
      <c r="D6" s="16">
        <v>5.2069999999999999</v>
      </c>
      <c r="E6" t="s">
        <v>722</v>
      </c>
      <c r="F6" s="16">
        <v>69.099999999999994</v>
      </c>
      <c r="G6" s="16">
        <v>69.099999999999994</v>
      </c>
      <c r="H6" s="16">
        <v>69.099999999999994</v>
      </c>
      <c r="I6" t="s">
        <v>140</v>
      </c>
      <c r="J6">
        <v>1</v>
      </c>
      <c r="K6" t="s">
        <v>720</v>
      </c>
      <c r="L6" t="s">
        <v>703</v>
      </c>
      <c r="M6">
        <v>0</v>
      </c>
      <c r="N6" s="3" t="s">
        <v>238</v>
      </c>
      <c r="O6" s="3" t="s">
        <v>240</v>
      </c>
    </row>
    <row r="7" spans="1:15">
      <c r="A7" t="s">
        <v>723</v>
      </c>
      <c r="B7" t="s">
        <v>230</v>
      </c>
      <c r="C7">
        <v>5207</v>
      </c>
      <c r="D7" s="16">
        <v>5.2069999999999999</v>
      </c>
      <c r="E7" t="s">
        <v>724</v>
      </c>
      <c r="F7" s="16">
        <v>-9.0499999999999997E-2</v>
      </c>
      <c r="G7" s="16">
        <v>9.0499999999999997E-2</v>
      </c>
      <c r="H7" s="16">
        <v>9.0499999999999997E-2</v>
      </c>
      <c r="I7" t="s">
        <v>125</v>
      </c>
      <c r="J7">
        <v>1</v>
      </c>
      <c r="K7" t="s">
        <v>725</v>
      </c>
      <c r="L7" t="s">
        <v>703</v>
      </c>
      <c r="M7">
        <v>0</v>
      </c>
      <c r="N7" s="3" t="s">
        <v>238</v>
      </c>
      <c r="O7" s="3" t="s">
        <v>240</v>
      </c>
    </row>
    <row r="8" spans="1:15">
      <c r="A8" t="s">
        <v>726</v>
      </c>
      <c r="B8" t="s">
        <v>230</v>
      </c>
      <c r="C8">
        <v>5207</v>
      </c>
      <c r="D8" s="16">
        <v>5.2069999999999999</v>
      </c>
      <c r="E8" t="s">
        <v>727</v>
      </c>
      <c r="F8" s="16">
        <v>863</v>
      </c>
      <c r="G8" s="16">
        <v>0</v>
      </c>
      <c r="H8" s="16">
        <v>0</v>
      </c>
      <c r="I8" t="s">
        <v>728</v>
      </c>
      <c r="J8">
        <v>1</v>
      </c>
      <c r="K8" t="s">
        <v>720</v>
      </c>
      <c r="L8" t="s">
        <v>703</v>
      </c>
      <c r="M8">
        <v>0</v>
      </c>
      <c r="N8" s="3" t="s">
        <v>238</v>
      </c>
      <c r="O8" s="3" t="s">
        <v>240</v>
      </c>
    </row>
    <row r="9" spans="1:15">
      <c r="A9" t="s">
        <v>729</v>
      </c>
      <c r="B9" t="s">
        <v>230</v>
      </c>
      <c r="C9">
        <v>5207</v>
      </c>
      <c r="D9" s="16">
        <v>5.2069999999999999</v>
      </c>
      <c r="E9" t="s">
        <v>730</v>
      </c>
      <c r="F9" s="16">
        <v>0</v>
      </c>
      <c r="G9" s="16">
        <v>0</v>
      </c>
      <c r="H9" s="16">
        <v>0</v>
      </c>
      <c r="I9" t="s">
        <v>107</v>
      </c>
      <c r="J9">
        <v>1</v>
      </c>
      <c r="K9" t="s">
        <v>720</v>
      </c>
      <c r="L9" t="s">
        <v>703</v>
      </c>
      <c r="M9">
        <v>0</v>
      </c>
      <c r="N9" s="3" t="s">
        <v>238</v>
      </c>
      <c r="O9" s="3" t="s">
        <v>240</v>
      </c>
    </row>
    <row r="10" spans="1:15" ht="27.6">
      <c r="A10" t="s">
        <v>731</v>
      </c>
      <c r="B10" t="s">
        <v>256</v>
      </c>
      <c r="C10">
        <v>23639</v>
      </c>
      <c r="D10" s="16">
        <v>23.638999999999999</v>
      </c>
      <c r="E10" t="s">
        <v>719</v>
      </c>
      <c r="F10" s="16">
        <v>21.9</v>
      </c>
      <c r="G10" s="16">
        <v>21.9</v>
      </c>
      <c r="H10" s="16">
        <v>21.9</v>
      </c>
      <c r="I10" t="s">
        <v>98</v>
      </c>
      <c r="J10">
        <v>1</v>
      </c>
      <c r="K10" t="s">
        <v>720</v>
      </c>
      <c r="L10" t="s">
        <v>703</v>
      </c>
      <c r="M10">
        <v>0</v>
      </c>
      <c r="N10" s="3" t="s">
        <v>257</v>
      </c>
      <c r="O10" s="3" t="s">
        <v>240</v>
      </c>
    </row>
    <row r="11" spans="1:15" ht="27.6">
      <c r="A11" t="s">
        <v>732</v>
      </c>
      <c r="B11" t="s">
        <v>256</v>
      </c>
      <c r="C11">
        <v>23639</v>
      </c>
      <c r="D11" s="16">
        <v>23.638999999999999</v>
      </c>
      <c r="E11" t="s">
        <v>722</v>
      </c>
      <c r="F11" s="16">
        <v>69.400000000000006</v>
      </c>
      <c r="G11" s="16">
        <v>69.400000000000006</v>
      </c>
      <c r="H11" s="16">
        <v>69.400000000000006</v>
      </c>
      <c r="I11" t="s">
        <v>140</v>
      </c>
      <c r="J11">
        <v>1</v>
      </c>
      <c r="K11" t="s">
        <v>720</v>
      </c>
      <c r="L11" t="s">
        <v>703</v>
      </c>
      <c r="M11">
        <v>0</v>
      </c>
      <c r="N11" s="3" t="s">
        <v>257</v>
      </c>
      <c r="O11" s="3" t="s">
        <v>240</v>
      </c>
    </row>
    <row r="12" spans="1:15" ht="27.6">
      <c r="A12" t="s">
        <v>733</v>
      </c>
      <c r="B12" t="s">
        <v>256</v>
      </c>
      <c r="C12">
        <v>23639</v>
      </c>
      <c r="D12" s="16">
        <v>23.638999999999999</v>
      </c>
      <c r="E12" t="s">
        <v>724</v>
      </c>
      <c r="F12" s="16">
        <v>10.1952</v>
      </c>
      <c r="G12" s="16">
        <v>10.1952</v>
      </c>
      <c r="H12" s="16">
        <v>10.1952</v>
      </c>
      <c r="I12" t="s">
        <v>125</v>
      </c>
      <c r="J12">
        <v>1</v>
      </c>
      <c r="K12" t="s">
        <v>720</v>
      </c>
      <c r="L12" t="s">
        <v>703</v>
      </c>
      <c r="M12">
        <v>0</v>
      </c>
      <c r="N12" s="3" t="s">
        <v>257</v>
      </c>
      <c r="O12" s="3" t="s">
        <v>240</v>
      </c>
    </row>
    <row r="13" spans="1:15" ht="27.6">
      <c r="A13" t="s">
        <v>734</v>
      </c>
      <c r="B13" t="s">
        <v>256</v>
      </c>
      <c r="C13">
        <v>23639</v>
      </c>
      <c r="D13" s="16">
        <v>23.638999999999999</v>
      </c>
      <c r="E13" t="s">
        <v>727</v>
      </c>
      <c r="F13" s="16">
        <v>845</v>
      </c>
      <c r="G13" s="16">
        <v>1</v>
      </c>
      <c r="H13" s="16">
        <v>1</v>
      </c>
      <c r="I13" t="s">
        <v>728</v>
      </c>
      <c r="J13">
        <v>1</v>
      </c>
      <c r="K13" t="s">
        <v>720</v>
      </c>
      <c r="L13" t="s">
        <v>703</v>
      </c>
      <c r="M13">
        <v>0</v>
      </c>
      <c r="N13" s="3" t="s">
        <v>257</v>
      </c>
      <c r="O13" s="3" t="s">
        <v>240</v>
      </c>
    </row>
    <row r="14" spans="1:15" ht="27.6">
      <c r="A14" t="s">
        <v>735</v>
      </c>
      <c r="B14" t="s">
        <v>256</v>
      </c>
      <c r="C14">
        <v>23639</v>
      </c>
      <c r="D14" s="16">
        <v>23.638999999999999</v>
      </c>
      <c r="E14" t="s">
        <v>730</v>
      </c>
      <c r="F14" s="16">
        <v>0</v>
      </c>
      <c r="G14" s="16">
        <v>0</v>
      </c>
      <c r="H14" s="16">
        <v>0</v>
      </c>
      <c r="I14" t="s">
        <v>107</v>
      </c>
      <c r="J14">
        <v>1</v>
      </c>
      <c r="K14" t="s">
        <v>720</v>
      </c>
      <c r="L14" t="s">
        <v>703</v>
      </c>
      <c r="M14">
        <v>0</v>
      </c>
      <c r="N14" s="3" t="s">
        <v>257</v>
      </c>
      <c r="O14" s="3" t="s">
        <v>240</v>
      </c>
    </row>
    <row r="15" spans="1:15">
      <c r="A15" t="s">
        <v>736</v>
      </c>
      <c r="B15" t="s">
        <v>293</v>
      </c>
      <c r="C15">
        <v>28853</v>
      </c>
      <c r="D15" s="16">
        <v>28.853000000000002</v>
      </c>
      <c r="E15" t="s">
        <v>719</v>
      </c>
      <c r="F15" s="16">
        <v>21.9</v>
      </c>
      <c r="G15" s="16">
        <v>21.9</v>
      </c>
      <c r="H15" s="16">
        <v>21.9</v>
      </c>
      <c r="I15" t="s">
        <v>98</v>
      </c>
      <c r="J15">
        <v>1</v>
      </c>
      <c r="K15" t="s">
        <v>720</v>
      </c>
      <c r="L15" t="s">
        <v>703</v>
      </c>
      <c r="M15">
        <v>0</v>
      </c>
      <c r="N15" s="3" t="s">
        <v>238</v>
      </c>
      <c r="O15" s="3" t="s">
        <v>240</v>
      </c>
    </row>
    <row r="16" spans="1:15">
      <c r="A16" t="s">
        <v>737</v>
      </c>
      <c r="B16" t="s">
        <v>293</v>
      </c>
      <c r="C16">
        <v>28853</v>
      </c>
      <c r="D16" s="16">
        <v>28.853000000000002</v>
      </c>
      <c r="E16" t="s">
        <v>722</v>
      </c>
      <c r="F16" s="16">
        <v>69.2</v>
      </c>
      <c r="G16" s="16">
        <v>69.2</v>
      </c>
      <c r="H16" s="16">
        <v>69.2</v>
      </c>
      <c r="I16" t="s">
        <v>140</v>
      </c>
      <c r="J16">
        <v>1</v>
      </c>
      <c r="K16" t="s">
        <v>720</v>
      </c>
      <c r="L16" t="s">
        <v>703</v>
      </c>
      <c r="M16">
        <v>0</v>
      </c>
      <c r="N16" s="3" t="s">
        <v>238</v>
      </c>
      <c r="O16" s="3" t="s">
        <v>240</v>
      </c>
    </row>
    <row r="17" spans="1:15">
      <c r="A17" t="s">
        <v>738</v>
      </c>
      <c r="B17" t="s">
        <v>293</v>
      </c>
      <c r="C17">
        <v>28853</v>
      </c>
      <c r="D17" s="16">
        <v>28.853000000000002</v>
      </c>
      <c r="E17" t="s">
        <v>724</v>
      </c>
      <c r="F17" s="16">
        <v>-2.2595000000000001</v>
      </c>
      <c r="G17" s="16">
        <v>2.2595000000000001</v>
      </c>
      <c r="H17" s="16">
        <v>2.2595000000000001</v>
      </c>
      <c r="I17" t="s">
        <v>125</v>
      </c>
      <c r="J17">
        <v>1</v>
      </c>
      <c r="K17" t="s">
        <v>725</v>
      </c>
      <c r="L17" t="s">
        <v>703</v>
      </c>
      <c r="M17">
        <v>0</v>
      </c>
      <c r="N17" s="3" t="s">
        <v>238</v>
      </c>
      <c r="O17" s="3" t="s">
        <v>240</v>
      </c>
    </row>
    <row r="18" spans="1:15">
      <c r="A18" t="s">
        <v>739</v>
      </c>
      <c r="B18" t="s">
        <v>293</v>
      </c>
      <c r="C18">
        <v>28853</v>
      </c>
      <c r="D18" s="16">
        <v>28.853000000000002</v>
      </c>
      <c r="E18" t="s">
        <v>727</v>
      </c>
      <c r="F18" s="16">
        <v>48</v>
      </c>
      <c r="G18" s="16">
        <v>1</v>
      </c>
      <c r="H18" s="16">
        <v>1</v>
      </c>
      <c r="I18" t="s">
        <v>728</v>
      </c>
      <c r="J18">
        <v>1</v>
      </c>
      <c r="K18" t="s">
        <v>720</v>
      </c>
      <c r="L18" t="s">
        <v>703</v>
      </c>
      <c r="M18">
        <v>0</v>
      </c>
      <c r="N18" s="3" t="s">
        <v>238</v>
      </c>
      <c r="O18" s="3" t="s">
        <v>240</v>
      </c>
    </row>
    <row r="19" spans="1:15">
      <c r="A19" t="s">
        <v>740</v>
      </c>
      <c r="B19" t="s">
        <v>293</v>
      </c>
      <c r="C19">
        <v>28853</v>
      </c>
      <c r="D19" s="16">
        <v>28.853000000000002</v>
      </c>
      <c r="E19" t="s">
        <v>730</v>
      </c>
      <c r="F19" s="16">
        <v>0</v>
      </c>
      <c r="G19" s="16">
        <v>0</v>
      </c>
      <c r="H19" s="16">
        <v>0</v>
      </c>
      <c r="I19" t="s">
        <v>107</v>
      </c>
      <c r="J19">
        <v>1</v>
      </c>
      <c r="K19" t="s">
        <v>720</v>
      </c>
      <c r="L19" t="s">
        <v>703</v>
      </c>
      <c r="M19">
        <v>0</v>
      </c>
      <c r="N19" s="3" t="s">
        <v>238</v>
      </c>
      <c r="O19" s="3" t="s">
        <v>240</v>
      </c>
    </row>
    <row r="20" spans="1:15" ht="27.6">
      <c r="A20" t="s">
        <v>741</v>
      </c>
      <c r="B20" t="s">
        <v>297</v>
      </c>
      <c r="C20">
        <v>44397</v>
      </c>
      <c r="D20" s="16">
        <v>44.396999999999998</v>
      </c>
      <c r="E20" t="s">
        <v>719</v>
      </c>
      <c r="F20" s="16">
        <v>21.9</v>
      </c>
      <c r="G20" s="16">
        <v>21.9</v>
      </c>
      <c r="H20" s="16">
        <v>21.9</v>
      </c>
      <c r="I20" t="s">
        <v>98</v>
      </c>
      <c r="J20">
        <v>1</v>
      </c>
      <c r="K20" t="s">
        <v>720</v>
      </c>
      <c r="L20" t="s">
        <v>703</v>
      </c>
      <c r="M20">
        <v>0</v>
      </c>
      <c r="N20" s="3" t="s">
        <v>257</v>
      </c>
      <c r="O20" s="3" t="s">
        <v>240</v>
      </c>
    </row>
    <row r="21" spans="1:15" ht="27.6">
      <c r="A21" t="s">
        <v>742</v>
      </c>
      <c r="B21" t="s">
        <v>297</v>
      </c>
      <c r="C21">
        <v>44397</v>
      </c>
      <c r="D21" s="16">
        <v>44.396999999999998</v>
      </c>
      <c r="E21" t="s">
        <v>722</v>
      </c>
      <c r="F21" s="16">
        <v>69.099999999999994</v>
      </c>
      <c r="G21" s="16">
        <v>69.099999999999994</v>
      </c>
      <c r="H21" s="16">
        <v>69.099999999999994</v>
      </c>
      <c r="I21" t="s">
        <v>140</v>
      </c>
      <c r="J21">
        <v>1</v>
      </c>
      <c r="K21" t="s">
        <v>720</v>
      </c>
      <c r="L21" t="s">
        <v>703</v>
      </c>
      <c r="M21">
        <v>0</v>
      </c>
      <c r="N21" s="3" t="s">
        <v>257</v>
      </c>
      <c r="O21" s="3" t="s">
        <v>240</v>
      </c>
    </row>
    <row r="22" spans="1:15" ht="27.6">
      <c r="A22" t="s">
        <v>743</v>
      </c>
      <c r="B22" t="s">
        <v>297</v>
      </c>
      <c r="C22">
        <v>44397</v>
      </c>
      <c r="D22" s="16">
        <v>44.396999999999998</v>
      </c>
      <c r="E22" t="s">
        <v>724</v>
      </c>
      <c r="F22" s="16">
        <v>23.845199999999998</v>
      </c>
      <c r="G22" s="16">
        <v>23.845199999999998</v>
      </c>
      <c r="H22" s="16">
        <v>23.845199999999998</v>
      </c>
      <c r="I22" t="s">
        <v>125</v>
      </c>
      <c r="J22">
        <v>1</v>
      </c>
      <c r="K22" t="s">
        <v>720</v>
      </c>
      <c r="L22" t="s">
        <v>703</v>
      </c>
      <c r="M22">
        <v>0</v>
      </c>
      <c r="N22" s="3" t="s">
        <v>257</v>
      </c>
      <c r="O22" s="3" t="s">
        <v>240</v>
      </c>
    </row>
    <row r="23" spans="1:15" ht="27.6">
      <c r="A23" t="s">
        <v>744</v>
      </c>
      <c r="B23" t="s">
        <v>297</v>
      </c>
      <c r="C23">
        <v>44397</v>
      </c>
      <c r="D23" s="16">
        <v>44.396999999999998</v>
      </c>
      <c r="E23" t="s">
        <v>727</v>
      </c>
      <c r="F23" s="16">
        <v>839</v>
      </c>
      <c r="G23" s="16">
        <v>1</v>
      </c>
      <c r="H23" s="16">
        <v>1</v>
      </c>
      <c r="I23" t="s">
        <v>728</v>
      </c>
      <c r="J23">
        <v>1</v>
      </c>
      <c r="K23" t="s">
        <v>720</v>
      </c>
      <c r="L23" t="s">
        <v>703</v>
      </c>
      <c r="M23">
        <v>0</v>
      </c>
      <c r="N23" s="3" t="s">
        <v>257</v>
      </c>
      <c r="O23" s="3" t="s">
        <v>240</v>
      </c>
    </row>
    <row r="24" spans="1:15" ht="27.6">
      <c r="A24" t="s">
        <v>745</v>
      </c>
      <c r="B24" t="s">
        <v>297</v>
      </c>
      <c r="C24">
        <v>44397</v>
      </c>
      <c r="D24" s="16">
        <v>44.396999999999998</v>
      </c>
      <c r="E24" t="s">
        <v>730</v>
      </c>
      <c r="F24" s="16">
        <v>0</v>
      </c>
      <c r="G24" s="16">
        <v>0</v>
      </c>
      <c r="H24" s="16">
        <v>0</v>
      </c>
      <c r="I24" t="s">
        <v>107</v>
      </c>
      <c r="J24">
        <v>1</v>
      </c>
      <c r="K24" t="s">
        <v>720</v>
      </c>
      <c r="L24" t="s">
        <v>703</v>
      </c>
      <c r="M24">
        <v>0</v>
      </c>
      <c r="N24" s="3" t="s">
        <v>257</v>
      </c>
      <c r="O24" s="3" t="s">
        <v>240</v>
      </c>
    </row>
    <row r="25" spans="1:15">
      <c r="A25" t="s">
        <v>746</v>
      </c>
      <c r="B25" t="s">
        <v>301</v>
      </c>
      <c r="C25">
        <v>59953</v>
      </c>
      <c r="D25" s="16">
        <v>59.953000000000003</v>
      </c>
      <c r="E25" t="s">
        <v>719</v>
      </c>
      <c r="F25" s="16">
        <v>22.5</v>
      </c>
      <c r="G25" s="16">
        <v>22.5</v>
      </c>
      <c r="H25" s="16">
        <v>22.5</v>
      </c>
      <c r="I25" t="s">
        <v>98</v>
      </c>
      <c r="J25">
        <v>1</v>
      </c>
      <c r="K25" t="s">
        <v>720</v>
      </c>
      <c r="L25" t="s">
        <v>703</v>
      </c>
      <c r="M25">
        <v>0</v>
      </c>
      <c r="N25" s="3" t="s">
        <v>238</v>
      </c>
      <c r="O25" s="3" t="s">
        <v>240</v>
      </c>
    </row>
    <row r="26" spans="1:15">
      <c r="A26" t="s">
        <v>747</v>
      </c>
      <c r="B26" t="s">
        <v>301</v>
      </c>
      <c r="C26">
        <v>59953</v>
      </c>
      <c r="D26" s="16">
        <v>59.953000000000003</v>
      </c>
      <c r="E26" t="s">
        <v>722</v>
      </c>
      <c r="F26" s="16">
        <v>81</v>
      </c>
      <c r="G26" s="16">
        <v>81</v>
      </c>
      <c r="H26" s="16">
        <v>81</v>
      </c>
      <c r="I26" t="s">
        <v>140</v>
      </c>
      <c r="J26">
        <v>1</v>
      </c>
      <c r="K26" t="s">
        <v>720</v>
      </c>
      <c r="L26" t="s">
        <v>703</v>
      </c>
      <c r="M26">
        <v>0</v>
      </c>
      <c r="N26" s="3" t="s">
        <v>238</v>
      </c>
      <c r="O26" s="3" t="s">
        <v>240</v>
      </c>
    </row>
    <row r="27" spans="1:15">
      <c r="A27" t="s">
        <v>748</v>
      </c>
      <c r="B27" t="s">
        <v>301</v>
      </c>
      <c r="C27">
        <v>59953</v>
      </c>
      <c r="D27" s="16">
        <v>59.953000000000003</v>
      </c>
      <c r="E27" t="s">
        <v>724</v>
      </c>
      <c r="F27" s="16">
        <v>-2.3119000000000001</v>
      </c>
      <c r="G27" s="16">
        <v>2.3119000000000001</v>
      </c>
      <c r="H27" s="16">
        <v>2.3119000000000001</v>
      </c>
      <c r="I27" t="s">
        <v>125</v>
      </c>
      <c r="J27">
        <v>1</v>
      </c>
      <c r="K27" t="s">
        <v>725</v>
      </c>
      <c r="L27" t="s">
        <v>703</v>
      </c>
      <c r="M27">
        <v>0</v>
      </c>
      <c r="N27" s="3" t="s">
        <v>238</v>
      </c>
      <c r="O27" s="3" t="s">
        <v>240</v>
      </c>
    </row>
    <row r="28" spans="1:15">
      <c r="A28" t="s">
        <v>749</v>
      </c>
      <c r="B28" t="s">
        <v>301</v>
      </c>
      <c r="C28">
        <v>59953</v>
      </c>
      <c r="D28" s="16">
        <v>59.953000000000003</v>
      </c>
      <c r="E28" t="s">
        <v>727</v>
      </c>
      <c r="F28" s="16">
        <v>865</v>
      </c>
      <c r="G28" s="16">
        <v>0</v>
      </c>
      <c r="H28" s="16">
        <v>0</v>
      </c>
      <c r="I28" t="s">
        <v>728</v>
      </c>
      <c r="J28">
        <v>1</v>
      </c>
      <c r="K28" t="s">
        <v>720</v>
      </c>
      <c r="L28" t="s">
        <v>703</v>
      </c>
      <c r="M28">
        <v>0</v>
      </c>
      <c r="N28" s="3" t="s">
        <v>238</v>
      </c>
      <c r="O28" s="3" t="s">
        <v>240</v>
      </c>
    </row>
    <row r="29" spans="1:15">
      <c r="A29" t="s">
        <v>750</v>
      </c>
      <c r="B29" t="s">
        <v>301</v>
      </c>
      <c r="C29">
        <v>59953</v>
      </c>
      <c r="D29" s="16">
        <v>59.953000000000003</v>
      </c>
      <c r="E29" t="s">
        <v>730</v>
      </c>
      <c r="F29" s="16">
        <v>0</v>
      </c>
      <c r="G29" s="16">
        <v>0</v>
      </c>
      <c r="H29" s="16">
        <v>0</v>
      </c>
      <c r="I29" t="s">
        <v>107</v>
      </c>
      <c r="J29">
        <v>1</v>
      </c>
      <c r="K29" t="s">
        <v>720</v>
      </c>
      <c r="L29" t="s">
        <v>703</v>
      </c>
      <c r="M29">
        <v>0</v>
      </c>
      <c r="N29" s="3" t="s">
        <v>238</v>
      </c>
      <c r="O29" s="3" t="s">
        <v>240</v>
      </c>
    </row>
    <row r="30" spans="1:15">
      <c r="A30" t="s">
        <v>751</v>
      </c>
      <c r="B30" t="s">
        <v>318</v>
      </c>
      <c r="C30">
        <v>75777</v>
      </c>
      <c r="D30" s="16">
        <v>75.777000000000001</v>
      </c>
      <c r="E30" t="s">
        <v>719</v>
      </c>
      <c r="F30" s="16">
        <v>23.2</v>
      </c>
      <c r="G30" s="16">
        <v>23.2</v>
      </c>
      <c r="H30" s="16">
        <v>23.2</v>
      </c>
      <c r="I30" t="s">
        <v>98</v>
      </c>
      <c r="J30">
        <v>1</v>
      </c>
      <c r="K30" t="s">
        <v>720</v>
      </c>
      <c r="L30" t="s">
        <v>703</v>
      </c>
      <c r="M30">
        <v>0</v>
      </c>
      <c r="N30" s="3" t="s">
        <v>238</v>
      </c>
      <c r="O30" s="3" t="s">
        <v>240</v>
      </c>
    </row>
    <row r="31" spans="1:15">
      <c r="A31" t="s">
        <v>752</v>
      </c>
      <c r="B31" t="s">
        <v>318</v>
      </c>
      <c r="C31">
        <v>75777</v>
      </c>
      <c r="D31" s="16">
        <v>75.777000000000001</v>
      </c>
      <c r="E31" t="s">
        <v>722</v>
      </c>
      <c r="F31" s="16">
        <v>86.4</v>
      </c>
      <c r="G31" s="16">
        <v>86.4</v>
      </c>
      <c r="H31" s="16">
        <v>86.4</v>
      </c>
      <c r="I31" t="s">
        <v>140</v>
      </c>
      <c r="J31">
        <v>1</v>
      </c>
      <c r="K31" t="s">
        <v>720</v>
      </c>
      <c r="L31" t="s">
        <v>703</v>
      </c>
      <c r="M31">
        <v>0</v>
      </c>
      <c r="N31" s="3" t="s">
        <v>238</v>
      </c>
      <c r="O31" s="3" t="s">
        <v>240</v>
      </c>
    </row>
    <row r="32" spans="1:15">
      <c r="A32" t="s">
        <v>753</v>
      </c>
      <c r="B32" t="s">
        <v>318</v>
      </c>
      <c r="C32">
        <v>75777</v>
      </c>
      <c r="D32" s="16">
        <v>75.777000000000001</v>
      </c>
      <c r="E32" t="s">
        <v>724</v>
      </c>
      <c r="F32" s="16">
        <v>-1.5713999999999999</v>
      </c>
      <c r="G32" s="16">
        <v>1.5713999999999999</v>
      </c>
      <c r="H32" s="16">
        <v>1.5713999999999999</v>
      </c>
      <c r="I32" t="s">
        <v>125</v>
      </c>
      <c r="J32">
        <v>1</v>
      </c>
      <c r="K32" t="s">
        <v>725</v>
      </c>
      <c r="L32" t="s">
        <v>703</v>
      </c>
      <c r="M32">
        <v>0</v>
      </c>
      <c r="N32" s="3" t="s">
        <v>238</v>
      </c>
      <c r="O32" s="3" t="s">
        <v>240</v>
      </c>
    </row>
    <row r="33" spans="1:15">
      <c r="A33" t="s">
        <v>754</v>
      </c>
      <c r="B33" t="s">
        <v>318</v>
      </c>
      <c r="C33">
        <v>75777</v>
      </c>
      <c r="D33" s="16">
        <v>75.777000000000001</v>
      </c>
      <c r="E33" t="s">
        <v>727</v>
      </c>
      <c r="F33" s="16">
        <v>820</v>
      </c>
      <c r="G33" s="16">
        <v>1</v>
      </c>
      <c r="H33" s="16">
        <v>1</v>
      </c>
      <c r="I33" t="s">
        <v>728</v>
      </c>
      <c r="J33">
        <v>1</v>
      </c>
      <c r="K33" t="s">
        <v>720</v>
      </c>
      <c r="L33" t="s">
        <v>703</v>
      </c>
      <c r="M33">
        <v>0</v>
      </c>
      <c r="N33" s="3" t="s">
        <v>238</v>
      </c>
      <c r="O33" s="3" t="s">
        <v>240</v>
      </c>
    </row>
    <row r="34" spans="1:15">
      <c r="A34" t="s">
        <v>755</v>
      </c>
      <c r="B34" t="s">
        <v>318</v>
      </c>
      <c r="C34">
        <v>75777</v>
      </c>
      <c r="D34" s="16">
        <v>75.777000000000001</v>
      </c>
      <c r="E34" t="s">
        <v>730</v>
      </c>
      <c r="F34" s="16">
        <v>0</v>
      </c>
      <c r="G34" s="16">
        <v>0</v>
      </c>
      <c r="H34" s="16">
        <v>0</v>
      </c>
      <c r="I34" t="s">
        <v>107</v>
      </c>
      <c r="J34">
        <v>1</v>
      </c>
      <c r="K34" t="s">
        <v>720</v>
      </c>
      <c r="L34" t="s">
        <v>703</v>
      </c>
      <c r="M34">
        <v>0</v>
      </c>
      <c r="N34" s="3" t="s">
        <v>238</v>
      </c>
      <c r="O34" s="3" t="s">
        <v>240</v>
      </c>
    </row>
    <row r="35" spans="1:15" ht="27.6">
      <c r="A35" t="s">
        <v>756</v>
      </c>
      <c r="B35" t="s">
        <v>324</v>
      </c>
      <c r="C35">
        <v>91314</v>
      </c>
      <c r="D35" s="16">
        <v>91.313999999999993</v>
      </c>
      <c r="E35" t="s">
        <v>719</v>
      </c>
      <c r="F35" s="16">
        <v>23.1</v>
      </c>
      <c r="G35" s="16">
        <v>23.1</v>
      </c>
      <c r="H35" s="16">
        <v>23.1</v>
      </c>
      <c r="I35" t="s">
        <v>98</v>
      </c>
      <c r="J35">
        <v>1</v>
      </c>
      <c r="K35" t="s">
        <v>720</v>
      </c>
      <c r="L35" t="s">
        <v>703</v>
      </c>
      <c r="M35">
        <v>0</v>
      </c>
      <c r="N35" s="3" t="s">
        <v>325</v>
      </c>
      <c r="O35" s="3" t="s">
        <v>240</v>
      </c>
    </row>
    <row r="36" spans="1:15" ht="27.6">
      <c r="A36" t="s">
        <v>757</v>
      </c>
      <c r="B36" t="s">
        <v>324</v>
      </c>
      <c r="C36">
        <v>91314</v>
      </c>
      <c r="D36" s="16">
        <v>91.313999999999993</v>
      </c>
      <c r="E36" t="s">
        <v>722</v>
      </c>
      <c r="F36" s="16">
        <v>69.400000000000006</v>
      </c>
      <c r="G36" s="16">
        <v>69.400000000000006</v>
      </c>
      <c r="H36" s="16">
        <v>69.400000000000006</v>
      </c>
      <c r="I36" t="s">
        <v>140</v>
      </c>
      <c r="J36">
        <v>1</v>
      </c>
      <c r="K36" t="s">
        <v>720</v>
      </c>
      <c r="L36" t="s">
        <v>703</v>
      </c>
      <c r="M36">
        <v>0</v>
      </c>
      <c r="N36" s="3" t="s">
        <v>325</v>
      </c>
      <c r="O36" s="3" t="s">
        <v>240</v>
      </c>
    </row>
    <row r="37" spans="1:15" ht="27.6">
      <c r="A37" t="s">
        <v>758</v>
      </c>
      <c r="B37" t="s">
        <v>324</v>
      </c>
      <c r="C37">
        <v>91314</v>
      </c>
      <c r="D37" s="16">
        <v>91.313999999999993</v>
      </c>
      <c r="E37" t="s">
        <v>724</v>
      </c>
      <c r="F37" s="16">
        <v>-1.7095</v>
      </c>
      <c r="G37" s="16">
        <v>1.7095</v>
      </c>
      <c r="H37" s="16">
        <v>1.7095</v>
      </c>
      <c r="I37" t="s">
        <v>125</v>
      </c>
      <c r="J37">
        <v>1</v>
      </c>
      <c r="K37" t="s">
        <v>725</v>
      </c>
      <c r="L37" t="s">
        <v>703</v>
      </c>
      <c r="M37">
        <v>0</v>
      </c>
      <c r="N37" s="3" t="s">
        <v>325</v>
      </c>
      <c r="O37" s="3" t="s">
        <v>240</v>
      </c>
    </row>
    <row r="38" spans="1:15" ht="27.6">
      <c r="A38" t="s">
        <v>759</v>
      </c>
      <c r="B38" t="s">
        <v>324</v>
      </c>
      <c r="C38">
        <v>91314</v>
      </c>
      <c r="D38" s="16">
        <v>91.313999999999993</v>
      </c>
      <c r="E38" t="s">
        <v>727</v>
      </c>
      <c r="F38" s="16">
        <v>818</v>
      </c>
      <c r="G38" s="16">
        <v>1</v>
      </c>
      <c r="H38" s="16">
        <v>1</v>
      </c>
      <c r="I38" t="s">
        <v>728</v>
      </c>
      <c r="J38">
        <v>1</v>
      </c>
      <c r="K38" t="s">
        <v>720</v>
      </c>
      <c r="L38" t="s">
        <v>703</v>
      </c>
      <c r="M38">
        <v>0</v>
      </c>
      <c r="N38" s="3" t="s">
        <v>325</v>
      </c>
      <c r="O38" s="3" t="s">
        <v>240</v>
      </c>
    </row>
    <row r="39" spans="1:15" ht="27.6">
      <c r="A39" t="s">
        <v>760</v>
      </c>
      <c r="B39" t="s">
        <v>324</v>
      </c>
      <c r="C39">
        <v>91314</v>
      </c>
      <c r="D39" s="16">
        <v>91.313999999999993</v>
      </c>
      <c r="E39" t="s">
        <v>730</v>
      </c>
      <c r="F39" s="16">
        <v>230.24</v>
      </c>
      <c r="G39" s="16">
        <v>2.3024</v>
      </c>
      <c r="H39" s="16">
        <v>2.3024</v>
      </c>
      <c r="I39" t="s">
        <v>107</v>
      </c>
      <c r="J39">
        <v>1</v>
      </c>
      <c r="K39" t="s">
        <v>761</v>
      </c>
      <c r="L39" t="s">
        <v>703</v>
      </c>
      <c r="M39">
        <v>0</v>
      </c>
      <c r="N39" s="3" t="s">
        <v>325</v>
      </c>
      <c r="O39" s="3" t="s">
        <v>240</v>
      </c>
    </row>
    <row r="40" spans="1:15" ht="41.4">
      <c r="A40" t="s">
        <v>762</v>
      </c>
      <c r="B40" t="s">
        <v>329</v>
      </c>
      <c r="C40">
        <v>106849</v>
      </c>
      <c r="D40" s="16">
        <v>106.849</v>
      </c>
      <c r="E40" t="s">
        <v>719</v>
      </c>
      <c r="F40" s="16">
        <v>-12</v>
      </c>
      <c r="G40" s="16"/>
      <c r="H40" s="16">
        <v>23.1</v>
      </c>
      <c r="I40" t="s">
        <v>98</v>
      </c>
      <c r="J40">
        <v>0</v>
      </c>
      <c r="K40" t="s">
        <v>763</v>
      </c>
      <c r="L40" t="s">
        <v>703</v>
      </c>
      <c r="M40">
        <v>0</v>
      </c>
      <c r="N40" s="3" t="s">
        <v>330</v>
      </c>
      <c r="O40" s="3" t="s">
        <v>240</v>
      </c>
    </row>
    <row r="41" spans="1:15" ht="41.4">
      <c r="A41" t="s">
        <v>764</v>
      </c>
      <c r="B41" t="s">
        <v>329</v>
      </c>
      <c r="C41">
        <v>106849</v>
      </c>
      <c r="D41" s="16">
        <v>106.849</v>
      </c>
      <c r="E41" t="s">
        <v>722</v>
      </c>
      <c r="F41" s="16">
        <v>161.30000000000001</v>
      </c>
      <c r="G41" s="16"/>
      <c r="H41" s="16">
        <v>69.400000000000006</v>
      </c>
      <c r="I41" t="s">
        <v>140</v>
      </c>
      <c r="J41">
        <v>0</v>
      </c>
      <c r="K41" t="s">
        <v>763</v>
      </c>
      <c r="L41" t="s">
        <v>703</v>
      </c>
      <c r="M41">
        <v>0</v>
      </c>
      <c r="N41" s="3" t="s">
        <v>330</v>
      </c>
      <c r="O41" s="3" t="s">
        <v>240</v>
      </c>
    </row>
    <row r="42" spans="1:15" ht="41.4">
      <c r="A42" t="s">
        <v>765</v>
      </c>
      <c r="B42" t="s">
        <v>329</v>
      </c>
      <c r="C42">
        <v>106849</v>
      </c>
      <c r="D42" s="16">
        <v>106.849</v>
      </c>
      <c r="E42" t="s">
        <v>724</v>
      </c>
      <c r="F42" s="16">
        <v>-1.7428999999999999</v>
      </c>
      <c r="G42" s="16">
        <v>1.7428999999999999</v>
      </c>
      <c r="H42" s="16">
        <v>1.7428999999999999</v>
      </c>
      <c r="I42" t="s">
        <v>125</v>
      </c>
      <c r="J42">
        <v>1</v>
      </c>
      <c r="K42" t="s">
        <v>725</v>
      </c>
      <c r="L42" t="s">
        <v>703</v>
      </c>
      <c r="M42">
        <v>0</v>
      </c>
      <c r="N42" s="3" t="s">
        <v>330</v>
      </c>
      <c r="O42" s="3" t="s">
        <v>240</v>
      </c>
    </row>
    <row r="43" spans="1:15" ht="41.4">
      <c r="A43" t="s">
        <v>766</v>
      </c>
      <c r="B43" t="s">
        <v>329</v>
      </c>
      <c r="C43">
        <v>106849</v>
      </c>
      <c r="D43" s="16">
        <v>106.849</v>
      </c>
      <c r="E43" t="s">
        <v>727</v>
      </c>
      <c r="F43" s="16">
        <v>113</v>
      </c>
      <c r="G43" s="16">
        <v>1</v>
      </c>
      <c r="H43" s="16">
        <v>1</v>
      </c>
      <c r="I43" t="s">
        <v>728</v>
      </c>
      <c r="J43">
        <v>1</v>
      </c>
      <c r="K43" t="s">
        <v>720</v>
      </c>
      <c r="L43" t="s">
        <v>703</v>
      </c>
      <c r="M43">
        <v>0</v>
      </c>
      <c r="N43" s="3" t="s">
        <v>330</v>
      </c>
      <c r="O43" s="3" t="s">
        <v>240</v>
      </c>
    </row>
    <row r="44" spans="1:15" ht="41.4">
      <c r="A44" t="s">
        <v>767</v>
      </c>
      <c r="B44" t="s">
        <v>329</v>
      </c>
      <c r="C44">
        <v>106849</v>
      </c>
      <c r="D44" s="16">
        <v>106.849</v>
      </c>
      <c r="E44" t="s">
        <v>730</v>
      </c>
      <c r="F44" s="16">
        <v>266.85329999999999</v>
      </c>
      <c r="G44" s="16">
        <v>2.668533</v>
      </c>
      <c r="H44" s="16">
        <v>2.668533</v>
      </c>
      <c r="I44" t="s">
        <v>107</v>
      </c>
      <c r="J44">
        <v>1</v>
      </c>
      <c r="K44" t="s">
        <v>761</v>
      </c>
      <c r="L44" t="s">
        <v>703</v>
      </c>
      <c r="M44">
        <v>0</v>
      </c>
      <c r="N44" s="3" t="s">
        <v>330</v>
      </c>
      <c r="O44" s="3" t="s">
        <v>240</v>
      </c>
    </row>
    <row r="45" spans="1:15" ht="41.4">
      <c r="A45" t="s">
        <v>768</v>
      </c>
      <c r="B45" t="s">
        <v>334</v>
      </c>
      <c r="C45">
        <v>122363</v>
      </c>
      <c r="D45" s="16">
        <v>122.363</v>
      </c>
      <c r="E45" t="s">
        <v>719</v>
      </c>
      <c r="F45" s="16"/>
      <c r="G45" s="16"/>
      <c r="H45" s="16">
        <v>23.1</v>
      </c>
      <c r="I45" t="s">
        <v>98</v>
      </c>
      <c r="J45">
        <v>0</v>
      </c>
      <c r="K45" t="s">
        <v>769</v>
      </c>
      <c r="L45" t="s">
        <v>703</v>
      </c>
      <c r="M45">
        <v>0</v>
      </c>
      <c r="N45" s="3" t="s">
        <v>330</v>
      </c>
      <c r="O45" s="3" t="s">
        <v>240</v>
      </c>
    </row>
    <row r="46" spans="1:15" ht="41.4">
      <c r="A46" t="s">
        <v>770</v>
      </c>
      <c r="B46" t="s">
        <v>334</v>
      </c>
      <c r="C46">
        <v>122363</v>
      </c>
      <c r="D46" s="16">
        <v>122.363</v>
      </c>
      <c r="E46" t="s">
        <v>722</v>
      </c>
      <c r="F46" s="16"/>
      <c r="G46" s="16"/>
      <c r="H46" s="16">
        <v>69.400000000000006</v>
      </c>
      <c r="I46" t="s">
        <v>140</v>
      </c>
      <c r="J46">
        <v>0</v>
      </c>
      <c r="K46" t="s">
        <v>769</v>
      </c>
      <c r="L46" t="s">
        <v>703</v>
      </c>
      <c r="M46">
        <v>0</v>
      </c>
      <c r="N46" s="3" t="s">
        <v>330</v>
      </c>
      <c r="O46" s="3" t="s">
        <v>240</v>
      </c>
    </row>
    <row r="47" spans="1:15" ht="41.4">
      <c r="A47" t="s">
        <v>771</v>
      </c>
      <c r="B47" t="s">
        <v>334</v>
      </c>
      <c r="C47">
        <v>122363</v>
      </c>
      <c r="D47" s="16">
        <v>122.363</v>
      </c>
      <c r="E47" t="s">
        <v>724</v>
      </c>
      <c r="F47" s="16">
        <v>-1.7976000000000001</v>
      </c>
      <c r="G47" s="16">
        <v>1.7976000000000001</v>
      </c>
      <c r="H47" s="16">
        <v>1.7976000000000001</v>
      </c>
      <c r="I47" t="s">
        <v>125</v>
      </c>
      <c r="J47">
        <v>1</v>
      </c>
      <c r="K47" t="s">
        <v>725</v>
      </c>
      <c r="L47" t="s">
        <v>703</v>
      </c>
      <c r="M47">
        <v>0</v>
      </c>
      <c r="N47" s="3" t="s">
        <v>330</v>
      </c>
      <c r="O47" s="3" t="s">
        <v>240</v>
      </c>
    </row>
    <row r="48" spans="1:15" ht="41.4">
      <c r="A48" t="s">
        <v>772</v>
      </c>
      <c r="B48" t="s">
        <v>334</v>
      </c>
      <c r="C48">
        <v>122363</v>
      </c>
      <c r="D48" s="16">
        <v>122.363</v>
      </c>
      <c r="E48" t="s">
        <v>727</v>
      </c>
      <c r="F48" s="16">
        <v>815</v>
      </c>
      <c r="G48" s="16">
        <v>1</v>
      </c>
      <c r="H48" s="16">
        <v>1</v>
      </c>
      <c r="I48" t="s">
        <v>728</v>
      </c>
      <c r="J48">
        <v>1</v>
      </c>
      <c r="K48" t="s">
        <v>720</v>
      </c>
      <c r="L48" t="s">
        <v>703</v>
      </c>
      <c r="M48">
        <v>0</v>
      </c>
      <c r="N48" s="3" t="s">
        <v>330</v>
      </c>
      <c r="O48" s="3" t="s">
        <v>240</v>
      </c>
    </row>
    <row r="49" spans="1:15" ht="41.4">
      <c r="A49" t="s">
        <v>773</v>
      </c>
      <c r="B49" t="s">
        <v>334</v>
      </c>
      <c r="C49">
        <v>122363</v>
      </c>
      <c r="D49" s="16">
        <v>122.363</v>
      </c>
      <c r="E49" t="s">
        <v>730</v>
      </c>
      <c r="F49" s="16">
        <v>242.3467</v>
      </c>
      <c r="G49" s="16">
        <v>2.423467</v>
      </c>
      <c r="H49" s="16">
        <v>2.423467</v>
      </c>
      <c r="I49" t="s">
        <v>107</v>
      </c>
      <c r="J49">
        <v>1</v>
      </c>
      <c r="K49" t="s">
        <v>761</v>
      </c>
      <c r="L49" t="s">
        <v>703</v>
      </c>
      <c r="M49">
        <v>0</v>
      </c>
      <c r="N49" s="3" t="s">
        <v>330</v>
      </c>
      <c r="O49" s="3" t="s">
        <v>240</v>
      </c>
    </row>
    <row r="50" spans="1:15" ht="41.4">
      <c r="A50" t="s">
        <v>774</v>
      </c>
      <c r="B50" t="s">
        <v>337</v>
      </c>
      <c r="C50">
        <v>137801</v>
      </c>
      <c r="D50" s="16">
        <v>137.80099999999999</v>
      </c>
      <c r="E50" t="s">
        <v>719</v>
      </c>
      <c r="F50" s="16"/>
      <c r="G50" s="16"/>
      <c r="H50" s="16">
        <v>23.1</v>
      </c>
      <c r="I50" t="s">
        <v>98</v>
      </c>
      <c r="J50">
        <v>0</v>
      </c>
      <c r="K50" t="s">
        <v>769</v>
      </c>
      <c r="L50" t="s">
        <v>703</v>
      </c>
      <c r="M50">
        <v>0</v>
      </c>
      <c r="N50" s="3" t="s">
        <v>330</v>
      </c>
      <c r="O50" s="3" t="s">
        <v>240</v>
      </c>
    </row>
    <row r="51" spans="1:15" ht="41.4">
      <c r="A51" t="s">
        <v>775</v>
      </c>
      <c r="B51" t="s">
        <v>337</v>
      </c>
      <c r="C51">
        <v>137801</v>
      </c>
      <c r="D51" s="16">
        <v>137.80099999999999</v>
      </c>
      <c r="E51" t="s">
        <v>722</v>
      </c>
      <c r="F51" s="16"/>
      <c r="G51" s="16"/>
      <c r="H51" s="16">
        <v>69.400000000000006</v>
      </c>
      <c r="I51" t="s">
        <v>140</v>
      </c>
      <c r="J51">
        <v>0</v>
      </c>
      <c r="K51" t="s">
        <v>769</v>
      </c>
      <c r="L51" t="s">
        <v>703</v>
      </c>
      <c r="M51">
        <v>0</v>
      </c>
      <c r="N51" s="3" t="s">
        <v>330</v>
      </c>
      <c r="O51" s="3" t="s">
        <v>240</v>
      </c>
    </row>
    <row r="52" spans="1:15" ht="41.4">
      <c r="A52" t="s">
        <v>776</v>
      </c>
      <c r="B52" t="s">
        <v>337</v>
      </c>
      <c r="C52">
        <v>137801</v>
      </c>
      <c r="D52" s="16">
        <v>137.80099999999999</v>
      </c>
      <c r="E52" t="s">
        <v>724</v>
      </c>
      <c r="F52" s="16">
        <v>-1.6571</v>
      </c>
      <c r="G52" s="16">
        <v>1.6571</v>
      </c>
      <c r="H52" s="16">
        <v>1.6571</v>
      </c>
      <c r="I52" t="s">
        <v>125</v>
      </c>
      <c r="J52">
        <v>1</v>
      </c>
      <c r="K52" t="s">
        <v>725</v>
      </c>
      <c r="L52" t="s">
        <v>703</v>
      </c>
      <c r="M52">
        <v>0</v>
      </c>
      <c r="N52" s="3" t="s">
        <v>330</v>
      </c>
      <c r="O52" s="3" t="s">
        <v>240</v>
      </c>
    </row>
    <row r="53" spans="1:15" ht="41.4">
      <c r="A53" t="s">
        <v>777</v>
      </c>
      <c r="B53" t="s">
        <v>337</v>
      </c>
      <c r="C53">
        <v>137801</v>
      </c>
      <c r="D53" s="16">
        <v>137.80099999999999</v>
      </c>
      <c r="E53" t="s">
        <v>727</v>
      </c>
      <c r="F53" s="16">
        <v>820</v>
      </c>
      <c r="G53" s="16">
        <v>1</v>
      </c>
      <c r="H53" s="16">
        <v>1</v>
      </c>
      <c r="I53" t="s">
        <v>728</v>
      </c>
      <c r="J53">
        <v>1</v>
      </c>
      <c r="K53" t="s">
        <v>720</v>
      </c>
      <c r="L53" t="s">
        <v>703</v>
      </c>
      <c r="M53">
        <v>0</v>
      </c>
      <c r="N53" s="3" t="s">
        <v>330</v>
      </c>
      <c r="O53" s="3" t="s">
        <v>240</v>
      </c>
    </row>
    <row r="54" spans="1:15" ht="41.4">
      <c r="A54" t="s">
        <v>778</v>
      </c>
      <c r="B54" t="s">
        <v>337</v>
      </c>
      <c r="C54">
        <v>137801</v>
      </c>
      <c r="D54" s="16">
        <v>137.80099999999999</v>
      </c>
      <c r="E54" t="s">
        <v>730</v>
      </c>
      <c r="F54" s="16">
        <v>286.93329999999997</v>
      </c>
      <c r="G54" s="16">
        <v>2.8693329999999997</v>
      </c>
      <c r="H54" s="16">
        <v>2.8693329999999997</v>
      </c>
      <c r="I54" t="s">
        <v>107</v>
      </c>
      <c r="J54">
        <v>1</v>
      </c>
      <c r="K54" t="s">
        <v>761</v>
      </c>
      <c r="L54" t="s">
        <v>703</v>
      </c>
      <c r="M54">
        <v>0</v>
      </c>
      <c r="N54" s="3" t="s">
        <v>330</v>
      </c>
      <c r="O54" s="3" t="s">
        <v>240</v>
      </c>
    </row>
    <row r="55" spans="1:15" ht="41.4">
      <c r="A55" t="s">
        <v>779</v>
      </c>
      <c r="B55" t="s">
        <v>340</v>
      </c>
      <c r="C55">
        <v>153318</v>
      </c>
      <c r="D55" s="16">
        <v>153.31800000000001</v>
      </c>
      <c r="E55" t="s">
        <v>719</v>
      </c>
      <c r="F55" s="16"/>
      <c r="G55" s="16"/>
      <c r="H55" s="16">
        <v>23.1</v>
      </c>
      <c r="I55" t="s">
        <v>98</v>
      </c>
      <c r="J55">
        <v>0</v>
      </c>
      <c r="K55" t="s">
        <v>769</v>
      </c>
      <c r="L55" t="s">
        <v>703</v>
      </c>
      <c r="M55">
        <v>0</v>
      </c>
      <c r="N55" s="3" t="s">
        <v>330</v>
      </c>
      <c r="O55" s="3" t="s">
        <v>240</v>
      </c>
    </row>
    <row r="56" spans="1:15" ht="41.4">
      <c r="A56" t="s">
        <v>780</v>
      </c>
      <c r="B56" t="s">
        <v>340</v>
      </c>
      <c r="C56">
        <v>153318</v>
      </c>
      <c r="D56" s="16">
        <v>153.31800000000001</v>
      </c>
      <c r="E56" t="s">
        <v>722</v>
      </c>
      <c r="F56" s="16"/>
      <c r="G56" s="16"/>
      <c r="H56" s="16">
        <v>69.400000000000006</v>
      </c>
      <c r="I56" t="s">
        <v>140</v>
      </c>
      <c r="J56">
        <v>0</v>
      </c>
      <c r="K56" t="s">
        <v>769</v>
      </c>
      <c r="L56" t="s">
        <v>703</v>
      </c>
      <c r="M56">
        <v>0</v>
      </c>
      <c r="N56" s="3" t="s">
        <v>330</v>
      </c>
      <c r="O56" s="3" t="s">
        <v>240</v>
      </c>
    </row>
    <row r="57" spans="1:15" ht="41.4">
      <c r="A57" t="s">
        <v>781</v>
      </c>
      <c r="B57" t="s">
        <v>340</v>
      </c>
      <c r="C57">
        <v>153318</v>
      </c>
      <c r="D57" s="16">
        <v>153.31800000000001</v>
      </c>
      <c r="E57" t="s">
        <v>724</v>
      </c>
      <c r="F57" s="16">
        <v>-1.7262</v>
      </c>
      <c r="G57" s="16">
        <v>1.7262</v>
      </c>
      <c r="H57" s="16">
        <v>1.7262</v>
      </c>
      <c r="I57" t="s">
        <v>125</v>
      </c>
      <c r="J57">
        <v>1</v>
      </c>
      <c r="K57" t="s">
        <v>725</v>
      </c>
      <c r="L57" t="s">
        <v>703</v>
      </c>
      <c r="M57">
        <v>0</v>
      </c>
      <c r="N57" s="3" t="s">
        <v>330</v>
      </c>
      <c r="O57" s="3" t="s">
        <v>240</v>
      </c>
    </row>
    <row r="58" spans="1:15" ht="41.4">
      <c r="A58" t="s">
        <v>782</v>
      </c>
      <c r="B58" t="s">
        <v>340</v>
      </c>
      <c r="C58">
        <v>153318</v>
      </c>
      <c r="D58" s="16">
        <v>153.31800000000001</v>
      </c>
      <c r="E58" t="s">
        <v>727</v>
      </c>
      <c r="F58" s="16">
        <v>817</v>
      </c>
      <c r="G58" s="16">
        <v>1</v>
      </c>
      <c r="H58" s="16">
        <v>1</v>
      </c>
      <c r="I58" t="s">
        <v>728</v>
      </c>
      <c r="J58">
        <v>1</v>
      </c>
      <c r="K58" t="s">
        <v>720</v>
      </c>
      <c r="L58" t="s">
        <v>703</v>
      </c>
      <c r="M58">
        <v>0</v>
      </c>
      <c r="N58" s="3" t="s">
        <v>330</v>
      </c>
      <c r="O58" s="3" t="s">
        <v>240</v>
      </c>
    </row>
    <row r="59" spans="1:15" ht="41.4">
      <c r="A59" t="s">
        <v>783</v>
      </c>
      <c r="B59" t="s">
        <v>340</v>
      </c>
      <c r="C59">
        <v>153318</v>
      </c>
      <c r="D59" s="16">
        <v>153.31800000000001</v>
      </c>
      <c r="E59" t="s">
        <v>730</v>
      </c>
      <c r="F59" s="16">
        <v>299.89339999999999</v>
      </c>
      <c r="G59" s="16">
        <v>2.9989339999999998</v>
      </c>
      <c r="H59" s="16">
        <v>2.9989339999999998</v>
      </c>
      <c r="I59" t="s">
        <v>107</v>
      </c>
      <c r="J59">
        <v>1</v>
      </c>
      <c r="K59" t="s">
        <v>761</v>
      </c>
      <c r="L59" t="s">
        <v>703</v>
      </c>
      <c r="M59">
        <v>0</v>
      </c>
      <c r="N59" s="3" t="s">
        <v>330</v>
      </c>
      <c r="O59" s="3" t="s">
        <v>240</v>
      </c>
    </row>
    <row r="60" spans="1:15">
      <c r="A60" t="s">
        <v>784</v>
      </c>
      <c r="B60" t="s">
        <v>342</v>
      </c>
      <c r="C60">
        <v>5161</v>
      </c>
      <c r="D60" s="16">
        <v>5.1609999999999996</v>
      </c>
      <c r="E60" t="s">
        <v>719</v>
      </c>
      <c r="F60" s="16">
        <v>21.3</v>
      </c>
      <c r="G60" s="16">
        <v>21.3</v>
      </c>
      <c r="H60" s="16">
        <v>21.3</v>
      </c>
      <c r="I60" t="s">
        <v>98</v>
      </c>
      <c r="J60">
        <v>1</v>
      </c>
      <c r="K60" t="s">
        <v>720</v>
      </c>
      <c r="L60" t="s">
        <v>703</v>
      </c>
      <c r="M60">
        <v>0</v>
      </c>
      <c r="N60" s="3" t="s">
        <v>238</v>
      </c>
      <c r="O60" s="3" t="s">
        <v>240</v>
      </c>
    </row>
    <row r="61" spans="1:15">
      <c r="A61" t="s">
        <v>785</v>
      </c>
      <c r="B61" t="s">
        <v>342</v>
      </c>
      <c r="C61">
        <v>5161</v>
      </c>
      <c r="D61" s="16">
        <v>5.1609999999999996</v>
      </c>
      <c r="E61" t="s">
        <v>722</v>
      </c>
      <c r="F61" s="16">
        <v>70.400000000000006</v>
      </c>
      <c r="G61" s="16">
        <v>70.400000000000006</v>
      </c>
      <c r="H61" s="16">
        <v>70.400000000000006</v>
      </c>
      <c r="I61" t="s">
        <v>140</v>
      </c>
      <c r="J61">
        <v>1</v>
      </c>
      <c r="K61" t="s">
        <v>720</v>
      </c>
      <c r="L61" t="s">
        <v>703</v>
      </c>
      <c r="M61">
        <v>0</v>
      </c>
      <c r="N61" s="3" t="s">
        <v>238</v>
      </c>
      <c r="O61" s="3" t="s">
        <v>240</v>
      </c>
    </row>
    <row r="62" spans="1:15">
      <c r="A62" t="s">
        <v>786</v>
      </c>
      <c r="B62" t="s">
        <v>342</v>
      </c>
      <c r="C62">
        <v>5161</v>
      </c>
      <c r="D62" s="16">
        <v>5.1609999999999996</v>
      </c>
      <c r="E62" t="s">
        <v>724</v>
      </c>
      <c r="F62" s="16">
        <v>-6.9000000000000006E-2</v>
      </c>
      <c r="G62" s="16">
        <v>6.9000000000000006E-2</v>
      </c>
      <c r="H62" s="16">
        <v>6.9000000000000006E-2</v>
      </c>
      <c r="I62" t="s">
        <v>125</v>
      </c>
      <c r="J62">
        <v>1</v>
      </c>
      <c r="K62" t="s">
        <v>725</v>
      </c>
      <c r="L62" t="s">
        <v>703</v>
      </c>
      <c r="M62">
        <v>0</v>
      </c>
      <c r="N62" s="3" t="s">
        <v>238</v>
      </c>
      <c r="O62" s="3" t="s">
        <v>240</v>
      </c>
    </row>
    <row r="63" spans="1:15">
      <c r="A63" t="s">
        <v>787</v>
      </c>
      <c r="B63" t="s">
        <v>342</v>
      </c>
      <c r="C63">
        <v>5161</v>
      </c>
      <c r="D63" s="16">
        <v>5.1609999999999996</v>
      </c>
      <c r="E63" t="s">
        <v>727</v>
      </c>
      <c r="F63" s="16">
        <v>865</v>
      </c>
      <c r="G63" s="16">
        <v>0</v>
      </c>
      <c r="H63" s="16">
        <v>0</v>
      </c>
      <c r="I63" t="s">
        <v>728</v>
      </c>
      <c r="J63">
        <v>1</v>
      </c>
      <c r="K63" t="s">
        <v>720</v>
      </c>
      <c r="L63" t="s">
        <v>703</v>
      </c>
      <c r="M63">
        <v>0</v>
      </c>
      <c r="N63" s="3" t="s">
        <v>238</v>
      </c>
      <c r="O63" s="3" t="s">
        <v>240</v>
      </c>
    </row>
    <row r="64" spans="1:15">
      <c r="A64" t="s">
        <v>788</v>
      </c>
      <c r="B64" t="s">
        <v>342</v>
      </c>
      <c r="C64">
        <v>5161</v>
      </c>
      <c r="D64" s="16">
        <v>5.1609999999999996</v>
      </c>
      <c r="E64" t="s">
        <v>730</v>
      </c>
      <c r="F64" s="16">
        <v>0</v>
      </c>
      <c r="G64" s="16">
        <v>0</v>
      </c>
      <c r="H64" s="16">
        <v>0</v>
      </c>
      <c r="I64" t="s">
        <v>107</v>
      </c>
      <c r="J64">
        <v>1</v>
      </c>
      <c r="K64" t="s">
        <v>720</v>
      </c>
      <c r="L64" t="s">
        <v>703</v>
      </c>
      <c r="M64">
        <v>0</v>
      </c>
      <c r="N64" s="3" t="s">
        <v>238</v>
      </c>
      <c r="O64" s="3" t="s">
        <v>240</v>
      </c>
    </row>
    <row r="65" spans="1:15">
      <c r="A65" t="s">
        <v>789</v>
      </c>
      <c r="B65" t="s">
        <v>346</v>
      </c>
      <c r="C65">
        <v>23689</v>
      </c>
      <c r="D65" s="16">
        <v>23.689</v>
      </c>
      <c r="E65" t="s">
        <v>719</v>
      </c>
      <c r="F65" s="16">
        <v>21.4</v>
      </c>
      <c r="G65" s="16">
        <v>21.4</v>
      </c>
      <c r="H65" s="16">
        <v>21.4</v>
      </c>
      <c r="I65" t="s">
        <v>98</v>
      </c>
      <c r="J65">
        <v>1</v>
      </c>
      <c r="K65" t="s">
        <v>720</v>
      </c>
      <c r="L65" t="s">
        <v>703</v>
      </c>
      <c r="M65">
        <v>0</v>
      </c>
      <c r="N65" s="3" t="s">
        <v>238</v>
      </c>
      <c r="O65" s="3" t="s">
        <v>240</v>
      </c>
    </row>
    <row r="66" spans="1:15">
      <c r="A66" t="s">
        <v>790</v>
      </c>
      <c r="B66" t="s">
        <v>346</v>
      </c>
      <c r="C66">
        <v>23689</v>
      </c>
      <c r="D66" s="16">
        <v>23.689</v>
      </c>
      <c r="E66" t="s">
        <v>722</v>
      </c>
      <c r="F66" s="16">
        <v>70.099999999999994</v>
      </c>
      <c r="G66" s="16">
        <v>70.099999999999994</v>
      </c>
      <c r="H66" s="16">
        <v>70.099999999999994</v>
      </c>
      <c r="I66" t="s">
        <v>140</v>
      </c>
      <c r="J66">
        <v>1</v>
      </c>
      <c r="K66" t="s">
        <v>720</v>
      </c>
      <c r="L66" t="s">
        <v>703</v>
      </c>
      <c r="M66">
        <v>0</v>
      </c>
      <c r="N66" s="3" t="s">
        <v>238</v>
      </c>
      <c r="O66" s="3" t="s">
        <v>240</v>
      </c>
    </row>
    <row r="67" spans="1:15">
      <c r="A67" t="s">
        <v>791</v>
      </c>
      <c r="B67" t="s">
        <v>346</v>
      </c>
      <c r="C67">
        <v>23689</v>
      </c>
      <c r="D67" s="16">
        <v>23.689</v>
      </c>
      <c r="E67" t="s">
        <v>724</v>
      </c>
      <c r="F67" s="16">
        <v>-0.72860000000000003</v>
      </c>
      <c r="G67" s="16">
        <v>0.72860000000000003</v>
      </c>
      <c r="H67" s="16">
        <v>0.72860000000000003</v>
      </c>
      <c r="I67" t="s">
        <v>125</v>
      </c>
      <c r="J67">
        <v>1</v>
      </c>
      <c r="K67" t="s">
        <v>725</v>
      </c>
      <c r="L67" t="s">
        <v>703</v>
      </c>
      <c r="M67">
        <v>0</v>
      </c>
      <c r="N67" s="3" t="s">
        <v>238</v>
      </c>
      <c r="O67" s="3" t="s">
        <v>240</v>
      </c>
    </row>
    <row r="68" spans="1:15">
      <c r="A68" t="s">
        <v>792</v>
      </c>
      <c r="B68" t="s">
        <v>346</v>
      </c>
      <c r="C68">
        <v>23689</v>
      </c>
      <c r="D68" s="16">
        <v>23.689</v>
      </c>
      <c r="E68" t="s">
        <v>727</v>
      </c>
      <c r="F68" s="16">
        <v>850</v>
      </c>
      <c r="G68" s="16">
        <v>1</v>
      </c>
      <c r="H68" s="16">
        <v>1</v>
      </c>
      <c r="I68" t="s">
        <v>728</v>
      </c>
      <c r="J68">
        <v>1</v>
      </c>
      <c r="K68" t="s">
        <v>720</v>
      </c>
      <c r="L68" t="s">
        <v>703</v>
      </c>
      <c r="M68">
        <v>0</v>
      </c>
      <c r="N68" s="3" t="s">
        <v>238</v>
      </c>
      <c r="O68" s="3" t="s">
        <v>240</v>
      </c>
    </row>
    <row r="69" spans="1:15">
      <c r="A69" t="s">
        <v>793</v>
      </c>
      <c r="B69" t="s">
        <v>346</v>
      </c>
      <c r="C69">
        <v>23689</v>
      </c>
      <c r="D69" s="16">
        <v>23.689</v>
      </c>
      <c r="E69" t="s">
        <v>730</v>
      </c>
      <c r="F69" s="16">
        <v>0</v>
      </c>
      <c r="G69" s="16">
        <v>0</v>
      </c>
      <c r="H69" s="16">
        <v>0</v>
      </c>
      <c r="I69" t="s">
        <v>107</v>
      </c>
      <c r="J69">
        <v>1</v>
      </c>
      <c r="K69" t="s">
        <v>720</v>
      </c>
      <c r="L69" t="s">
        <v>703</v>
      </c>
      <c r="M69">
        <v>0</v>
      </c>
      <c r="N69" s="3" t="s">
        <v>238</v>
      </c>
      <c r="O69" s="3" t="s">
        <v>240</v>
      </c>
    </row>
    <row r="70" spans="1:15">
      <c r="A70" t="s">
        <v>794</v>
      </c>
      <c r="B70" t="s">
        <v>349</v>
      </c>
      <c r="C70">
        <v>39140</v>
      </c>
      <c r="D70" s="16">
        <v>39.14</v>
      </c>
      <c r="E70" t="s">
        <v>719</v>
      </c>
      <c r="F70" s="16">
        <v>21.7</v>
      </c>
      <c r="G70" s="16">
        <v>21.7</v>
      </c>
      <c r="H70" s="16">
        <v>21.7</v>
      </c>
      <c r="I70" t="s">
        <v>98</v>
      </c>
      <c r="J70">
        <v>1</v>
      </c>
      <c r="K70" t="s">
        <v>720</v>
      </c>
      <c r="L70" t="s">
        <v>703</v>
      </c>
      <c r="M70">
        <v>0</v>
      </c>
      <c r="N70" s="3" t="s">
        <v>238</v>
      </c>
      <c r="O70" s="3" t="s">
        <v>240</v>
      </c>
    </row>
    <row r="71" spans="1:15">
      <c r="A71" t="s">
        <v>795</v>
      </c>
      <c r="B71" t="s">
        <v>349</v>
      </c>
      <c r="C71">
        <v>39140</v>
      </c>
      <c r="D71" s="16">
        <v>39.14</v>
      </c>
      <c r="E71" t="s">
        <v>722</v>
      </c>
      <c r="F71" s="16">
        <v>76.900000000000006</v>
      </c>
      <c r="G71" s="16">
        <v>76.900000000000006</v>
      </c>
      <c r="H71" s="16">
        <v>76.900000000000006</v>
      </c>
      <c r="I71" t="s">
        <v>140</v>
      </c>
      <c r="J71">
        <v>1</v>
      </c>
      <c r="K71" t="s">
        <v>720</v>
      </c>
      <c r="L71" t="s">
        <v>703</v>
      </c>
      <c r="M71">
        <v>0</v>
      </c>
      <c r="N71" s="3" t="s">
        <v>238</v>
      </c>
      <c r="O71" s="3" t="s">
        <v>240</v>
      </c>
    </row>
    <row r="72" spans="1:15">
      <c r="A72" t="s">
        <v>796</v>
      </c>
      <c r="B72" t="s">
        <v>349</v>
      </c>
      <c r="C72">
        <v>39140</v>
      </c>
      <c r="D72" s="16">
        <v>39.14</v>
      </c>
      <c r="E72" t="s">
        <v>724</v>
      </c>
      <c r="F72" s="16">
        <v>-0.65949999999999998</v>
      </c>
      <c r="G72" s="16">
        <v>0.65949999999999998</v>
      </c>
      <c r="H72" s="16">
        <v>0.65949999999999998</v>
      </c>
      <c r="I72" t="s">
        <v>125</v>
      </c>
      <c r="J72">
        <v>1</v>
      </c>
      <c r="K72" t="s">
        <v>725</v>
      </c>
      <c r="L72" t="s">
        <v>703</v>
      </c>
      <c r="M72">
        <v>0</v>
      </c>
      <c r="N72" s="3" t="s">
        <v>238</v>
      </c>
      <c r="O72" s="3" t="s">
        <v>240</v>
      </c>
    </row>
    <row r="73" spans="1:15">
      <c r="A73" t="s">
        <v>797</v>
      </c>
      <c r="B73" t="s">
        <v>349</v>
      </c>
      <c r="C73">
        <v>39140</v>
      </c>
      <c r="D73" s="16">
        <v>39.14</v>
      </c>
      <c r="E73" t="s">
        <v>727</v>
      </c>
      <c r="F73" s="16">
        <v>849</v>
      </c>
      <c r="G73" s="16">
        <v>1</v>
      </c>
      <c r="H73" s="16">
        <v>1</v>
      </c>
      <c r="I73" t="s">
        <v>728</v>
      </c>
      <c r="J73">
        <v>1</v>
      </c>
      <c r="K73" t="s">
        <v>720</v>
      </c>
      <c r="L73" t="s">
        <v>703</v>
      </c>
      <c r="M73">
        <v>0</v>
      </c>
      <c r="N73" s="3" t="s">
        <v>238</v>
      </c>
      <c r="O73" s="3" t="s">
        <v>240</v>
      </c>
    </row>
    <row r="74" spans="1:15">
      <c r="A74" t="s">
        <v>798</v>
      </c>
      <c r="B74" t="s">
        <v>349</v>
      </c>
      <c r="C74">
        <v>39140</v>
      </c>
      <c r="D74" s="16">
        <v>39.14</v>
      </c>
      <c r="E74" t="s">
        <v>730</v>
      </c>
      <c r="F74" s="16">
        <v>0</v>
      </c>
      <c r="G74" s="16">
        <v>0</v>
      </c>
      <c r="H74" s="16">
        <v>0</v>
      </c>
      <c r="I74" t="s">
        <v>107</v>
      </c>
      <c r="J74">
        <v>1</v>
      </c>
      <c r="K74" t="s">
        <v>720</v>
      </c>
      <c r="L74" t="s">
        <v>703</v>
      </c>
      <c r="M74">
        <v>0</v>
      </c>
      <c r="N74" s="3" t="s">
        <v>238</v>
      </c>
      <c r="O74" s="3" t="s">
        <v>240</v>
      </c>
    </row>
    <row r="75" spans="1:15">
      <c r="A75" t="s">
        <v>799</v>
      </c>
      <c r="B75" t="s">
        <v>352</v>
      </c>
      <c r="C75">
        <v>54594</v>
      </c>
      <c r="D75" s="16">
        <v>54.594000000000001</v>
      </c>
      <c r="E75" t="s">
        <v>719</v>
      </c>
      <c r="F75" s="16">
        <v>21.8</v>
      </c>
      <c r="G75" s="16">
        <v>21.8</v>
      </c>
      <c r="H75" s="16">
        <v>21.8</v>
      </c>
      <c r="I75" t="s">
        <v>98</v>
      </c>
      <c r="J75">
        <v>1</v>
      </c>
      <c r="K75" t="s">
        <v>720</v>
      </c>
      <c r="L75" t="s">
        <v>703</v>
      </c>
      <c r="M75">
        <v>0</v>
      </c>
      <c r="N75" s="3" t="s">
        <v>238</v>
      </c>
      <c r="O75" s="3" t="s">
        <v>240</v>
      </c>
    </row>
    <row r="76" spans="1:15">
      <c r="A76" t="s">
        <v>800</v>
      </c>
      <c r="B76" t="s">
        <v>352</v>
      </c>
      <c r="C76">
        <v>54594</v>
      </c>
      <c r="D76" s="16">
        <v>54.594000000000001</v>
      </c>
      <c r="E76" t="s">
        <v>722</v>
      </c>
      <c r="F76" s="16">
        <v>74.2</v>
      </c>
      <c r="G76" s="16">
        <v>74.2</v>
      </c>
      <c r="H76" s="16">
        <v>74.2</v>
      </c>
      <c r="I76" t="s">
        <v>140</v>
      </c>
      <c r="J76">
        <v>1</v>
      </c>
      <c r="K76" t="s">
        <v>720</v>
      </c>
      <c r="L76" t="s">
        <v>703</v>
      </c>
      <c r="M76">
        <v>0</v>
      </c>
      <c r="N76" s="3" t="s">
        <v>238</v>
      </c>
      <c r="O76" s="3" t="s">
        <v>240</v>
      </c>
    </row>
    <row r="77" spans="1:15">
      <c r="A77" t="s">
        <v>801</v>
      </c>
      <c r="B77" t="s">
        <v>352</v>
      </c>
      <c r="C77">
        <v>54594</v>
      </c>
      <c r="D77" s="16">
        <v>54.594000000000001</v>
      </c>
      <c r="E77" t="s">
        <v>724</v>
      </c>
      <c r="F77" s="16">
        <v>-0.74760000000000004</v>
      </c>
      <c r="G77" s="16">
        <v>0.74760000000000004</v>
      </c>
      <c r="H77" s="16">
        <v>0.74760000000000004</v>
      </c>
      <c r="I77" t="s">
        <v>125</v>
      </c>
      <c r="J77">
        <v>1</v>
      </c>
      <c r="K77" t="s">
        <v>725</v>
      </c>
      <c r="L77" t="s">
        <v>703</v>
      </c>
      <c r="M77">
        <v>0</v>
      </c>
      <c r="N77" s="3" t="s">
        <v>238</v>
      </c>
      <c r="O77" s="3" t="s">
        <v>240</v>
      </c>
    </row>
    <row r="78" spans="1:15">
      <c r="A78" t="s">
        <v>802</v>
      </c>
      <c r="B78" t="s">
        <v>352</v>
      </c>
      <c r="C78">
        <v>54594</v>
      </c>
      <c r="D78" s="16">
        <v>54.594000000000001</v>
      </c>
      <c r="E78" t="s">
        <v>727</v>
      </c>
      <c r="F78" s="16">
        <v>848</v>
      </c>
      <c r="G78" s="16">
        <v>1</v>
      </c>
      <c r="H78" s="16">
        <v>1</v>
      </c>
      <c r="I78" t="s">
        <v>728</v>
      </c>
      <c r="J78">
        <v>1</v>
      </c>
      <c r="K78" t="s">
        <v>720</v>
      </c>
      <c r="L78" t="s">
        <v>703</v>
      </c>
      <c r="M78">
        <v>0</v>
      </c>
      <c r="N78" s="3" t="s">
        <v>238</v>
      </c>
      <c r="O78" s="3" t="s">
        <v>240</v>
      </c>
    </row>
    <row r="79" spans="1:15">
      <c r="A79" t="s">
        <v>803</v>
      </c>
      <c r="B79" t="s">
        <v>352</v>
      </c>
      <c r="C79">
        <v>54594</v>
      </c>
      <c r="D79" s="16">
        <v>54.594000000000001</v>
      </c>
      <c r="E79" t="s">
        <v>730</v>
      </c>
      <c r="F79" s="16">
        <v>0</v>
      </c>
      <c r="G79" s="16">
        <v>0</v>
      </c>
      <c r="H79" s="16">
        <v>0</v>
      </c>
      <c r="I79" t="s">
        <v>107</v>
      </c>
      <c r="J79">
        <v>1</v>
      </c>
      <c r="K79" t="s">
        <v>720</v>
      </c>
      <c r="L79" t="s">
        <v>703</v>
      </c>
      <c r="M79">
        <v>0</v>
      </c>
      <c r="N79" s="3" t="s">
        <v>238</v>
      </c>
      <c r="O79" s="3" t="s">
        <v>240</v>
      </c>
    </row>
    <row r="80" spans="1:15">
      <c r="A80" t="s">
        <v>804</v>
      </c>
      <c r="B80" t="s">
        <v>355</v>
      </c>
      <c r="C80">
        <v>70047</v>
      </c>
      <c r="D80" s="16">
        <v>70.046999999999997</v>
      </c>
      <c r="E80" t="s">
        <v>719</v>
      </c>
      <c r="F80" s="16">
        <v>21.8</v>
      </c>
      <c r="G80" s="16">
        <v>21.8</v>
      </c>
      <c r="H80" s="16">
        <v>21.8</v>
      </c>
      <c r="I80" t="s">
        <v>98</v>
      </c>
      <c r="J80">
        <v>1</v>
      </c>
      <c r="K80" t="s">
        <v>720</v>
      </c>
      <c r="L80" t="s">
        <v>703</v>
      </c>
      <c r="M80">
        <v>0</v>
      </c>
      <c r="N80" s="3" t="s">
        <v>238</v>
      </c>
      <c r="O80" s="3" t="s">
        <v>240</v>
      </c>
    </row>
    <row r="81" spans="1:15">
      <c r="A81" t="s">
        <v>805</v>
      </c>
      <c r="B81" t="s">
        <v>355</v>
      </c>
      <c r="C81">
        <v>70047</v>
      </c>
      <c r="D81" s="16">
        <v>70.046999999999997</v>
      </c>
      <c r="E81" t="s">
        <v>722</v>
      </c>
      <c r="F81" s="16">
        <v>72.099999999999994</v>
      </c>
      <c r="G81" s="16">
        <v>72.099999999999994</v>
      </c>
      <c r="H81" s="16">
        <v>72.099999999999994</v>
      </c>
      <c r="I81" t="s">
        <v>140</v>
      </c>
      <c r="J81">
        <v>1</v>
      </c>
      <c r="K81" t="s">
        <v>720</v>
      </c>
      <c r="L81" t="s">
        <v>703</v>
      </c>
      <c r="M81">
        <v>0</v>
      </c>
      <c r="N81" s="3" t="s">
        <v>238</v>
      </c>
      <c r="O81" s="3" t="s">
        <v>240</v>
      </c>
    </row>
    <row r="82" spans="1:15">
      <c r="A82" t="s">
        <v>806</v>
      </c>
      <c r="B82" t="s">
        <v>355</v>
      </c>
      <c r="C82">
        <v>70047</v>
      </c>
      <c r="D82" s="16">
        <v>70.046999999999997</v>
      </c>
      <c r="E82" t="s">
        <v>724</v>
      </c>
      <c r="F82" s="16">
        <v>-0.84519999999999995</v>
      </c>
      <c r="G82" s="16">
        <v>0.84519999999999995</v>
      </c>
      <c r="H82" s="16">
        <v>0.84519999999999995</v>
      </c>
      <c r="I82" t="s">
        <v>125</v>
      </c>
      <c r="J82">
        <v>1</v>
      </c>
      <c r="K82" t="s">
        <v>725</v>
      </c>
      <c r="L82" t="s">
        <v>703</v>
      </c>
      <c r="M82">
        <v>0</v>
      </c>
      <c r="N82" s="3" t="s">
        <v>238</v>
      </c>
      <c r="O82" s="3" t="s">
        <v>240</v>
      </c>
    </row>
    <row r="83" spans="1:15">
      <c r="A83" t="s">
        <v>807</v>
      </c>
      <c r="B83" t="s">
        <v>355</v>
      </c>
      <c r="C83">
        <v>70047</v>
      </c>
      <c r="D83" s="16">
        <v>70.046999999999997</v>
      </c>
      <c r="E83" t="s">
        <v>727</v>
      </c>
      <c r="F83" s="16">
        <v>848</v>
      </c>
      <c r="G83" s="16">
        <v>1</v>
      </c>
      <c r="H83" s="16">
        <v>1</v>
      </c>
      <c r="I83" t="s">
        <v>728</v>
      </c>
      <c r="J83">
        <v>1</v>
      </c>
      <c r="K83" t="s">
        <v>720</v>
      </c>
      <c r="L83" t="s">
        <v>703</v>
      </c>
      <c r="M83">
        <v>0</v>
      </c>
      <c r="N83" s="3" t="s">
        <v>238</v>
      </c>
      <c r="O83" s="3" t="s">
        <v>240</v>
      </c>
    </row>
    <row r="84" spans="1:15">
      <c r="A84" t="s">
        <v>808</v>
      </c>
      <c r="B84" t="s">
        <v>355</v>
      </c>
      <c r="C84">
        <v>70047</v>
      </c>
      <c r="D84" s="16">
        <v>70.046999999999997</v>
      </c>
      <c r="E84" t="s">
        <v>730</v>
      </c>
      <c r="F84" s="16">
        <v>0</v>
      </c>
      <c r="G84" s="16">
        <v>0</v>
      </c>
      <c r="H84" s="16">
        <v>0</v>
      </c>
      <c r="I84" t="s">
        <v>107</v>
      </c>
      <c r="J84">
        <v>1</v>
      </c>
      <c r="K84" t="s">
        <v>720</v>
      </c>
      <c r="L84" t="s">
        <v>703</v>
      </c>
      <c r="M84">
        <v>0</v>
      </c>
      <c r="N84" s="3" t="s">
        <v>238</v>
      </c>
      <c r="O84" s="3" t="s">
        <v>240</v>
      </c>
    </row>
    <row r="85" spans="1:15">
      <c r="A85" t="s">
        <v>809</v>
      </c>
      <c r="B85" t="s">
        <v>358</v>
      </c>
      <c r="C85">
        <v>85499</v>
      </c>
      <c r="D85" s="16">
        <v>85.498999999999995</v>
      </c>
      <c r="E85" t="s">
        <v>719</v>
      </c>
      <c r="F85" s="16">
        <v>21.8</v>
      </c>
      <c r="G85" s="16">
        <v>21.8</v>
      </c>
      <c r="H85" s="16">
        <v>21.8</v>
      </c>
      <c r="I85" t="s">
        <v>98</v>
      </c>
      <c r="J85">
        <v>1</v>
      </c>
      <c r="K85" t="s">
        <v>720</v>
      </c>
      <c r="L85" t="s">
        <v>703</v>
      </c>
      <c r="M85">
        <v>0</v>
      </c>
      <c r="N85" s="3" t="s">
        <v>238</v>
      </c>
      <c r="O85" s="3" t="s">
        <v>240</v>
      </c>
    </row>
    <row r="86" spans="1:15">
      <c r="A86" t="s">
        <v>810</v>
      </c>
      <c r="B86" t="s">
        <v>358</v>
      </c>
      <c r="C86">
        <v>85499</v>
      </c>
      <c r="D86" s="16">
        <v>85.498999999999995</v>
      </c>
      <c r="E86" t="s">
        <v>722</v>
      </c>
      <c r="F86" s="16">
        <v>70.7</v>
      </c>
      <c r="G86" s="16">
        <v>70.7</v>
      </c>
      <c r="H86" s="16">
        <v>70.7</v>
      </c>
      <c r="I86" t="s">
        <v>140</v>
      </c>
      <c r="J86">
        <v>1</v>
      </c>
      <c r="K86" t="s">
        <v>720</v>
      </c>
      <c r="L86" t="s">
        <v>703</v>
      </c>
      <c r="M86">
        <v>0</v>
      </c>
      <c r="N86" s="3" t="s">
        <v>238</v>
      </c>
      <c r="O86" s="3" t="s">
        <v>240</v>
      </c>
    </row>
    <row r="87" spans="1:15">
      <c r="A87" t="s">
        <v>811</v>
      </c>
      <c r="B87" t="s">
        <v>358</v>
      </c>
      <c r="C87">
        <v>85499</v>
      </c>
      <c r="D87" s="16">
        <v>85.498999999999995</v>
      </c>
      <c r="E87" t="s">
        <v>724</v>
      </c>
      <c r="F87" s="16">
        <v>-0.72860000000000003</v>
      </c>
      <c r="G87" s="16">
        <v>0.72860000000000003</v>
      </c>
      <c r="H87" s="16">
        <v>0.72860000000000003</v>
      </c>
      <c r="I87" t="s">
        <v>125</v>
      </c>
      <c r="J87">
        <v>1</v>
      </c>
      <c r="K87" t="s">
        <v>725</v>
      </c>
      <c r="L87" t="s">
        <v>703</v>
      </c>
      <c r="M87">
        <v>0</v>
      </c>
      <c r="N87" s="3" t="s">
        <v>238</v>
      </c>
      <c r="O87" s="3" t="s">
        <v>240</v>
      </c>
    </row>
    <row r="88" spans="1:15">
      <c r="A88" t="s">
        <v>812</v>
      </c>
      <c r="B88" t="s">
        <v>358</v>
      </c>
      <c r="C88">
        <v>85499</v>
      </c>
      <c r="D88" s="16">
        <v>85.498999999999995</v>
      </c>
      <c r="E88" t="s">
        <v>727</v>
      </c>
      <c r="F88" s="16">
        <v>847</v>
      </c>
      <c r="G88" s="16">
        <v>1</v>
      </c>
      <c r="H88" s="16">
        <v>1</v>
      </c>
      <c r="I88" t="s">
        <v>728</v>
      </c>
      <c r="J88">
        <v>1</v>
      </c>
      <c r="K88" t="s">
        <v>720</v>
      </c>
      <c r="L88" t="s">
        <v>703</v>
      </c>
      <c r="M88">
        <v>0</v>
      </c>
      <c r="N88" s="3" t="s">
        <v>238</v>
      </c>
      <c r="O88" s="3" t="s">
        <v>240</v>
      </c>
    </row>
    <row r="89" spans="1:15">
      <c r="A89" t="s">
        <v>813</v>
      </c>
      <c r="B89" t="s">
        <v>358</v>
      </c>
      <c r="C89">
        <v>85499</v>
      </c>
      <c r="D89" s="16">
        <v>85.498999999999995</v>
      </c>
      <c r="E89" t="s">
        <v>730</v>
      </c>
      <c r="F89" s="16">
        <v>0</v>
      </c>
      <c r="G89" s="16">
        <v>0</v>
      </c>
      <c r="H89" s="16">
        <v>0</v>
      </c>
      <c r="I89" t="s">
        <v>107</v>
      </c>
      <c r="J89">
        <v>1</v>
      </c>
      <c r="K89" t="s">
        <v>720</v>
      </c>
      <c r="L89" t="s">
        <v>703</v>
      </c>
      <c r="M89">
        <v>0</v>
      </c>
      <c r="N89" s="3" t="s">
        <v>238</v>
      </c>
      <c r="O89" s="3" t="s">
        <v>240</v>
      </c>
    </row>
    <row r="90" spans="1:15">
      <c r="A90" t="s">
        <v>814</v>
      </c>
      <c r="B90" t="s">
        <v>361</v>
      </c>
      <c r="C90">
        <v>100952</v>
      </c>
      <c r="D90" s="16">
        <v>100.952</v>
      </c>
      <c r="E90" t="s">
        <v>719</v>
      </c>
      <c r="F90" s="16">
        <v>21.7</v>
      </c>
      <c r="G90" s="16">
        <v>21.7</v>
      </c>
      <c r="H90" s="16">
        <v>21.7</v>
      </c>
      <c r="I90" t="s">
        <v>98</v>
      </c>
      <c r="J90">
        <v>1</v>
      </c>
      <c r="K90" t="s">
        <v>720</v>
      </c>
      <c r="L90" t="s">
        <v>703</v>
      </c>
      <c r="M90">
        <v>0</v>
      </c>
      <c r="N90" s="3" t="s">
        <v>238</v>
      </c>
      <c r="O90" s="3" t="s">
        <v>240</v>
      </c>
    </row>
    <row r="91" spans="1:15">
      <c r="A91" t="s">
        <v>815</v>
      </c>
      <c r="B91" t="s">
        <v>361</v>
      </c>
      <c r="C91">
        <v>100952</v>
      </c>
      <c r="D91" s="16">
        <v>100.952</v>
      </c>
      <c r="E91" t="s">
        <v>722</v>
      </c>
      <c r="F91" s="16">
        <v>70.099999999999994</v>
      </c>
      <c r="G91" s="16">
        <v>70.099999999999994</v>
      </c>
      <c r="H91" s="16">
        <v>70.099999999999994</v>
      </c>
      <c r="I91" t="s">
        <v>140</v>
      </c>
      <c r="J91">
        <v>1</v>
      </c>
      <c r="K91" t="s">
        <v>720</v>
      </c>
      <c r="L91" t="s">
        <v>703</v>
      </c>
      <c r="M91">
        <v>0</v>
      </c>
      <c r="N91" s="3" t="s">
        <v>238</v>
      </c>
      <c r="O91" s="3" t="s">
        <v>240</v>
      </c>
    </row>
    <row r="92" spans="1:15">
      <c r="A92" t="s">
        <v>816</v>
      </c>
      <c r="B92" t="s">
        <v>361</v>
      </c>
      <c r="C92">
        <v>100952</v>
      </c>
      <c r="D92" s="16">
        <v>100.952</v>
      </c>
      <c r="E92" t="s">
        <v>724</v>
      </c>
      <c r="F92" s="16">
        <v>-0.72860000000000003</v>
      </c>
      <c r="G92" s="16">
        <v>0.72860000000000003</v>
      </c>
      <c r="H92" s="16">
        <v>0.72860000000000003</v>
      </c>
      <c r="I92" t="s">
        <v>125</v>
      </c>
      <c r="J92">
        <v>1</v>
      </c>
      <c r="K92" t="s">
        <v>725</v>
      </c>
      <c r="L92" t="s">
        <v>703</v>
      </c>
      <c r="M92">
        <v>0</v>
      </c>
      <c r="N92" s="3" t="s">
        <v>238</v>
      </c>
      <c r="O92" s="3" t="s">
        <v>240</v>
      </c>
    </row>
    <row r="93" spans="1:15">
      <c r="A93" t="s">
        <v>817</v>
      </c>
      <c r="B93" t="s">
        <v>361</v>
      </c>
      <c r="C93">
        <v>100952</v>
      </c>
      <c r="D93" s="16">
        <v>100.952</v>
      </c>
      <c r="E93" t="s">
        <v>727</v>
      </c>
      <c r="F93" s="16">
        <v>848</v>
      </c>
      <c r="G93" s="16">
        <v>1</v>
      </c>
      <c r="H93" s="16">
        <v>1</v>
      </c>
      <c r="I93" t="s">
        <v>728</v>
      </c>
      <c r="J93">
        <v>1</v>
      </c>
      <c r="K93" t="s">
        <v>720</v>
      </c>
      <c r="L93" t="s">
        <v>703</v>
      </c>
      <c r="M93">
        <v>0</v>
      </c>
      <c r="N93" s="3" t="s">
        <v>238</v>
      </c>
      <c r="O93" s="3" t="s">
        <v>240</v>
      </c>
    </row>
    <row r="94" spans="1:15">
      <c r="A94" t="s">
        <v>818</v>
      </c>
      <c r="B94" t="s">
        <v>361</v>
      </c>
      <c r="C94">
        <v>100952</v>
      </c>
      <c r="D94" s="16">
        <v>100.952</v>
      </c>
      <c r="E94" t="s">
        <v>730</v>
      </c>
      <c r="F94" s="16">
        <v>0</v>
      </c>
      <c r="G94" s="16">
        <v>0</v>
      </c>
      <c r="H94" s="16">
        <v>0</v>
      </c>
      <c r="I94" t="s">
        <v>107</v>
      </c>
      <c r="J94">
        <v>1</v>
      </c>
      <c r="K94" t="s">
        <v>720</v>
      </c>
      <c r="L94" t="s">
        <v>703</v>
      </c>
      <c r="M94">
        <v>0</v>
      </c>
      <c r="N94" s="3" t="s">
        <v>238</v>
      </c>
      <c r="O94" s="3" t="s">
        <v>240</v>
      </c>
    </row>
    <row r="95" spans="1:15">
      <c r="A95" t="s">
        <v>819</v>
      </c>
      <c r="B95" t="s">
        <v>364</v>
      </c>
      <c r="C95">
        <v>116496</v>
      </c>
      <c r="D95" s="16">
        <v>116.496</v>
      </c>
      <c r="E95" t="s">
        <v>719</v>
      </c>
      <c r="F95" s="16">
        <v>21.8</v>
      </c>
      <c r="G95" s="16">
        <v>21.8</v>
      </c>
      <c r="H95" s="16">
        <v>21.8</v>
      </c>
      <c r="I95" t="s">
        <v>98</v>
      </c>
      <c r="J95">
        <v>1</v>
      </c>
      <c r="K95" t="s">
        <v>720</v>
      </c>
      <c r="L95" t="s">
        <v>703</v>
      </c>
      <c r="M95">
        <v>0</v>
      </c>
      <c r="N95" s="3" t="s">
        <v>238</v>
      </c>
      <c r="O95" s="3" t="s">
        <v>240</v>
      </c>
    </row>
    <row r="96" spans="1:15">
      <c r="A96" t="s">
        <v>820</v>
      </c>
      <c r="B96" t="s">
        <v>364</v>
      </c>
      <c r="C96">
        <v>116496</v>
      </c>
      <c r="D96" s="16">
        <v>116.496</v>
      </c>
      <c r="E96" t="s">
        <v>722</v>
      </c>
      <c r="F96" s="16">
        <v>69.900000000000006</v>
      </c>
      <c r="G96" s="16">
        <v>69.900000000000006</v>
      </c>
      <c r="H96" s="16">
        <v>69.900000000000006</v>
      </c>
      <c r="I96" t="s">
        <v>140</v>
      </c>
      <c r="J96">
        <v>1</v>
      </c>
      <c r="K96" t="s">
        <v>720</v>
      </c>
      <c r="L96" t="s">
        <v>703</v>
      </c>
      <c r="M96">
        <v>0</v>
      </c>
      <c r="N96" s="3" t="s">
        <v>238</v>
      </c>
      <c r="O96" s="3" t="s">
        <v>240</v>
      </c>
    </row>
    <row r="97" spans="1:15">
      <c r="A97" t="s">
        <v>821</v>
      </c>
      <c r="B97" t="s">
        <v>364</v>
      </c>
      <c r="C97">
        <v>116496</v>
      </c>
      <c r="D97" s="16">
        <v>116.496</v>
      </c>
      <c r="E97" t="s">
        <v>724</v>
      </c>
      <c r="F97" s="16">
        <v>-0.62380000000000002</v>
      </c>
      <c r="G97" s="16">
        <v>0.62380000000000002</v>
      </c>
      <c r="H97" s="16">
        <v>0.62380000000000002</v>
      </c>
      <c r="I97" t="s">
        <v>125</v>
      </c>
      <c r="J97">
        <v>1</v>
      </c>
      <c r="K97" t="s">
        <v>725</v>
      </c>
      <c r="L97" t="s">
        <v>703</v>
      </c>
      <c r="M97">
        <v>0</v>
      </c>
      <c r="N97" s="3" t="s">
        <v>238</v>
      </c>
      <c r="O97" s="3" t="s">
        <v>240</v>
      </c>
    </row>
    <row r="98" spans="1:15">
      <c r="A98" t="s">
        <v>822</v>
      </c>
      <c r="B98" t="s">
        <v>364</v>
      </c>
      <c r="C98">
        <v>116496</v>
      </c>
      <c r="D98" s="16">
        <v>116.496</v>
      </c>
      <c r="E98" t="s">
        <v>727</v>
      </c>
      <c r="F98" s="16">
        <v>849</v>
      </c>
      <c r="G98" s="16">
        <v>1</v>
      </c>
      <c r="H98" s="16">
        <v>1</v>
      </c>
      <c r="I98" t="s">
        <v>728</v>
      </c>
      <c r="J98">
        <v>1</v>
      </c>
      <c r="K98" t="s">
        <v>720</v>
      </c>
      <c r="L98" t="s">
        <v>703</v>
      </c>
      <c r="M98">
        <v>0</v>
      </c>
      <c r="N98" s="3" t="s">
        <v>238</v>
      </c>
      <c r="O98" s="3" t="s">
        <v>240</v>
      </c>
    </row>
    <row r="99" spans="1:15">
      <c r="A99" t="s">
        <v>823</v>
      </c>
      <c r="B99" t="s">
        <v>364</v>
      </c>
      <c r="C99">
        <v>116496</v>
      </c>
      <c r="D99" s="16">
        <v>116.496</v>
      </c>
      <c r="E99" t="s">
        <v>730</v>
      </c>
      <c r="F99" s="16">
        <v>0</v>
      </c>
      <c r="G99" s="16">
        <v>0</v>
      </c>
      <c r="H99" s="16">
        <v>0</v>
      </c>
      <c r="I99" t="s">
        <v>107</v>
      </c>
      <c r="J99">
        <v>1</v>
      </c>
      <c r="K99" t="s">
        <v>720</v>
      </c>
      <c r="L99" t="s">
        <v>703</v>
      </c>
      <c r="M99">
        <v>0</v>
      </c>
      <c r="N99" s="3" t="s">
        <v>238</v>
      </c>
      <c r="O99" s="3" t="s">
        <v>240</v>
      </c>
    </row>
    <row r="100" spans="1:15">
      <c r="A100" t="s">
        <v>824</v>
      </c>
      <c r="B100" t="s">
        <v>368</v>
      </c>
      <c r="C100">
        <v>132052</v>
      </c>
      <c r="D100" s="16">
        <v>132.05199999999999</v>
      </c>
      <c r="E100" t="s">
        <v>719</v>
      </c>
      <c r="F100" s="16">
        <v>21.7</v>
      </c>
      <c r="G100" s="16">
        <v>21.7</v>
      </c>
      <c r="H100" s="16">
        <v>21.7</v>
      </c>
      <c r="I100" t="s">
        <v>98</v>
      </c>
      <c r="J100">
        <v>1</v>
      </c>
      <c r="K100" t="s">
        <v>720</v>
      </c>
      <c r="L100" t="s">
        <v>703</v>
      </c>
      <c r="M100">
        <v>0</v>
      </c>
      <c r="N100" s="3" t="s">
        <v>238</v>
      </c>
      <c r="O100" s="3" t="s">
        <v>240</v>
      </c>
    </row>
    <row r="101" spans="1:15">
      <c r="A101" t="s">
        <v>825</v>
      </c>
      <c r="B101" t="s">
        <v>368</v>
      </c>
      <c r="C101">
        <v>132052</v>
      </c>
      <c r="D101" s="16">
        <v>132.05199999999999</v>
      </c>
      <c r="E101" t="s">
        <v>722</v>
      </c>
      <c r="F101" s="16">
        <v>70</v>
      </c>
      <c r="G101" s="16">
        <v>70</v>
      </c>
      <c r="H101" s="16">
        <v>70</v>
      </c>
      <c r="I101" t="s">
        <v>140</v>
      </c>
      <c r="J101">
        <v>1</v>
      </c>
      <c r="K101" t="s">
        <v>720</v>
      </c>
      <c r="L101" t="s">
        <v>703</v>
      </c>
      <c r="M101">
        <v>0</v>
      </c>
      <c r="N101" s="3" t="s">
        <v>238</v>
      </c>
      <c r="O101" s="3" t="s">
        <v>240</v>
      </c>
    </row>
    <row r="102" spans="1:15">
      <c r="A102" t="s">
        <v>826</v>
      </c>
      <c r="B102" t="s">
        <v>368</v>
      </c>
      <c r="C102">
        <v>132052</v>
      </c>
      <c r="D102" s="16">
        <v>132.05199999999999</v>
      </c>
      <c r="E102" t="s">
        <v>724</v>
      </c>
      <c r="F102" s="16">
        <v>-1.3833</v>
      </c>
      <c r="G102" s="16">
        <v>1.3833</v>
      </c>
      <c r="H102" s="16">
        <v>1.3833</v>
      </c>
      <c r="I102" t="s">
        <v>125</v>
      </c>
      <c r="J102">
        <v>1</v>
      </c>
      <c r="K102" t="s">
        <v>725</v>
      </c>
      <c r="L102" t="s">
        <v>703</v>
      </c>
      <c r="M102">
        <v>0</v>
      </c>
      <c r="N102" s="3" t="s">
        <v>238</v>
      </c>
      <c r="O102" s="3" t="s">
        <v>240</v>
      </c>
    </row>
    <row r="103" spans="1:15">
      <c r="A103" t="s">
        <v>827</v>
      </c>
      <c r="B103" t="s">
        <v>368</v>
      </c>
      <c r="C103">
        <v>132052</v>
      </c>
      <c r="D103" s="16">
        <v>132.05199999999999</v>
      </c>
      <c r="E103" t="s">
        <v>727</v>
      </c>
      <c r="F103" s="16">
        <v>864</v>
      </c>
      <c r="G103" s="16">
        <v>0</v>
      </c>
      <c r="H103" s="16">
        <v>0</v>
      </c>
      <c r="I103" t="s">
        <v>728</v>
      </c>
      <c r="J103">
        <v>1</v>
      </c>
      <c r="K103" t="s">
        <v>720</v>
      </c>
      <c r="L103" t="s">
        <v>703</v>
      </c>
      <c r="M103">
        <v>0</v>
      </c>
      <c r="N103" s="3" t="s">
        <v>238</v>
      </c>
      <c r="O103" s="3" t="s">
        <v>240</v>
      </c>
    </row>
    <row r="104" spans="1:15">
      <c r="A104" t="s">
        <v>828</v>
      </c>
      <c r="B104" t="s">
        <v>368</v>
      </c>
      <c r="C104">
        <v>132052</v>
      </c>
      <c r="D104" s="16">
        <v>132.05199999999999</v>
      </c>
      <c r="E104" t="s">
        <v>730</v>
      </c>
      <c r="F104" s="16">
        <v>0</v>
      </c>
      <c r="G104" s="16">
        <v>0</v>
      </c>
      <c r="H104" s="16">
        <v>0</v>
      </c>
      <c r="I104" t="s">
        <v>107</v>
      </c>
      <c r="J104">
        <v>1</v>
      </c>
      <c r="K104" t="s">
        <v>720</v>
      </c>
      <c r="L104" t="s">
        <v>703</v>
      </c>
      <c r="M104">
        <v>0</v>
      </c>
      <c r="N104" s="3" t="s">
        <v>238</v>
      </c>
      <c r="O104" s="3" t="s">
        <v>240</v>
      </c>
    </row>
    <row r="105" spans="1:15" ht="27.6">
      <c r="A105" t="s">
        <v>829</v>
      </c>
      <c r="B105" t="s">
        <v>384</v>
      </c>
      <c r="C105">
        <v>5107</v>
      </c>
      <c r="D105" s="16">
        <v>5.1070000000000002</v>
      </c>
      <c r="E105" t="s">
        <v>719</v>
      </c>
      <c r="F105" s="16">
        <v>27.2</v>
      </c>
      <c r="G105" s="16">
        <v>27.2</v>
      </c>
      <c r="H105" s="16">
        <v>27.2</v>
      </c>
      <c r="I105" t="s">
        <v>98</v>
      </c>
      <c r="J105">
        <v>1</v>
      </c>
      <c r="K105" t="s">
        <v>720</v>
      </c>
      <c r="L105" t="s">
        <v>385</v>
      </c>
      <c r="M105">
        <v>0</v>
      </c>
      <c r="N105" s="3" t="s">
        <v>257</v>
      </c>
      <c r="O105" s="3"/>
    </row>
    <row r="106" spans="1:15" ht="27.6">
      <c r="A106" t="s">
        <v>830</v>
      </c>
      <c r="B106" t="s">
        <v>384</v>
      </c>
      <c r="C106">
        <v>5107</v>
      </c>
      <c r="D106" s="16">
        <v>5.1070000000000002</v>
      </c>
      <c r="E106" t="s">
        <v>722</v>
      </c>
      <c r="F106" s="16">
        <v>81.599999999999994</v>
      </c>
      <c r="G106" s="16">
        <v>81.599999999999994</v>
      </c>
      <c r="H106" s="16">
        <v>81.599999999999994</v>
      </c>
      <c r="I106" t="s">
        <v>140</v>
      </c>
      <c r="J106">
        <v>1</v>
      </c>
      <c r="K106" t="s">
        <v>720</v>
      </c>
      <c r="L106" t="s">
        <v>385</v>
      </c>
      <c r="M106">
        <v>0</v>
      </c>
      <c r="N106" s="3" t="s">
        <v>257</v>
      </c>
      <c r="O106" s="3"/>
    </row>
    <row r="107" spans="1:15" ht="27.6">
      <c r="A107" t="s">
        <v>831</v>
      </c>
      <c r="B107" t="s">
        <v>384</v>
      </c>
      <c r="C107">
        <v>5107</v>
      </c>
      <c r="D107" s="16">
        <v>5.1070000000000002</v>
      </c>
      <c r="E107" t="s">
        <v>724</v>
      </c>
      <c r="F107" s="16">
        <v>0</v>
      </c>
      <c r="G107" s="16">
        <v>0</v>
      </c>
      <c r="H107" s="16">
        <v>0</v>
      </c>
      <c r="I107" t="s">
        <v>125</v>
      </c>
      <c r="J107">
        <v>1</v>
      </c>
      <c r="K107" t="s">
        <v>720</v>
      </c>
      <c r="L107" t="s">
        <v>385</v>
      </c>
      <c r="M107">
        <v>0</v>
      </c>
      <c r="N107" s="3" t="s">
        <v>257</v>
      </c>
      <c r="O107" s="3"/>
    </row>
    <row r="108" spans="1:15" ht="27.6">
      <c r="A108" t="s">
        <v>832</v>
      </c>
      <c r="B108" t="s">
        <v>384</v>
      </c>
      <c r="C108">
        <v>5107</v>
      </c>
      <c r="D108" s="16">
        <v>5.1070000000000002</v>
      </c>
      <c r="E108" t="s">
        <v>727</v>
      </c>
      <c r="F108" s="16">
        <v>1</v>
      </c>
      <c r="G108" s="16">
        <v>1</v>
      </c>
      <c r="H108" s="16">
        <v>1</v>
      </c>
      <c r="I108" t="s">
        <v>728</v>
      </c>
      <c r="J108">
        <v>1</v>
      </c>
      <c r="K108" t="s">
        <v>720</v>
      </c>
      <c r="L108" t="s">
        <v>385</v>
      </c>
      <c r="M108">
        <v>0</v>
      </c>
      <c r="N108" s="3" t="s">
        <v>257</v>
      </c>
      <c r="O108" s="3"/>
    </row>
    <row r="109" spans="1:15" ht="27.6">
      <c r="A109" t="s">
        <v>833</v>
      </c>
      <c r="B109" t="s">
        <v>384</v>
      </c>
      <c r="C109">
        <v>5107</v>
      </c>
      <c r="D109" s="16">
        <v>5.1070000000000002</v>
      </c>
      <c r="E109" t="s">
        <v>730</v>
      </c>
      <c r="F109" s="16">
        <v>0</v>
      </c>
      <c r="G109" s="16">
        <v>0</v>
      </c>
      <c r="H109" s="16">
        <v>0</v>
      </c>
      <c r="I109" t="s">
        <v>107</v>
      </c>
      <c r="J109">
        <v>1</v>
      </c>
      <c r="K109" t="s">
        <v>720</v>
      </c>
      <c r="L109" t="s">
        <v>385</v>
      </c>
      <c r="M109">
        <v>0</v>
      </c>
      <c r="N109" s="3" t="s">
        <v>257</v>
      </c>
      <c r="O109" s="3"/>
    </row>
    <row r="110" spans="1:15" ht="27.6">
      <c r="A110" t="s">
        <v>834</v>
      </c>
      <c r="B110" t="s">
        <v>387</v>
      </c>
      <c r="C110">
        <v>10128</v>
      </c>
      <c r="D110" s="16">
        <v>10.128</v>
      </c>
      <c r="E110" t="s">
        <v>719</v>
      </c>
      <c r="F110" s="16">
        <v>27.3</v>
      </c>
      <c r="G110" s="16">
        <v>27.3</v>
      </c>
      <c r="H110" s="16">
        <v>27.3</v>
      </c>
      <c r="I110" t="s">
        <v>98</v>
      </c>
      <c r="J110">
        <v>1</v>
      </c>
      <c r="K110" t="s">
        <v>720</v>
      </c>
      <c r="L110" t="s">
        <v>385</v>
      </c>
      <c r="M110">
        <v>0</v>
      </c>
      <c r="N110" s="3" t="s">
        <v>257</v>
      </c>
      <c r="O110" s="3"/>
    </row>
    <row r="111" spans="1:15" ht="27.6">
      <c r="A111" t="s">
        <v>835</v>
      </c>
      <c r="B111" t="s">
        <v>387</v>
      </c>
      <c r="C111">
        <v>10128</v>
      </c>
      <c r="D111" s="16">
        <v>10.128</v>
      </c>
      <c r="E111" t="s">
        <v>722</v>
      </c>
      <c r="F111" s="16">
        <v>82</v>
      </c>
      <c r="G111" s="16">
        <v>82</v>
      </c>
      <c r="H111" s="16">
        <v>82</v>
      </c>
      <c r="I111" t="s">
        <v>140</v>
      </c>
      <c r="J111">
        <v>1</v>
      </c>
      <c r="K111" t="s">
        <v>720</v>
      </c>
      <c r="L111" t="s">
        <v>385</v>
      </c>
      <c r="M111">
        <v>0</v>
      </c>
      <c r="N111" s="3" t="s">
        <v>257</v>
      </c>
      <c r="O111" s="3"/>
    </row>
    <row r="112" spans="1:15" ht="27.6">
      <c r="A112" t="s">
        <v>836</v>
      </c>
      <c r="B112" t="s">
        <v>387</v>
      </c>
      <c r="C112">
        <v>10128</v>
      </c>
      <c r="D112" s="16">
        <v>10.128</v>
      </c>
      <c r="E112" t="s">
        <v>724</v>
      </c>
      <c r="F112" s="16">
        <v>0.1</v>
      </c>
      <c r="G112" s="16">
        <v>0.1</v>
      </c>
      <c r="H112" s="16">
        <v>0.1</v>
      </c>
      <c r="I112" t="s">
        <v>125</v>
      </c>
      <c r="J112">
        <v>1</v>
      </c>
      <c r="K112" t="s">
        <v>720</v>
      </c>
      <c r="L112" t="s">
        <v>385</v>
      </c>
      <c r="M112">
        <v>0</v>
      </c>
      <c r="N112" s="3" t="s">
        <v>257</v>
      </c>
      <c r="O112" s="3"/>
    </row>
    <row r="113" spans="1:15" ht="27.6">
      <c r="A113" t="s">
        <v>837</v>
      </c>
      <c r="B113" t="s">
        <v>387</v>
      </c>
      <c r="C113">
        <v>10128</v>
      </c>
      <c r="D113" s="16">
        <v>10.128</v>
      </c>
      <c r="E113" t="s">
        <v>727</v>
      </c>
      <c r="F113" s="16">
        <v>1</v>
      </c>
      <c r="G113" s="16">
        <v>1</v>
      </c>
      <c r="H113" s="16">
        <v>1</v>
      </c>
      <c r="I113" t="s">
        <v>728</v>
      </c>
      <c r="J113">
        <v>1</v>
      </c>
      <c r="K113" t="s">
        <v>720</v>
      </c>
      <c r="L113" t="s">
        <v>385</v>
      </c>
      <c r="M113">
        <v>0</v>
      </c>
      <c r="N113" s="3" t="s">
        <v>257</v>
      </c>
      <c r="O113" s="3"/>
    </row>
    <row r="114" spans="1:15" ht="27.6">
      <c r="A114" t="s">
        <v>838</v>
      </c>
      <c r="B114" t="s">
        <v>387</v>
      </c>
      <c r="C114">
        <v>10128</v>
      </c>
      <c r="D114" s="16">
        <v>10.128</v>
      </c>
      <c r="E114" t="s">
        <v>730</v>
      </c>
      <c r="F114" s="16">
        <v>0</v>
      </c>
      <c r="G114" s="16">
        <v>0</v>
      </c>
      <c r="H114" s="16">
        <v>0</v>
      </c>
      <c r="I114" t="s">
        <v>107</v>
      </c>
      <c r="J114">
        <v>1</v>
      </c>
      <c r="K114" t="s">
        <v>720</v>
      </c>
      <c r="L114" t="s">
        <v>385</v>
      </c>
      <c r="M114">
        <v>0</v>
      </c>
      <c r="N114" s="3" t="s">
        <v>257</v>
      </c>
      <c r="O114" s="3"/>
    </row>
    <row r="115" spans="1:15" ht="27.6">
      <c r="A115" t="s">
        <v>839</v>
      </c>
      <c r="B115" t="s">
        <v>388</v>
      </c>
      <c r="C115">
        <v>15147</v>
      </c>
      <c r="D115" s="16">
        <v>15.147</v>
      </c>
      <c r="E115" t="s">
        <v>719</v>
      </c>
      <c r="F115" s="16">
        <v>27.3</v>
      </c>
      <c r="G115" s="16">
        <v>27.3</v>
      </c>
      <c r="H115" s="16">
        <v>27.3</v>
      </c>
      <c r="I115" t="s">
        <v>98</v>
      </c>
      <c r="J115">
        <v>1</v>
      </c>
      <c r="K115" t="s">
        <v>720</v>
      </c>
      <c r="L115" t="s">
        <v>385</v>
      </c>
      <c r="M115">
        <v>0</v>
      </c>
      <c r="N115" s="3" t="s">
        <v>257</v>
      </c>
      <c r="O115" s="3"/>
    </row>
    <row r="116" spans="1:15" ht="27.6">
      <c r="A116" t="s">
        <v>840</v>
      </c>
      <c r="B116" t="s">
        <v>388</v>
      </c>
      <c r="C116">
        <v>15147</v>
      </c>
      <c r="D116" s="16">
        <v>15.147</v>
      </c>
      <c r="E116" t="s">
        <v>722</v>
      </c>
      <c r="F116" s="16">
        <v>82</v>
      </c>
      <c r="G116" s="16">
        <v>82</v>
      </c>
      <c r="H116" s="16">
        <v>82</v>
      </c>
      <c r="I116" t="s">
        <v>140</v>
      </c>
      <c r="J116">
        <v>1</v>
      </c>
      <c r="K116" t="s">
        <v>720</v>
      </c>
      <c r="L116" t="s">
        <v>385</v>
      </c>
      <c r="M116">
        <v>0</v>
      </c>
      <c r="N116" s="3" t="s">
        <v>257</v>
      </c>
      <c r="O116" s="3"/>
    </row>
    <row r="117" spans="1:15" ht="27.6">
      <c r="A117" t="s">
        <v>841</v>
      </c>
      <c r="B117" t="s">
        <v>388</v>
      </c>
      <c r="C117">
        <v>15147</v>
      </c>
      <c r="D117" s="16">
        <v>15.147</v>
      </c>
      <c r="E117" t="s">
        <v>724</v>
      </c>
      <c r="F117" s="16">
        <v>0.3</v>
      </c>
      <c r="G117" s="16">
        <v>0.3</v>
      </c>
      <c r="H117" s="16">
        <v>0.3</v>
      </c>
      <c r="I117" t="s">
        <v>125</v>
      </c>
      <c r="J117">
        <v>1</v>
      </c>
      <c r="K117" t="s">
        <v>720</v>
      </c>
      <c r="L117" t="s">
        <v>385</v>
      </c>
      <c r="M117">
        <v>0</v>
      </c>
      <c r="N117" s="3" t="s">
        <v>257</v>
      </c>
      <c r="O117" s="3"/>
    </row>
    <row r="118" spans="1:15" ht="27.6">
      <c r="A118" t="s">
        <v>842</v>
      </c>
      <c r="B118" t="s">
        <v>388</v>
      </c>
      <c r="C118">
        <v>15147</v>
      </c>
      <c r="D118" s="16">
        <v>15.147</v>
      </c>
      <c r="E118" t="s">
        <v>727</v>
      </c>
      <c r="F118" s="16">
        <v>1</v>
      </c>
      <c r="G118" s="16">
        <v>1</v>
      </c>
      <c r="H118" s="16">
        <v>1</v>
      </c>
      <c r="I118" t="s">
        <v>728</v>
      </c>
      <c r="J118">
        <v>1</v>
      </c>
      <c r="K118" t="s">
        <v>720</v>
      </c>
      <c r="L118" t="s">
        <v>385</v>
      </c>
      <c r="M118">
        <v>0</v>
      </c>
      <c r="N118" s="3" t="s">
        <v>257</v>
      </c>
      <c r="O118" s="3"/>
    </row>
    <row r="119" spans="1:15" ht="27.6">
      <c r="A119" t="s">
        <v>843</v>
      </c>
      <c r="B119" t="s">
        <v>388</v>
      </c>
      <c r="C119">
        <v>15147</v>
      </c>
      <c r="D119" s="16">
        <v>15.147</v>
      </c>
      <c r="E119" t="s">
        <v>730</v>
      </c>
      <c r="F119" s="16">
        <v>0</v>
      </c>
      <c r="G119" s="16">
        <v>0</v>
      </c>
      <c r="H119" s="16">
        <v>0</v>
      </c>
      <c r="I119" t="s">
        <v>107</v>
      </c>
      <c r="J119">
        <v>1</v>
      </c>
      <c r="K119" t="s">
        <v>720</v>
      </c>
      <c r="L119" t="s">
        <v>385</v>
      </c>
      <c r="M119">
        <v>0</v>
      </c>
      <c r="N119" s="3" t="s">
        <v>257</v>
      </c>
      <c r="O119" s="3"/>
    </row>
    <row r="120" spans="1:15" ht="27.6">
      <c r="A120" t="s">
        <v>844</v>
      </c>
      <c r="B120" t="s">
        <v>389</v>
      </c>
      <c r="C120">
        <v>20167</v>
      </c>
      <c r="D120" s="16">
        <v>20.167000000000002</v>
      </c>
      <c r="E120" t="s">
        <v>719</v>
      </c>
      <c r="F120" s="16">
        <v>27.3</v>
      </c>
      <c r="G120" s="16">
        <v>27.3</v>
      </c>
      <c r="H120" s="16">
        <v>27.3</v>
      </c>
      <c r="I120" t="s">
        <v>98</v>
      </c>
      <c r="J120">
        <v>1</v>
      </c>
      <c r="K120" t="s">
        <v>720</v>
      </c>
      <c r="L120" t="s">
        <v>385</v>
      </c>
      <c r="M120">
        <v>0</v>
      </c>
      <c r="N120" s="3" t="s">
        <v>257</v>
      </c>
      <c r="O120" s="3"/>
    </row>
    <row r="121" spans="1:15" ht="27.6">
      <c r="A121" t="s">
        <v>845</v>
      </c>
      <c r="B121" t="s">
        <v>389</v>
      </c>
      <c r="C121">
        <v>20167</v>
      </c>
      <c r="D121" s="16">
        <v>20.167000000000002</v>
      </c>
      <c r="E121" t="s">
        <v>722</v>
      </c>
      <c r="F121" s="16">
        <v>82</v>
      </c>
      <c r="G121" s="16">
        <v>82</v>
      </c>
      <c r="H121" s="16">
        <v>82</v>
      </c>
      <c r="I121" t="s">
        <v>140</v>
      </c>
      <c r="J121">
        <v>1</v>
      </c>
      <c r="K121" t="s">
        <v>720</v>
      </c>
      <c r="L121" t="s">
        <v>385</v>
      </c>
      <c r="M121">
        <v>0</v>
      </c>
      <c r="N121" s="3" t="s">
        <v>257</v>
      </c>
      <c r="O121" s="3"/>
    </row>
    <row r="122" spans="1:15" ht="27.6">
      <c r="A122" t="s">
        <v>846</v>
      </c>
      <c r="B122" t="s">
        <v>389</v>
      </c>
      <c r="C122">
        <v>20167</v>
      </c>
      <c r="D122" s="16">
        <v>20.167000000000002</v>
      </c>
      <c r="E122" t="s">
        <v>724</v>
      </c>
      <c r="F122" s="16">
        <v>0.2</v>
      </c>
      <c r="G122" s="16">
        <v>0.2</v>
      </c>
      <c r="H122" s="16">
        <v>0.2</v>
      </c>
      <c r="I122" t="s">
        <v>125</v>
      </c>
      <c r="J122">
        <v>1</v>
      </c>
      <c r="K122" t="s">
        <v>720</v>
      </c>
      <c r="L122" t="s">
        <v>385</v>
      </c>
      <c r="M122">
        <v>0</v>
      </c>
      <c r="N122" s="3" t="s">
        <v>257</v>
      </c>
      <c r="O122" s="3"/>
    </row>
    <row r="123" spans="1:15" ht="27.6">
      <c r="A123" t="s">
        <v>847</v>
      </c>
      <c r="B123" t="s">
        <v>389</v>
      </c>
      <c r="C123">
        <v>20167</v>
      </c>
      <c r="D123" s="16">
        <v>20.167000000000002</v>
      </c>
      <c r="E123" t="s">
        <v>727</v>
      </c>
      <c r="F123" s="16">
        <v>1</v>
      </c>
      <c r="G123" s="16">
        <v>1</v>
      </c>
      <c r="H123" s="16">
        <v>1</v>
      </c>
      <c r="I123" t="s">
        <v>728</v>
      </c>
      <c r="J123">
        <v>1</v>
      </c>
      <c r="K123" t="s">
        <v>720</v>
      </c>
      <c r="L123" t="s">
        <v>385</v>
      </c>
      <c r="M123">
        <v>0</v>
      </c>
      <c r="N123" s="3" t="s">
        <v>257</v>
      </c>
      <c r="O123" s="3"/>
    </row>
    <row r="124" spans="1:15" ht="27.6">
      <c r="A124" t="s">
        <v>848</v>
      </c>
      <c r="B124" t="s">
        <v>389</v>
      </c>
      <c r="C124">
        <v>20167</v>
      </c>
      <c r="D124" s="16">
        <v>20.167000000000002</v>
      </c>
      <c r="E124" t="s">
        <v>730</v>
      </c>
      <c r="F124" s="16">
        <v>0</v>
      </c>
      <c r="G124" s="16">
        <v>0</v>
      </c>
      <c r="H124" s="16">
        <v>0</v>
      </c>
      <c r="I124" t="s">
        <v>107</v>
      </c>
      <c r="J124">
        <v>1</v>
      </c>
      <c r="K124" t="s">
        <v>720</v>
      </c>
      <c r="L124" t="s">
        <v>385</v>
      </c>
      <c r="M124">
        <v>0</v>
      </c>
      <c r="N124" s="3" t="s">
        <v>257</v>
      </c>
      <c r="O124" s="3"/>
    </row>
    <row r="125" spans="1:15" ht="27.6">
      <c r="A125" t="s">
        <v>849</v>
      </c>
      <c r="B125" t="s">
        <v>390</v>
      </c>
      <c r="C125">
        <v>25188</v>
      </c>
      <c r="D125" s="16">
        <v>25.187999999999999</v>
      </c>
      <c r="E125" t="s">
        <v>719</v>
      </c>
      <c r="F125" s="16">
        <v>27.3</v>
      </c>
      <c r="G125" s="16">
        <v>27.3</v>
      </c>
      <c r="H125" s="16">
        <v>27.3</v>
      </c>
      <c r="I125" t="s">
        <v>98</v>
      </c>
      <c r="J125">
        <v>1</v>
      </c>
      <c r="K125" t="s">
        <v>720</v>
      </c>
      <c r="L125" t="s">
        <v>385</v>
      </c>
      <c r="M125">
        <v>0</v>
      </c>
      <c r="N125" s="3" t="s">
        <v>257</v>
      </c>
      <c r="O125" s="3"/>
    </row>
    <row r="126" spans="1:15" ht="27.6">
      <c r="A126" t="s">
        <v>850</v>
      </c>
      <c r="B126" t="s">
        <v>390</v>
      </c>
      <c r="C126">
        <v>25188</v>
      </c>
      <c r="D126" s="16">
        <v>25.187999999999999</v>
      </c>
      <c r="E126" t="s">
        <v>722</v>
      </c>
      <c r="F126" s="16">
        <v>82.1</v>
      </c>
      <c r="G126" s="16">
        <v>82.1</v>
      </c>
      <c r="H126" s="16">
        <v>82.1</v>
      </c>
      <c r="I126" t="s">
        <v>140</v>
      </c>
      <c r="J126">
        <v>1</v>
      </c>
      <c r="K126" t="s">
        <v>720</v>
      </c>
      <c r="L126" t="s">
        <v>385</v>
      </c>
      <c r="M126">
        <v>0</v>
      </c>
      <c r="N126" s="3" t="s">
        <v>257</v>
      </c>
      <c r="O126" s="3"/>
    </row>
    <row r="127" spans="1:15" ht="27.6">
      <c r="A127" t="s">
        <v>851</v>
      </c>
      <c r="B127" t="s">
        <v>390</v>
      </c>
      <c r="C127">
        <v>25188</v>
      </c>
      <c r="D127" s="16">
        <v>25.187999999999999</v>
      </c>
      <c r="E127" t="s">
        <v>724</v>
      </c>
      <c r="F127" s="16">
        <v>0.4</v>
      </c>
      <c r="G127" s="16">
        <v>0.4</v>
      </c>
      <c r="H127" s="16">
        <v>0.4</v>
      </c>
      <c r="I127" t="s">
        <v>125</v>
      </c>
      <c r="J127">
        <v>1</v>
      </c>
      <c r="K127" t="s">
        <v>720</v>
      </c>
      <c r="L127" t="s">
        <v>385</v>
      </c>
      <c r="M127">
        <v>0</v>
      </c>
      <c r="N127" s="3" t="s">
        <v>257</v>
      </c>
      <c r="O127" s="3"/>
    </row>
    <row r="128" spans="1:15" ht="27.6">
      <c r="A128" t="s">
        <v>852</v>
      </c>
      <c r="B128" t="s">
        <v>390</v>
      </c>
      <c r="C128">
        <v>25188</v>
      </c>
      <c r="D128" s="16">
        <v>25.187999999999999</v>
      </c>
      <c r="E128" t="s">
        <v>727</v>
      </c>
      <c r="F128" s="16">
        <v>1</v>
      </c>
      <c r="G128" s="16">
        <v>1</v>
      </c>
      <c r="H128" s="16">
        <v>1</v>
      </c>
      <c r="I128" t="s">
        <v>728</v>
      </c>
      <c r="J128">
        <v>1</v>
      </c>
      <c r="K128" t="s">
        <v>720</v>
      </c>
      <c r="L128" t="s">
        <v>385</v>
      </c>
      <c r="M128">
        <v>0</v>
      </c>
      <c r="N128" s="3" t="s">
        <v>257</v>
      </c>
      <c r="O128" s="3"/>
    </row>
    <row r="129" spans="1:15" ht="27.6">
      <c r="A129" t="s">
        <v>853</v>
      </c>
      <c r="B129" t="s">
        <v>390</v>
      </c>
      <c r="C129">
        <v>25188</v>
      </c>
      <c r="D129" s="16">
        <v>25.187999999999999</v>
      </c>
      <c r="E129" t="s">
        <v>730</v>
      </c>
      <c r="F129" s="16">
        <v>0</v>
      </c>
      <c r="G129" s="16">
        <v>0</v>
      </c>
      <c r="H129" s="16">
        <v>0</v>
      </c>
      <c r="I129" t="s">
        <v>107</v>
      </c>
      <c r="J129">
        <v>1</v>
      </c>
      <c r="K129" t="s">
        <v>720</v>
      </c>
      <c r="L129" t="s">
        <v>385</v>
      </c>
      <c r="M129">
        <v>0</v>
      </c>
      <c r="N129" s="3" t="s">
        <v>257</v>
      </c>
      <c r="O129" s="3"/>
    </row>
    <row r="130" spans="1:15" ht="27.6">
      <c r="A130" t="s">
        <v>854</v>
      </c>
      <c r="B130" t="s">
        <v>391</v>
      </c>
      <c r="C130">
        <v>30206</v>
      </c>
      <c r="D130" s="16">
        <v>30.206</v>
      </c>
      <c r="E130" t="s">
        <v>719</v>
      </c>
      <c r="F130" s="16">
        <v>27.3</v>
      </c>
      <c r="G130" s="16">
        <v>27.3</v>
      </c>
      <c r="H130" s="16">
        <v>27.3</v>
      </c>
      <c r="I130" t="s">
        <v>98</v>
      </c>
      <c r="J130">
        <v>1</v>
      </c>
      <c r="K130" t="s">
        <v>720</v>
      </c>
      <c r="L130" t="s">
        <v>385</v>
      </c>
      <c r="M130">
        <v>0</v>
      </c>
      <c r="N130" s="3" t="s">
        <v>257</v>
      </c>
      <c r="O130" s="3"/>
    </row>
    <row r="131" spans="1:15" ht="27.6">
      <c r="A131" t="s">
        <v>855</v>
      </c>
      <c r="B131" t="s">
        <v>391</v>
      </c>
      <c r="C131">
        <v>30206</v>
      </c>
      <c r="D131" s="16">
        <v>30.206</v>
      </c>
      <c r="E131" t="s">
        <v>722</v>
      </c>
      <c r="F131" s="16">
        <v>82.1</v>
      </c>
      <c r="G131" s="16">
        <v>82.1</v>
      </c>
      <c r="H131" s="16">
        <v>82.1</v>
      </c>
      <c r="I131" t="s">
        <v>140</v>
      </c>
      <c r="J131">
        <v>1</v>
      </c>
      <c r="K131" t="s">
        <v>720</v>
      </c>
      <c r="L131" t="s">
        <v>385</v>
      </c>
      <c r="M131">
        <v>0</v>
      </c>
      <c r="N131" s="3" t="s">
        <v>257</v>
      </c>
      <c r="O131" s="3"/>
    </row>
    <row r="132" spans="1:15" ht="27.6">
      <c r="A132" t="s">
        <v>856</v>
      </c>
      <c r="B132" t="s">
        <v>391</v>
      </c>
      <c r="C132">
        <v>30206</v>
      </c>
      <c r="D132" s="16">
        <v>30.206</v>
      </c>
      <c r="E132" t="s">
        <v>724</v>
      </c>
      <c r="F132" s="16">
        <v>0.3</v>
      </c>
      <c r="G132" s="16">
        <v>0.3</v>
      </c>
      <c r="H132" s="16">
        <v>0.3</v>
      </c>
      <c r="I132" t="s">
        <v>125</v>
      </c>
      <c r="J132">
        <v>1</v>
      </c>
      <c r="K132" t="s">
        <v>720</v>
      </c>
      <c r="L132" t="s">
        <v>385</v>
      </c>
      <c r="M132">
        <v>0</v>
      </c>
      <c r="N132" s="3" t="s">
        <v>257</v>
      </c>
      <c r="O132" s="3"/>
    </row>
    <row r="133" spans="1:15" ht="27.6">
      <c r="A133" t="s">
        <v>857</v>
      </c>
      <c r="B133" t="s">
        <v>391</v>
      </c>
      <c r="C133">
        <v>30206</v>
      </c>
      <c r="D133" s="16">
        <v>30.206</v>
      </c>
      <c r="E133" t="s">
        <v>727</v>
      </c>
      <c r="F133" s="16">
        <v>1</v>
      </c>
      <c r="G133" s="16">
        <v>1</v>
      </c>
      <c r="H133" s="16">
        <v>1</v>
      </c>
      <c r="I133" t="s">
        <v>728</v>
      </c>
      <c r="J133">
        <v>1</v>
      </c>
      <c r="K133" t="s">
        <v>720</v>
      </c>
      <c r="L133" t="s">
        <v>385</v>
      </c>
      <c r="M133">
        <v>0</v>
      </c>
      <c r="N133" s="3" t="s">
        <v>257</v>
      </c>
      <c r="O133" s="3"/>
    </row>
    <row r="134" spans="1:15" ht="27.6">
      <c r="A134" t="s">
        <v>858</v>
      </c>
      <c r="B134" t="s">
        <v>391</v>
      </c>
      <c r="C134">
        <v>30206</v>
      </c>
      <c r="D134" s="16">
        <v>30.206</v>
      </c>
      <c r="E134" t="s">
        <v>730</v>
      </c>
      <c r="F134" s="16">
        <v>0</v>
      </c>
      <c r="G134" s="16">
        <v>0</v>
      </c>
      <c r="H134" s="16">
        <v>0</v>
      </c>
      <c r="I134" t="s">
        <v>107</v>
      </c>
      <c r="J134">
        <v>1</v>
      </c>
      <c r="K134" t="s">
        <v>720</v>
      </c>
      <c r="L134" t="s">
        <v>385</v>
      </c>
      <c r="M134">
        <v>0</v>
      </c>
      <c r="N134" s="3" t="s">
        <v>257</v>
      </c>
      <c r="O134" s="3"/>
    </row>
    <row r="135" spans="1:15" ht="27.6">
      <c r="A135" t="s">
        <v>859</v>
      </c>
      <c r="B135" t="s">
        <v>392</v>
      </c>
      <c r="C135">
        <v>35227</v>
      </c>
      <c r="D135" s="16">
        <v>35.226999999999997</v>
      </c>
      <c r="E135" t="s">
        <v>719</v>
      </c>
      <c r="F135" s="16">
        <v>27.3</v>
      </c>
      <c r="G135" s="16">
        <v>27.3</v>
      </c>
      <c r="H135" s="16">
        <v>27.3</v>
      </c>
      <c r="I135" t="s">
        <v>98</v>
      </c>
      <c r="J135">
        <v>1</v>
      </c>
      <c r="K135" t="s">
        <v>720</v>
      </c>
      <c r="L135" t="s">
        <v>385</v>
      </c>
      <c r="M135">
        <v>0</v>
      </c>
      <c r="N135" s="3" t="s">
        <v>257</v>
      </c>
      <c r="O135" s="3"/>
    </row>
    <row r="136" spans="1:15" ht="27.6">
      <c r="A136" t="s">
        <v>860</v>
      </c>
      <c r="B136" t="s">
        <v>392</v>
      </c>
      <c r="C136">
        <v>35227</v>
      </c>
      <c r="D136" s="16">
        <v>35.226999999999997</v>
      </c>
      <c r="E136" t="s">
        <v>722</v>
      </c>
      <c r="F136" s="16">
        <v>82.1</v>
      </c>
      <c r="G136" s="16">
        <v>82.1</v>
      </c>
      <c r="H136" s="16">
        <v>82.1</v>
      </c>
      <c r="I136" t="s">
        <v>140</v>
      </c>
      <c r="J136">
        <v>1</v>
      </c>
      <c r="K136" t="s">
        <v>720</v>
      </c>
      <c r="L136" t="s">
        <v>385</v>
      </c>
      <c r="M136">
        <v>0</v>
      </c>
      <c r="N136" s="3" t="s">
        <v>257</v>
      </c>
      <c r="O136" s="3"/>
    </row>
    <row r="137" spans="1:15" ht="27.6">
      <c r="A137" t="s">
        <v>861</v>
      </c>
      <c r="B137" t="s">
        <v>392</v>
      </c>
      <c r="C137">
        <v>35227</v>
      </c>
      <c r="D137" s="16">
        <v>35.226999999999997</v>
      </c>
      <c r="E137" t="s">
        <v>724</v>
      </c>
      <c r="F137" s="16">
        <v>0.5</v>
      </c>
      <c r="G137" s="16">
        <v>0.5</v>
      </c>
      <c r="H137" s="16">
        <v>0.5</v>
      </c>
      <c r="I137" t="s">
        <v>125</v>
      </c>
      <c r="J137">
        <v>1</v>
      </c>
      <c r="K137" t="s">
        <v>720</v>
      </c>
      <c r="L137" t="s">
        <v>385</v>
      </c>
      <c r="M137">
        <v>0</v>
      </c>
      <c r="N137" s="3" t="s">
        <v>257</v>
      </c>
      <c r="O137" s="3"/>
    </row>
    <row r="138" spans="1:15" ht="27.6">
      <c r="A138" t="s">
        <v>862</v>
      </c>
      <c r="B138" t="s">
        <v>392</v>
      </c>
      <c r="C138">
        <v>35227</v>
      </c>
      <c r="D138" s="16">
        <v>35.226999999999997</v>
      </c>
      <c r="E138" t="s">
        <v>727</v>
      </c>
      <c r="F138" s="16">
        <v>1</v>
      </c>
      <c r="G138" s="16">
        <v>1</v>
      </c>
      <c r="H138" s="16">
        <v>1</v>
      </c>
      <c r="I138" t="s">
        <v>728</v>
      </c>
      <c r="J138">
        <v>1</v>
      </c>
      <c r="K138" t="s">
        <v>720</v>
      </c>
      <c r="L138" t="s">
        <v>385</v>
      </c>
      <c r="M138">
        <v>0</v>
      </c>
      <c r="N138" s="3" t="s">
        <v>257</v>
      </c>
      <c r="O138" s="3"/>
    </row>
    <row r="139" spans="1:15" ht="27.6">
      <c r="A139" t="s">
        <v>863</v>
      </c>
      <c r="B139" t="s">
        <v>392</v>
      </c>
      <c r="C139">
        <v>35227</v>
      </c>
      <c r="D139" s="16">
        <v>35.226999999999997</v>
      </c>
      <c r="E139" t="s">
        <v>730</v>
      </c>
      <c r="F139" s="16">
        <v>0</v>
      </c>
      <c r="G139" s="16">
        <v>0</v>
      </c>
      <c r="H139" s="16">
        <v>0</v>
      </c>
      <c r="I139" t="s">
        <v>107</v>
      </c>
      <c r="J139">
        <v>1</v>
      </c>
      <c r="K139" t="s">
        <v>720</v>
      </c>
      <c r="L139" t="s">
        <v>385</v>
      </c>
      <c r="M139">
        <v>0</v>
      </c>
      <c r="N139" s="3" t="s">
        <v>257</v>
      </c>
      <c r="O139" s="3"/>
    </row>
    <row r="140" spans="1:15" ht="27.6">
      <c r="A140" t="s">
        <v>864</v>
      </c>
      <c r="B140" t="s">
        <v>393</v>
      </c>
      <c r="C140">
        <v>40246</v>
      </c>
      <c r="D140" s="16">
        <v>40.246000000000002</v>
      </c>
      <c r="E140" t="s">
        <v>719</v>
      </c>
      <c r="F140" s="16">
        <v>27.3</v>
      </c>
      <c r="G140" s="16">
        <v>27.3</v>
      </c>
      <c r="H140" s="16">
        <v>27.3</v>
      </c>
      <c r="I140" t="s">
        <v>98</v>
      </c>
      <c r="J140">
        <v>1</v>
      </c>
      <c r="K140" t="s">
        <v>720</v>
      </c>
      <c r="L140" t="s">
        <v>385</v>
      </c>
      <c r="M140">
        <v>0</v>
      </c>
      <c r="N140" s="3" t="s">
        <v>257</v>
      </c>
      <c r="O140" s="3"/>
    </row>
    <row r="141" spans="1:15" ht="27.6">
      <c r="A141" t="s">
        <v>865</v>
      </c>
      <c r="B141" t="s">
        <v>393</v>
      </c>
      <c r="C141">
        <v>40246</v>
      </c>
      <c r="D141" s="16">
        <v>40.246000000000002</v>
      </c>
      <c r="E141" t="s">
        <v>722</v>
      </c>
      <c r="F141" s="16">
        <v>82.3</v>
      </c>
      <c r="G141" s="16">
        <v>82.3</v>
      </c>
      <c r="H141" s="16">
        <v>82.3</v>
      </c>
      <c r="I141" t="s">
        <v>140</v>
      </c>
      <c r="J141">
        <v>1</v>
      </c>
      <c r="K141" t="s">
        <v>720</v>
      </c>
      <c r="L141" t="s">
        <v>385</v>
      </c>
      <c r="M141">
        <v>0</v>
      </c>
      <c r="N141" s="3" t="s">
        <v>257</v>
      </c>
      <c r="O141" s="3"/>
    </row>
    <row r="142" spans="1:15" ht="27.6">
      <c r="A142" t="s">
        <v>866</v>
      </c>
      <c r="B142" t="s">
        <v>393</v>
      </c>
      <c r="C142">
        <v>40246</v>
      </c>
      <c r="D142" s="16">
        <v>40.246000000000002</v>
      </c>
      <c r="E142" t="s">
        <v>724</v>
      </c>
      <c r="F142" s="16">
        <v>0.5</v>
      </c>
      <c r="G142" s="16">
        <v>0.5</v>
      </c>
      <c r="H142" s="16">
        <v>0.5</v>
      </c>
      <c r="I142" t="s">
        <v>125</v>
      </c>
      <c r="J142">
        <v>1</v>
      </c>
      <c r="K142" t="s">
        <v>720</v>
      </c>
      <c r="L142" t="s">
        <v>385</v>
      </c>
      <c r="M142">
        <v>0</v>
      </c>
      <c r="N142" s="3" t="s">
        <v>257</v>
      </c>
      <c r="O142" s="3"/>
    </row>
    <row r="143" spans="1:15" ht="27.6">
      <c r="A143" t="s">
        <v>867</v>
      </c>
      <c r="B143" t="s">
        <v>393</v>
      </c>
      <c r="C143">
        <v>40246</v>
      </c>
      <c r="D143" s="16">
        <v>40.246000000000002</v>
      </c>
      <c r="E143" t="s">
        <v>727</v>
      </c>
      <c r="F143" s="16">
        <v>1</v>
      </c>
      <c r="G143" s="16">
        <v>1</v>
      </c>
      <c r="H143" s="16">
        <v>1</v>
      </c>
      <c r="I143" t="s">
        <v>728</v>
      </c>
      <c r="J143">
        <v>1</v>
      </c>
      <c r="K143" t="s">
        <v>720</v>
      </c>
      <c r="L143" t="s">
        <v>385</v>
      </c>
      <c r="M143">
        <v>0</v>
      </c>
      <c r="N143" s="3" t="s">
        <v>257</v>
      </c>
      <c r="O143" s="3"/>
    </row>
    <row r="144" spans="1:15" ht="27.6">
      <c r="A144" t="s">
        <v>868</v>
      </c>
      <c r="B144" t="s">
        <v>393</v>
      </c>
      <c r="C144">
        <v>40246</v>
      </c>
      <c r="D144" s="16">
        <v>40.246000000000002</v>
      </c>
      <c r="E144" t="s">
        <v>730</v>
      </c>
      <c r="F144" s="16">
        <v>0</v>
      </c>
      <c r="G144" s="16">
        <v>0</v>
      </c>
      <c r="H144" s="16">
        <v>0</v>
      </c>
      <c r="I144" t="s">
        <v>107</v>
      </c>
      <c r="J144">
        <v>1</v>
      </c>
      <c r="K144" t="s">
        <v>720</v>
      </c>
      <c r="L144" t="s">
        <v>385</v>
      </c>
      <c r="M144">
        <v>0</v>
      </c>
      <c r="N144" s="3" t="s">
        <v>257</v>
      </c>
      <c r="O144" s="3"/>
    </row>
    <row r="145" spans="1:15" ht="27.6">
      <c r="A145" t="s">
        <v>869</v>
      </c>
      <c r="B145" t="s">
        <v>394</v>
      </c>
      <c r="C145">
        <v>45264</v>
      </c>
      <c r="D145" s="16">
        <v>45.264000000000003</v>
      </c>
      <c r="E145" t="s">
        <v>719</v>
      </c>
      <c r="F145" s="16">
        <v>27.3</v>
      </c>
      <c r="G145" s="16">
        <v>27.3</v>
      </c>
      <c r="H145" s="16">
        <v>27.3</v>
      </c>
      <c r="I145" t="s">
        <v>98</v>
      </c>
      <c r="J145">
        <v>1</v>
      </c>
      <c r="K145" t="s">
        <v>720</v>
      </c>
      <c r="L145" t="s">
        <v>385</v>
      </c>
      <c r="M145">
        <v>0</v>
      </c>
      <c r="N145" s="3" t="s">
        <v>257</v>
      </c>
      <c r="O145" s="3"/>
    </row>
    <row r="146" spans="1:15" ht="27.6">
      <c r="A146" t="s">
        <v>870</v>
      </c>
      <c r="B146" t="s">
        <v>394</v>
      </c>
      <c r="C146">
        <v>45264</v>
      </c>
      <c r="D146" s="16">
        <v>45.264000000000003</v>
      </c>
      <c r="E146" t="s">
        <v>722</v>
      </c>
      <c r="F146" s="16">
        <v>82.1</v>
      </c>
      <c r="G146" s="16">
        <v>82.1</v>
      </c>
      <c r="H146" s="16">
        <v>82.1</v>
      </c>
      <c r="I146" t="s">
        <v>140</v>
      </c>
      <c r="J146">
        <v>1</v>
      </c>
      <c r="K146" t="s">
        <v>720</v>
      </c>
      <c r="L146" t="s">
        <v>385</v>
      </c>
      <c r="M146">
        <v>0</v>
      </c>
      <c r="N146" s="3" t="s">
        <v>257</v>
      </c>
      <c r="O146" s="3"/>
    </row>
    <row r="147" spans="1:15" ht="27.6">
      <c r="A147" t="s">
        <v>871</v>
      </c>
      <c r="B147" t="s">
        <v>394</v>
      </c>
      <c r="C147">
        <v>45264</v>
      </c>
      <c r="D147" s="16">
        <v>45.264000000000003</v>
      </c>
      <c r="E147" t="s">
        <v>724</v>
      </c>
      <c r="F147" s="16">
        <v>0.5</v>
      </c>
      <c r="G147" s="16">
        <v>0.5</v>
      </c>
      <c r="H147" s="16">
        <v>0.5</v>
      </c>
      <c r="I147" t="s">
        <v>125</v>
      </c>
      <c r="J147">
        <v>1</v>
      </c>
      <c r="K147" t="s">
        <v>720</v>
      </c>
      <c r="L147" t="s">
        <v>385</v>
      </c>
      <c r="M147">
        <v>0</v>
      </c>
      <c r="N147" s="3" t="s">
        <v>257</v>
      </c>
      <c r="O147" s="3"/>
    </row>
    <row r="148" spans="1:15" ht="27.6">
      <c r="A148" t="s">
        <v>872</v>
      </c>
      <c r="B148" t="s">
        <v>394</v>
      </c>
      <c r="C148">
        <v>45264</v>
      </c>
      <c r="D148" s="16">
        <v>45.264000000000003</v>
      </c>
      <c r="E148" t="s">
        <v>727</v>
      </c>
      <c r="F148" s="16">
        <v>1</v>
      </c>
      <c r="G148" s="16">
        <v>1</v>
      </c>
      <c r="H148" s="16">
        <v>1</v>
      </c>
      <c r="I148" t="s">
        <v>728</v>
      </c>
      <c r="J148">
        <v>1</v>
      </c>
      <c r="K148" t="s">
        <v>720</v>
      </c>
      <c r="L148" t="s">
        <v>385</v>
      </c>
      <c r="M148">
        <v>0</v>
      </c>
      <c r="N148" s="3" t="s">
        <v>257</v>
      </c>
      <c r="O148" s="3"/>
    </row>
    <row r="149" spans="1:15" ht="27.6">
      <c r="A149" t="s">
        <v>873</v>
      </c>
      <c r="B149" t="s">
        <v>394</v>
      </c>
      <c r="C149">
        <v>45264</v>
      </c>
      <c r="D149" s="16">
        <v>45.264000000000003</v>
      </c>
      <c r="E149" t="s">
        <v>730</v>
      </c>
      <c r="F149" s="16">
        <v>0</v>
      </c>
      <c r="G149" s="16">
        <v>0</v>
      </c>
      <c r="H149" s="16">
        <v>0</v>
      </c>
      <c r="I149" t="s">
        <v>107</v>
      </c>
      <c r="J149">
        <v>1</v>
      </c>
      <c r="K149" t="s">
        <v>720</v>
      </c>
      <c r="L149" t="s">
        <v>385</v>
      </c>
      <c r="M149">
        <v>0</v>
      </c>
      <c r="N149" s="3" t="s">
        <v>257</v>
      </c>
      <c r="O149" s="3"/>
    </row>
    <row r="150" spans="1:15" ht="27.6">
      <c r="A150" t="s">
        <v>874</v>
      </c>
      <c r="B150" t="s">
        <v>395</v>
      </c>
      <c r="C150">
        <v>50285</v>
      </c>
      <c r="D150" s="16">
        <v>50.284999999999997</v>
      </c>
      <c r="E150" t="s">
        <v>719</v>
      </c>
      <c r="F150" s="16">
        <v>27.3</v>
      </c>
      <c r="G150" s="16">
        <v>27.3</v>
      </c>
      <c r="H150" s="16">
        <v>27.3</v>
      </c>
      <c r="I150" t="s">
        <v>98</v>
      </c>
      <c r="J150">
        <v>1</v>
      </c>
      <c r="K150" t="s">
        <v>720</v>
      </c>
      <c r="L150" t="s">
        <v>385</v>
      </c>
      <c r="M150">
        <v>0</v>
      </c>
      <c r="N150" s="3" t="s">
        <v>257</v>
      </c>
      <c r="O150" s="3"/>
    </row>
    <row r="151" spans="1:15" ht="27.6">
      <c r="A151" t="s">
        <v>875</v>
      </c>
      <c r="B151" t="s">
        <v>395</v>
      </c>
      <c r="C151">
        <v>50285</v>
      </c>
      <c r="D151" s="16">
        <v>50.284999999999997</v>
      </c>
      <c r="E151" t="s">
        <v>722</v>
      </c>
      <c r="F151" s="16">
        <v>82</v>
      </c>
      <c r="G151" s="16">
        <v>82</v>
      </c>
      <c r="H151" s="16">
        <v>82</v>
      </c>
      <c r="I151" t="s">
        <v>140</v>
      </c>
      <c r="J151">
        <v>1</v>
      </c>
      <c r="K151" t="s">
        <v>720</v>
      </c>
      <c r="L151" t="s">
        <v>385</v>
      </c>
      <c r="M151">
        <v>0</v>
      </c>
      <c r="N151" s="3" t="s">
        <v>257</v>
      </c>
      <c r="O151" s="3"/>
    </row>
    <row r="152" spans="1:15" ht="27.6">
      <c r="A152" t="s">
        <v>876</v>
      </c>
      <c r="B152" t="s">
        <v>395</v>
      </c>
      <c r="C152">
        <v>50285</v>
      </c>
      <c r="D152" s="16">
        <v>50.284999999999997</v>
      </c>
      <c r="E152" t="s">
        <v>724</v>
      </c>
      <c r="F152" s="16">
        <v>0.5</v>
      </c>
      <c r="G152" s="16">
        <v>0.5</v>
      </c>
      <c r="H152" s="16">
        <v>0.5</v>
      </c>
      <c r="I152" t="s">
        <v>125</v>
      </c>
      <c r="J152">
        <v>1</v>
      </c>
      <c r="K152" t="s">
        <v>720</v>
      </c>
      <c r="L152" t="s">
        <v>385</v>
      </c>
      <c r="M152">
        <v>0</v>
      </c>
      <c r="N152" s="3" t="s">
        <v>257</v>
      </c>
      <c r="O152" s="3"/>
    </row>
    <row r="153" spans="1:15" ht="27.6">
      <c r="A153" t="s">
        <v>877</v>
      </c>
      <c r="B153" t="s">
        <v>395</v>
      </c>
      <c r="C153">
        <v>50285</v>
      </c>
      <c r="D153" s="16">
        <v>50.284999999999997</v>
      </c>
      <c r="E153" t="s">
        <v>727</v>
      </c>
      <c r="F153" s="16">
        <v>1</v>
      </c>
      <c r="G153" s="16">
        <v>1</v>
      </c>
      <c r="H153" s="16">
        <v>1</v>
      </c>
      <c r="I153" t="s">
        <v>728</v>
      </c>
      <c r="J153">
        <v>1</v>
      </c>
      <c r="K153" t="s">
        <v>720</v>
      </c>
      <c r="L153" t="s">
        <v>385</v>
      </c>
      <c r="M153">
        <v>0</v>
      </c>
      <c r="N153" s="3" t="s">
        <v>257</v>
      </c>
      <c r="O153" s="3"/>
    </row>
    <row r="154" spans="1:15" ht="27.6">
      <c r="A154" t="s">
        <v>878</v>
      </c>
      <c r="B154" t="s">
        <v>395</v>
      </c>
      <c r="C154">
        <v>50285</v>
      </c>
      <c r="D154" s="16">
        <v>50.284999999999997</v>
      </c>
      <c r="E154" t="s">
        <v>730</v>
      </c>
      <c r="F154" s="16">
        <v>0</v>
      </c>
      <c r="G154" s="16">
        <v>0</v>
      </c>
      <c r="H154" s="16">
        <v>0</v>
      </c>
      <c r="I154" t="s">
        <v>107</v>
      </c>
      <c r="J154">
        <v>1</v>
      </c>
      <c r="K154" t="s">
        <v>720</v>
      </c>
      <c r="L154" t="s">
        <v>385</v>
      </c>
      <c r="M154">
        <v>0</v>
      </c>
      <c r="N154" s="3" t="s">
        <v>257</v>
      </c>
      <c r="O154" s="3"/>
    </row>
    <row r="155" spans="1:15" ht="27.6">
      <c r="A155" t="s">
        <v>879</v>
      </c>
      <c r="B155" t="s">
        <v>396</v>
      </c>
      <c r="C155">
        <v>55304</v>
      </c>
      <c r="D155" s="16">
        <v>55.304000000000002</v>
      </c>
      <c r="E155" t="s">
        <v>719</v>
      </c>
      <c r="F155" s="16">
        <v>27.3</v>
      </c>
      <c r="G155" s="16">
        <v>27.3</v>
      </c>
      <c r="H155" s="16">
        <v>27.3</v>
      </c>
      <c r="I155" t="s">
        <v>98</v>
      </c>
      <c r="J155">
        <v>1</v>
      </c>
      <c r="K155" t="s">
        <v>720</v>
      </c>
      <c r="L155" t="s">
        <v>385</v>
      </c>
      <c r="M155">
        <v>0</v>
      </c>
      <c r="N155" s="3" t="s">
        <v>257</v>
      </c>
      <c r="O155" s="3"/>
    </row>
    <row r="156" spans="1:15" ht="27.6">
      <c r="A156" t="s">
        <v>880</v>
      </c>
      <c r="B156" t="s">
        <v>396</v>
      </c>
      <c r="C156">
        <v>55304</v>
      </c>
      <c r="D156" s="16">
        <v>55.304000000000002</v>
      </c>
      <c r="E156" t="s">
        <v>722</v>
      </c>
      <c r="F156" s="16">
        <v>81.599999999999994</v>
      </c>
      <c r="G156" s="16">
        <v>81.599999999999994</v>
      </c>
      <c r="H156" s="16">
        <v>81.599999999999994</v>
      </c>
      <c r="I156" t="s">
        <v>140</v>
      </c>
      <c r="J156">
        <v>1</v>
      </c>
      <c r="K156" t="s">
        <v>720</v>
      </c>
      <c r="L156" t="s">
        <v>385</v>
      </c>
      <c r="M156">
        <v>0</v>
      </c>
      <c r="N156" s="3" t="s">
        <v>257</v>
      </c>
      <c r="O156" s="3"/>
    </row>
    <row r="157" spans="1:15" ht="27.6">
      <c r="A157" t="s">
        <v>881</v>
      </c>
      <c r="B157" t="s">
        <v>396</v>
      </c>
      <c r="C157">
        <v>55304</v>
      </c>
      <c r="D157" s="16">
        <v>55.304000000000002</v>
      </c>
      <c r="E157" t="s">
        <v>724</v>
      </c>
      <c r="F157" s="16">
        <v>0.4</v>
      </c>
      <c r="G157" s="16">
        <v>0.4</v>
      </c>
      <c r="H157" s="16">
        <v>0.4</v>
      </c>
      <c r="I157" t="s">
        <v>125</v>
      </c>
      <c r="J157">
        <v>1</v>
      </c>
      <c r="K157" t="s">
        <v>720</v>
      </c>
      <c r="L157" t="s">
        <v>385</v>
      </c>
      <c r="M157">
        <v>0</v>
      </c>
      <c r="N157" s="3" t="s">
        <v>257</v>
      </c>
      <c r="O157" s="3"/>
    </row>
    <row r="158" spans="1:15" ht="27.6">
      <c r="A158" t="s">
        <v>882</v>
      </c>
      <c r="B158" t="s">
        <v>396</v>
      </c>
      <c r="C158">
        <v>55304</v>
      </c>
      <c r="D158" s="16">
        <v>55.304000000000002</v>
      </c>
      <c r="E158" t="s">
        <v>727</v>
      </c>
      <c r="F158" s="16">
        <v>1</v>
      </c>
      <c r="G158" s="16">
        <v>1</v>
      </c>
      <c r="H158" s="16">
        <v>1</v>
      </c>
      <c r="I158" t="s">
        <v>728</v>
      </c>
      <c r="J158">
        <v>1</v>
      </c>
      <c r="K158" t="s">
        <v>720</v>
      </c>
      <c r="L158" t="s">
        <v>385</v>
      </c>
      <c r="M158">
        <v>0</v>
      </c>
      <c r="N158" s="3" t="s">
        <v>257</v>
      </c>
      <c r="O158" s="3"/>
    </row>
    <row r="159" spans="1:15" ht="27.6">
      <c r="A159" t="s">
        <v>883</v>
      </c>
      <c r="B159" t="s">
        <v>396</v>
      </c>
      <c r="C159">
        <v>55304</v>
      </c>
      <c r="D159" s="16">
        <v>55.304000000000002</v>
      </c>
      <c r="E159" t="s">
        <v>730</v>
      </c>
      <c r="F159" s="16">
        <v>0</v>
      </c>
      <c r="G159" s="16">
        <v>0</v>
      </c>
      <c r="H159" s="16">
        <v>0</v>
      </c>
      <c r="I159" t="s">
        <v>107</v>
      </c>
      <c r="J159">
        <v>1</v>
      </c>
      <c r="K159" t="s">
        <v>720</v>
      </c>
      <c r="L159" t="s">
        <v>385</v>
      </c>
      <c r="M159">
        <v>0</v>
      </c>
      <c r="N159" s="3" t="s">
        <v>257</v>
      </c>
      <c r="O159" s="3"/>
    </row>
    <row r="160" spans="1:15" ht="27.6">
      <c r="A160" t="s">
        <v>884</v>
      </c>
      <c r="B160" t="s">
        <v>397</v>
      </c>
      <c r="C160">
        <v>60324</v>
      </c>
      <c r="D160" s="16">
        <v>60.323999999999998</v>
      </c>
      <c r="E160" t="s">
        <v>719</v>
      </c>
      <c r="F160" s="16">
        <v>27.3</v>
      </c>
      <c r="G160" s="16">
        <v>27.3</v>
      </c>
      <c r="H160" s="16">
        <v>27.3</v>
      </c>
      <c r="I160" t="s">
        <v>98</v>
      </c>
      <c r="J160">
        <v>1</v>
      </c>
      <c r="K160" t="s">
        <v>720</v>
      </c>
      <c r="L160" t="s">
        <v>385</v>
      </c>
      <c r="M160">
        <v>0</v>
      </c>
      <c r="N160" s="3" t="s">
        <v>257</v>
      </c>
      <c r="O160" s="3"/>
    </row>
    <row r="161" spans="1:15" ht="27.6">
      <c r="A161" t="s">
        <v>885</v>
      </c>
      <c r="B161" t="s">
        <v>397</v>
      </c>
      <c r="C161">
        <v>60324</v>
      </c>
      <c r="D161" s="16">
        <v>60.323999999999998</v>
      </c>
      <c r="E161" t="s">
        <v>722</v>
      </c>
      <c r="F161" s="16">
        <v>81.3</v>
      </c>
      <c r="G161" s="16">
        <v>81.3</v>
      </c>
      <c r="H161" s="16">
        <v>81.3</v>
      </c>
      <c r="I161" t="s">
        <v>140</v>
      </c>
      <c r="J161">
        <v>1</v>
      </c>
      <c r="K161" t="s">
        <v>720</v>
      </c>
      <c r="L161" t="s">
        <v>385</v>
      </c>
      <c r="M161">
        <v>0</v>
      </c>
      <c r="N161" s="3" t="s">
        <v>257</v>
      </c>
      <c r="O161" s="3"/>
    </row>
    <row r="162" spans="1:15" ht="27.6">
      <c r="A162" t="s">
        <v>886</v>
      </c>
      <c r="B162" t="s">
        <v>397</v>
      </c>
      <c r="C162">
        <v>60324</v>
      </c>
      <c r="D162" s="16">
        <v>60.323999999999998</v>
      </c>
      <c r="E162" t="s">
        <v>724</v>
      </c>
      <c r="F162" s="16">
        <v>0.4</v>
      </c>
      <c r="G162" s="16">
        <v>0.4</v>
      </c>
      <c r="H162" s="16">
        <v>0.4</v>
      </c>
      <c r="I162" t="s">
        <v>125</v>
      </c>
      <c r="J162">
        <v>1</v>
      </c>
      <c r="K162" t="s">
        <v>720</v>
      </c>
      <c r="L162" t="s">
        <v>385</v>
      </c>
      <c r="M162">
        <v>0</v>
      </c>
      <c r="N162" s="3" t="s">
        <v>257</v>
      </c>
      <c r="O162" s="3"/>
    </row>
    <row r="163" spans="1:15" ht="27.6">
      <c r="A163" t="s">
        <v>887</v>
      </c>
      <c r="B163" t="s">
        <v>397</v>
      </c>
      <c r="C163">
        <v>60324</v>
      </c>
      <c r="D163" s="16">
        <v>60.323999999999998</v>
      </c>
      <c r="E163" t="s">
        <v>727</v>
      </c>
      <c r="F163" s="16">
        <v>1</v>
      </c>
      <c r="G163" s="16">
        <v>1</v>
      </c>
      <c r="H163" s="16">
        <v>1</v>
      </c>
      <c r="I163" t="s">
        <v>728</v>
      </c>
      <c r="J163">
        <v>1</v>
      </c>
      <c r="K163" t="s">
        <v>720</v>
      </c>
      <c r="L163" t="s">
        <v>385</v>
      </c>
      <c r="M163">
        <v>0</v>
      </c>
      <c r="N163" s="3" t="s">
        <v>257</v>
      </c>
      <c r="O163" s="3"/>
    </row>
    <row r="164" spans="1:15" ht="27.6">
      <c r="A164" t="s">
        <v>888</v>
      </c>
      <c r="B164" t="s">
        <v>397</v>
      </c>
      <c r="C164">
        <v>60324</v>
      </c>
      <c r="D164" s="16">
        <v>60.323999999999998</v>
      </c>
      <c r="E164" t="s">
        <v>730</v>
      </c>
      <c r="F164" s="16">
        <v>0</v>
      </c>
      <c r="G164" s="16">
        <v>0</v>
      </c>
      <c r="H164" s="16">
        <v>0</v>
      </c>
      <c r="I164" t="s">
        <v>107</v>
      </c>
      <c r="J164">
        <v>1</v>
      </c>
      <c r="K164" t="s">
        <v>720</v>
      </c>
      <c r="L164" t="s">
        <v>385</v>
      </c>
      <c r="M164">
        <v>0</v>
      </c>
      <c r="N164" s="3" t="s">
        <v>257</v>
      </c>
      <c r="O164" s="3"/>
    </row>
    <row r="165" spans="1:15" ht="27.6">
      <c r="A165" t="s">
        <v>889</v>
      </c>
      <c r="B165" t="s">
        <v>398</v>
      </c>
      <c r="C165">
        <v>65343</v>
      </c>
      <c r="D165" s="16">
        <v>65.343000000000004</v>
      </c>
      <c r="E165" t="s">
        <v>719</v>
      </c>
      <c r="F165" s="16">
        <v>27.3</v>
      </c>
      <c r="G165" s="16">
        <v>27.3</v>
      </c>
      <c r="H165" s="16">
        <v>27.3</v>
      </c>
      <c r="I165" t="s">
        <v>98</v>
      </c>
      <c r="J165">
        <v>1</v>
      </c>
      <c r="K165" t="s">
        <v>720</v>
      </c>
      <c r="L165" t="s">
        <v>385</v>
      </c>
      <c r="M165">
        <v>0</v>
      </c>
      <c r="N165" s="3" t="s">
        <v>257</v>
      </c>
      <c r="O165" s="3"/>
    </row>
    <row r="166" spans="1:15" ht="27.6">
      <c r="A166" t="s">
        <v>890</v>
      </c>
      <c r="B166" t="s">
        <v>398</v>
      </c>
      <c r="C166">
        <v>65343</v>
      </c>
      <c r="D166" s="16">
        <v>65.343000000000004</v>
      </c>
      <c r="E166" t="s">
        <v>722</v>
      </c>
      <c r="F166" s="16">
        <v>81.099999999999994</v>
      </c>
      <c r="G166" s="16">
        <v>81.099999999999994</v>
      </c>
      <c r="H166" s="16">
        <v>81.099999999999994</v>
      </c>
      <c r="I166" t="s">
        <v>140</v>
      </c>
      <c r="J166">
        <v>1</v>
      </c>
      <c r="K166" t="s">
        <v>720</v>
      </c>
      <c r="L166" t="s">
        <v>385</v>
      </c>
      <c r="M166">
        <v>0</v>
      </c>
      <c r="N166" s="3" t="s">
        <v>257</v>
      </c>
      <c r="O166" s="3"/>
    </row>
    <row r="167" spans="1:15" ht="27.6">
      <c r="A167" t="s">
        <v>891</v>
      </c>
      <c r="B167" t="s">
        <v>398</v>
      </c>
      <c r="C167">
        <v>65343</v>
      </c>
      <c r="D167" s="16">
        <v>65.343000000000004</v>
      </c>
      <c r="E167" t="s">
        <v>724</v>
      </c>
      <c r="F167" s="16">
        <v>0.2</v>
      </c>
      <c r="G167" s="16">
        <v>0.2</v>
      </c>
      <c r="H167" s="16">
        <v>0.2</v>
      </c>
      <c r="I167" t="s">
        <v>125</v>
      </c>
      <c r="J167">
        <v>1</v>
      </c>
      <c r="K167" t="s">
        <v>720</v>
      </c>
      <c r="L167" t="s">
        <v>385</v>
      </c>
      <c r="M167">
        <v>0</v>
      </c>
      <c r="N167" s="3" t="s">
        <v>257</v>
      </c>
      <c r="O167" s="3"/>
    </row>
    <row r="168" spans="1:15" ht="27.6">
      <c r="A168" t="s">
        <v>892</v>
      </c>
      <c r="B168" t="s">
        <v>398</v>
      </c>
      <c r="C168">
        <v>65343</v>
      </c>
      <c r="D168" s="16">
        <v>65.343000000000004</v>
      </c>
      <c r="E168" t="s">
        <v>727</v>
      </c>
      <c r="F168" s="16">
        <v>1</v>
      </c>
      <c r="G168" s="16">
        <v>1</v>
      </c>
      <c r="H168" s="16">
        <v>1</v>
      </c>
      <c r="I168" t="s">
        <v>728</v>
      </c>
      <c r="J168">
        <v>1</v>
      </c>
      <c r="K168" t="s">
        <v>720</v>
      </c>
      <c r="L168" t="s">
        <v>385</v>
      </c>
      <c r="M168">
        <v>0</v>
      </c>
      <c r="N168" s="3" t="s">
        <v>257</v>
      </c>
      <c r="O168" s="3"/>
    </row>
    <row r="169" spans="1:15" ht="27.6">
      <c r="A169" t="s">
        <v>893</v>
      </c>
      <c r="B169" t="s">
        <v>398</v>
      </c>
      <c r="C169">
        <v>65343</v>
      </c>
      <c r="D169" s="16">
        <v>65.343000000000004</v>
      </c>
      <c r="E169" t="s">
        <v>730</v>
      </c>
      <c r="F169" s="16">
        <v>0</v>
      </c>
      <c r="G169" s="16">
        <v>0</v>
      </c>
      <c r="H169" s="16">
        <v>0</v>
      </c>
      <c r="I169" t="s">
        <v>107</v>
      </c>
      <c r="J169">
        <v>1</v>
      </c>
      <c r="K169" t="s">
        <v>720</v>
      </c>
      <c r="L169" t="s">
        <v>385</v>
      </c>
      <c r="M169">
        <v>0</v>
      </c>
      <c r="N169" s="3" t="s">
        <v>257</v>
      </c>
      <c r="O169" s="3"/>
    </row>
    <row r="170" spans="1:15" ht="27.6">
      <c r="A170" t="s">
        <v>894</v>
      </c>
      <c r="B170" t="s">
        <v>399</v>
      </c>
      <c r="C170">
        <v>70362</v>
      </c>
      <c r="D170" s="16">
        <v>70.361999999999995</v>
      </c>
      <c r="E170" t="s">
        <v>719</v>
      </c>
      <c r="F170" s="16">
        <v>27.3</v>
      </c>
      <c r="G170" s="16">
        <v>27.3</v>
      </c>
      <c r="H170" s="16">
        <v>27.3</v>
      </c>
      <c r="I170" t="s">
        <v>98</v>
      </c>
      <c r="J170">
        <v>1</v>
      </c>
      <c r="K170" t="s">
        <v>720</v>
      </c>
      <c r="L170" t="s">
        <v>385</v>
      </c>
      <c r="M170">
        <v>0</v>
      </c>
      <c r="N170" s="3" t="s">
        <v>257</v>
      </c>
      <c r="O170" s="3"/>
    </row>
    <row r="171" spans="1:15" ht="27.6">
      <c r="A171" t="s">
        <v>895</v>
      </c>
      <c r="B171" t="s">
        <v>399</v>
      </c>
      <c r="C171">
        <v>70362</v>
      </c>
      <c r="D171" s="16">
        <v>70.361999999999995</v>
      </c>
      <c r="E171" t="s">
        <v>722</v>
      </c>
      <c r="F171" s="16">
        <v>81.099999999999994</v>
      </c>
      <c r="G171" s="16">
        <v>81.099999999999994</v>
      </c>
      <c r="H171" s="16">
        <v>81.099999999999994</v>
      </c>
      <c r="I171" t="s">
        <v>140</v>
      </c>
      <c r="J171">
        <v>1</v>
      </c>
      <c r="K171" t="s">
        <v>720</v>
      </c>
      <c r="L171" t="s">
        <v>385</v>
      </c>
      <c r="M171">
        <v>0</v>
      </c>
      <c r="N171" s="3" t="s">
        <v>257</v>
      </c>
      <c r="O171" s="3"/>
    </row>
    <row r="172" spans="1:15" ht="27.6">
      <c r="A172" t="s">
        <v>896</v>
      </c>
      <c r="B172" t="s">
        <v>399</v>
      </c>
      <c r="C172">
        <v>70362</v>
      </c>
      <c r="D172" s="16">
        <v>70.361999999999995</v>
      </c>
      <c r="E172" t="s">
        <v>724</v>
      </c>
      <c r="F172" s="16">
        <v>0.7</v>
      </c>
      <c r="G172" s="16">
        <v>0.7</v>
      </c>
      <c r="H172" s="16">
        <v>0.7</v>
      </c>
      <c r="I172" t="s">
        <v>125</v>
      </c>
      <c r="J172">
        <v>1</v>
      </c>
      <c r="K172" t="s">
        <v>720</v>
      </c>
      <c r="L172" t="s">
        <v>385</v>
      </c>
      <c r="M172">
        <v>0</v>
      </c>
      <c r="N172" s="3" t="s">
        <v>257</v>
      </c>
      <c r="O172" s="3"/>
    </row>
    <row r="173" spans="1:15" ht="27.6">
      <c r="A173" t="s">
        <v>897</v>
      </c>
      <c r="B173" t="s">
        <v>399</v>
      </c>
      <c r="C173">
        <v>70362</v>
      </c>
      <c r="D173" s="16">
        <v>70.361999999999995</v>
      </c>
      <c r="E173" t="s">
        <v>727</v>
      </c>
      <c r="F173" s="16">
        <v>1</v>
      </c>
      <c r="G173" s="16">
        <v>1</v>
      </c>
      <c r="H173" s="16">
        <v>1</v>
      </c>
      <c r="I173" t="s">
        <v>728</v>
      </c>
      <c r="J173">
        <v>1</v>
      </c>
      <c r="K173" t="s">
        <v>720</v>
      </c>
      <c r="L173" t="s">
        <v>385</v>
      </c>
      <c r="M173">
        <v>0</v>
      </c>
      <c r="N173" s="3" t="s">
        <v>257</v>
      </c>
      <c r="O173" s="3"/>
    </row>
    <row r="174" spans="1:15" ht="27.6">
      <c r="A174" t="s">
        <v>898</v>
      </c>
      <c r="B174" t="s">
        <v>399</v>
      </c>
      <c r="C174">
        <v>70362</v>
      </c>
      <c r="D174" s="16">
        <v>70.361999999999995</v>
      </c>
      <c r="E174" t="s">
        <v>730</v>
      </c>
      <c r="F174" s="16">
        <v>0</v>
      </c>
      <c r="G174" s="16">
        <v>0</v>
      </c>
      <c r="H174" s="16">
        <v>0</v>
      </c>
      <c r="I174" t="s">
        <v>107</v>
      </c>
      <c r="J174">
        <v>1</v>
      </c>
      <c r="K174" t="s">
        <v>720</v>
      </c>
      <c r="L174" t="s">
        <v>385</v>
      </c>
      <c r="M174">
        <v>0</v>
      </c>
      <c r="N174" s="3" t="s">
        <v>257</v>
      </c>
      <c r="O174" s="3"/>
    </row>
    <row r="175" spans="1:15" ht="27.6">
      <c r="A175" t="s">
        <v>899</v>
      </c>
      <c r="B175" t="s">
        <v>400</v>
      </c>
      <c r="C175">
        <v>75382</v>
      </c>
      <c r="D175" s="16">
        <v>75.382000000000005</v>
      </c>
      <c r="E175" t="s">
        <v>719</v>
      </c>
      <c r="F175" s="16">
        <v>27.3</v>
      </c>
      <c r="G175" s="16">
        <v>27.3</v>
      </c>
      <c r="H175" s="16">
        <v>27.3</v>
      </c>
      <c r="I175" t="s">
        <v>98</v>
      </c>
      <c r="J175">
        <v>1</v>
      </c>
      <c r="K175" t="s">
        <v>720</v>
      </c>
      <c r="L175" t="s">
        <v>385</v>
      </c>
      <c r="M175">
        <v>0</v>
      </c>
      <c r="N175" s="3" t="s">
        <v>257</v>
      </c>
      <c r="O175" s="3"/>
    </row>
    <row r="176" spans="1:15" ht="27.6">
      <c r="A176" t="s">
        <v>900</v>
      </c>
      <c r="B176" t="s">
        <v>400</v>
      </c>
      <c r="C176">
        <v>75382</v>
      </c>
      <c r="D176" s="16">
        <v>75.382000000000005</v>
      </c>
      <c r="E176" t="s">
        <v>722</v>
      </c>
      <c r="F176" s="16">
        <v>81.3</v>
      </c>
      <c r="G176" s="16">
        <v>81.3</v>
      </c>
      <c r="H176" s="16">
        <v>81.3</v>
      </c>
      <c r="I176" t="s">
        <v>140</v>
      </c>
      <c r="J176">
        <v>1</v>
      </c>
      <c r="K176" t="s">
        <v>720</v>
      </c>
      <c r="L176" t="s">
        <v>385</v>
      </c>
      <c r="M176">
        <v>0</v>
      </c>
      <c r="N176" s="3" t="s">
        <v>257</v>
      </c>
      <c r="O176" s="3"/>
    </row>
    <row r="177" spans="1:15" ht="27.6">
      <c r="A177" t="s">
        <v>901</v>
      </c>
      <c r="B177" t="s">
        <v>400</v>
      </c>
      <c r="C177">
        <v>75382</v>
      </c>
      <c r="D177" s="16">
        <v>75.382000000000005</v>
      </c>
      <c r="E177" t="s">
        <v>724</v>
      </c>
      <c r="F177" s="16">
        <v>0.3</v>
      </c>
      <c r="G177" s="16">
        <v>0.3</v>
      </c>
      <c r="H177" s="16">
        <v>0.3</v>
      </c>
      <c r="I177" t="s">
        <v>125</v>
      </c>
      <c r="J177">
        <v>1</v>
      </c>
      <c r="K177" t="s">
        <v>720</v>
      </c>
      <c r="L177" t="s">
        <v>385</v>
      </c>
      <c r="M177">
        <v>0</v>
      </c>
      <c r="N177" s="3" t="s">
        <v>257</v>
      </c>
      <c r="O177" s="3"/>
    </row>
    <row r="178" spans="1:15" ht="27.6">
      <c r="A178" t="s">
        <v>902</v>
      </c>
      <c r="B178" t="s">
        <v>400</v>
      </c>
      <c r="C178">
        <v>75382</v>
      </c>
      <c r="D178" s="16">
        <v>75.382000000000005</v>
      </c>
      <c r="E178" t="s">
        <v>727</v>
      </c>
      <c r="F178" s="16">
        <v>1</v>
      </c>
      <c r="G178" s="16">
        <v>1</v>
      </c>
      <c r="H178" s="16">
        <v>1</v>
      </c>
      <c r="I178" t="s">
        <v>728</v>
      </c>
      <c r="J178">
        <v>1</v>
      </c>
      <c r="K178" t="s">
        <v>720</v>
      </c>
      <c r="L178" t="s">
        <v>385</v>
      </c>
      <c r="M178">
        <v>0</v>
      </c>
      <c r="N178" s="3" t="s">
        <v>257</v>
      </c>
      <c r="O178" s="3"/>
    </row>
    <row r="179" spans="1:15" ht="27.6">
      <c r="A179" t="s">
        <v>903</v>
      </c>
      <c r="B179" t="s">
        <v>400</v>
      </c>
      <c r="C179">
        <v>75382</v>
      </c>
      <c r="D179" s="16">
        <v>75.382000000000005</v>
      </c>
      <c r="E179" t="s">
        <v>730</v>
      </c>
      <c r="F179" s="16">
        <v>0</v>
      </c>
      <c r="G179" s="16">
        <v>0</v>
      </c>
      <c r="H179" s="16">
        <v>0</v>
      </c>
      <c r="I179" t="s">
        <v>107</v>
      </c>
      <c r="J179">
        <v>1</v>
      </c>
      <c r="K179" t="s">
        <v>720</v>
      </c>
      <c r="L179" t="s">
        <v>385</v>
      </c>
      <c r="M179">
        <v>0</v>
      </c>
      <c r="N179" s="3" t="s">
        <v>257</v>
      </c>
      <c r="O179" s="3"/>
    </row>
    <row r="180" spans="1:15" ht="27.6">
      <c r="A180" t="s">
        <v>904</v>
      </c>
      <c r="B180" t="s">
        <v>401</v>
      </c>
      <c r="C180">
        <v>80401</v>
      </c>
      <c r="D180" s="16">
        <v>80.400999999999996</v>
      </c>
      <c r="E180" t="s">
        <v>719</v>
      </c>
      <c r="F180" s="16">
        <v>27.3</v>
      </c>
      <c r="G180" s="16">
        <v>27.3</v>
      </c>
      <c r="H180" s="16">
        <v>27.3</v>
      </c>
      <c r="I180" t="s">
        <v>98</v>
      </c>
      <c r="J180">
        <v>1</v>
      </c>
      <c r="K180" t="s">
        <v>720</v>
      </c>
      <c r="L180" t="s">
        <v>385</v>
      </c>
      <c r="M180">
        <v>0</v>
      </c>
      <c r="N180" s="3" t="s">
        <v>257</v>
      </c>
      <c r="O180" s="3"/>
    </row>
    <row r="181" spans="1:15" ht="27.6">
      <c r="A181" t="s">
        <v>905</v>
      </c>
      <c r="B181" t="s">
        <v>401</v>
      </c>
      <c r="C181">
        <v>80401</v>
      </c>
      <c r="D181" s="16">
        <v>80.400999999999996</v>
      </c>
      <c r="E181" t="s">
        <v>722</v>
      </c>
      <c r="F181" s="16">
        <v>81.099999999999994</v>
      </c>
      <c r="G181" s="16">
        <v>81.099999999999994</v>
      </c>
      <c r="H181" s="16">
        <v>81.099999999999994</v>
      </c>
      <c r="I181" t="s">
        <v>140</v>
      </c>
      <c r="J181">
        <v>1</v>
      </c>
      <c r="K181" t="s">
        <v>720</v>
      </c>
      <c r="L181" t="s">
        <v>385</v>
      </c>
      <c r="M181">
        <v>0</v>
      </c>
      <c r="N181" s="3" t="s">
        <v>257</v>
      </c>
      <c r="O181" s="3"/>
    </row>
    <row r="182" spans="1:15" ht="27.6">
      <c r="A182" t="s">
        <v>906</v>
      </c>
      <c r="B182" t="s">
        <v>401</v>
      </c>
      <c r="C182">
        <v>80401</v>
      </c>
      <c r="D182" s="16">
        <v>80.400999999999996</v>
      </c>
      <c r="E182" t="s">
        <v>724</v>
      </c>
      <c r="F182" s="16">
        <v>0.2</v>
      </c>
      <c r="G182" s="16">
        <v>0.2</v>
      </c>
      <c r="H182" s="16">
        <v>0.2</v>
      </c>
      <c r="I182" t="s">
        <v>125</v>
      </c>
      <c r="J182">
        <v>1</v>
      </c>
      <c r="K182" t="s">
        <v>720</v>
      </c>
      <c r="L182" t="s">
        <v>385</v>
      </c>
      <c r="M182">
        <v>0</v>
      </c>
      <c r="N182" s="3" t="s">
        <v>257</v>
      </c>
      <c r="O182" s="3"/>
    </row>
    <row r="183" spans="1:15" ht="27.6">
      <c r="A183" t="s">
        <v>907</v>
      </c>
      <c r="B183" t="s">
        <v>401</v>
      </c>
      <c r="C183">
        <v>80401</v>
      </c>
      <c r="D183" s="16">
        <v>80.400999999999996</v>
      </c>
      <c r="E183" t="s">
        <v>727</v>
      </c>
      <c r="F183" s="16">
        <v>1</v>
      </c>
      <c r="G183" s="16">
        <v>1</v>
      </c>
      <c r="H183" s="16">
        <v>1</v>
      </c>
      <c r="I183" t="s">
        <v>728</v>
      </c>
      <c r="J183">
        <v>1</v>
      </c>
      <c r="K183" t="s">
        <v>720</v>
      </c>
      <c r="L183" t="s">
        <v>385</v>
      </c>
      <c r="M183">
        <v>0</v>
      </c>
      <c r="N183" s="3" t="s">
        <v>257</v>
      </c>
      <c r="O183" s="3"/>
    </row>
    <row r="184" spans="1:15" ht="27.6">
      <c r="A184" t="s">
        <v>908</v>
      </c>
      <c r="B184" t="s">
        <v>401</v>
      </c>
      <c r="C184">
        <v>80401</v>
      </c>
      <c r="D184" s="16">
        <v>80.400999999999996</v>
      </c>
      <c r="E184" t="s">
        <v>730</v>
      </c>
      <c r="F184" s="16">
        <v>0</v>
      </c>
      <c r="G184" s="16">
        <v>0</v>
      </c>
      <c r="H184" s="16">
        <v>0</v>
      </c>
      <c r="I184" t="s">
        <v>107</v>
      </c>
      <c r="J184">
        <v>1</v>
      </c>
      <c r="K184" t="s">
        <v>720</v>
      </c>
      <c r="L184" t="s">
        <v>385</v>
      </c>
      <c r="M184">
        <v>0</v>
      </c>
      <c r="N184" s="3" t="s">
        <v>257</v>
      </c>
      <c r="O184" s="3"/>
    </row>
    <row r="185" spans="1:15" ht="27.6">
      <c r="A185" t="s">
        <v>909</v>
      </c>
      <c r="B185" t="s">
        <v>402</v>
      </c>
      <c r="C185">
        <v>85421</v>
      </c>
      <c r="D185" s="16">
        <v>85.421000000000006</v>
      </c>
      <c r="E185" t="s">
        <v>719</v>
      </c>
      <c r="F185" s="16">
        <v>27.3</v>
      </c>
      <c r="G185" s="16">
        <v>27.3</v>
      </c>
      <c r="H185" s="16">
        <v>27.3</v>
      </c>
      <c r="I185" t="s">
        <v>98</v>
      </c>
      <c r="J185">
        <v>1</v>
      </c>
      <c r="K185" t="s">
        <v>720</v>
      </c>
      <c r="L185" t="s">
        <v>385</v>
      </c>
      <c r="M185">
        <v>0</v>
      </c>
      <c r="N185" s="3" t="s">
        <v>257</v>
      </c>
      <c r="O185" s="3"/>
    </row>
    <row r="186" spans="1:15" ht="27.6">
      <c r="A186" t="s">
        <v>910</v>
      </c>
      <c r="B186" t="s">
        <v>402</v>
      </c>
      <c r="C186">
        <v>85421</v>
      </c>
      <c r="D186" s="16">
        <v>85.421000000000006</v>
      </c>
      <c r="E186" t="s">
        <v>722</v>
      </c>
      <c r="F186" s="16">
        <v>81</v>
      </c>
      <c r="G186" s="16">
        <v>81</v>
      </c>
      <c r="H186" s="16">
        <v>81</v>
      </c>
      <c r="I186" t="s">
        <v>140</v>
      </c>
      <c r="J186">
        <v>1</v>
      </c>
      <c r="K186" t="s">
        <v>720</v>
      </c>
      <c r="L186" t="s">
        <v>385</v>
      </c>
      <c r="M186">
        <v>0</v>
      </c>
      <c r="N186" s="3" t="s">
        <v>257</v>
      </c>
      <c r="O186" s="3"/>
    </row>
    <row r="187" spans="1:15" ht="27.6">
      <c r="A187" t="s">
        <v>911</v>
      </c>
      <c r="B187" t="s">
        <v>402</v>
      </c>
      <c r="C187">
        <v>85421</v>
      </c>
      <c r="D187" s="16">
        <v>85.421000000000006</v>
      </c>
      <c r="E187" t="s">
        <v>724</v>
      </c>
      <c r="F187" s="16">
        <v>0</v>
      </c>
      <c r="G187" s="16">
        <v>0</v>
      </c>
      <c r="H187" s="16">
        <v>0</v>
      </c>
      <c r="I187" t="s">
        <v>125</v>
      </c>
      <c r="J187">
        <v>1</v>
      </c>
      <c r="K187" t="s">
        <v>720</v>
      </c>
      <c r="L187" t="s">
        <v>385</v>
      </c>
      <c r="M187">
        <v>0</v>
      </c>
      <c r="N187" s="3" t="s">
        <v>257</v>
      </c>
      <c r="O187" s="3"/>
    </row>
    <row r="188" spans="1:15" ht="27.6">
      <c r="A188" t="s">
        <v>912</v>
      </c>
      <c r="B188" t="s">
        <v>402</v>
      </c>
      <c r="C188">
        <v>85421</v>
      </c>
      <c r="D188" s="16">
        <v>85.421000000000006</v>
      </c>
      <c r="E188" t="s">
        <v>727</v>
      </c>
      <c r="F188" s="16">
        <v>1</v>
      </c>
      <c r="G188" s="16">
        <v>1</v>
      </c>
      <c r="H188" s="16">
        <v>1</v>
      </c>
      <c r="I188" t="s">
        <v>728</v>
      </c>
      <c r="J188">
        <v>1</v>
      </c>
      <c r="K188" t="s">
        <v>720</v>
      </c>
      <c r="L188" t="s">
        <v>385</v>
      </c>
      <c r="M188">
        <v>0</v>
      </c>
      <c r="N188" s="3" t="s">
        <v>257</v>
      </c>
      <c r="O188" s="3"/>
    </row>
    <row r="189" spans="1:15" ht="27.6">
      <c r="A189" t="s">
        <v>913</v>
      </c>
      <c r="B189" t="s">
        <v>402</v>
      </c>
      <c r="C189">
        <v>85421</v>
      </c>
      <c r="D189" s="16">
        <v>85.421000000000006</v>
      </c>
      <c r="E189" t="s">
        <v>730</v>
      </c>
      <c r="F189" s="16">
        <v>0</v>
      </c>
      <c r="G189" s="16">
        <v>0</v>
      </c>
      <c r="H189" s="16">
        <v>0</v>
      </c>
      <c r="I189" t="s">
        <v>107</v>
      </c>
      <c r="J189">
        <v>1</v>
      </c>
      <c r="K189" t="s">
        <v>720</v>
      </c>
      <c r="L189" t="s">
        <v>385</v>
      </c>
      <c r="M189">
        <v>0</v>
      </c>
      <c r="N189" s="3" t="s">
        <v>257</v>
      </c>
      <c r="O189" s="3"/>
    </row>
    <row r="190" spans="1:15" ht="27.6">
      <c r="A190" t="s">
        <v>914</v>
      </c>
      <c r="B190" t="s">
        <v>403</v>
      </c>
      <c r="C190">
        <v>90439</v>
      </c>
      <c r="D190" s="16">
        <v>90.438999999999993</v>
      </c>
      <c r="E190" t="s">
        <v>719</v>
      </c>
      <c r="F190" s="16">
        <v>27.3</v>
      </c>
      <c r="G190" s="16">
        <v>27.3</v>
      </c>
      <c r="H190" s="16">
        <v>27.3</v>
      </c>
      <c r="I190" t="s">
        <v>98</v>
      </c>
      <c r="J190">
        <v>1</v>
      </c>
      <c r="K190" t="s">
        <v>720</v>
      </c>
      <c r="L190" t="s">
        <v>385</v>
      </c>
      <c r="M190">
        <v>0</v>
      </c>
      <c r="N190" s="3" t="s">
        <v>257</v>
      </c>
      <c r="O190" s="3"/>
    </row>
    <row r="191" spans="1:15" ht="27.6">
      <c r="A191" t="s">
        <v>915</v>
      </c>
      <c r="B191" t="s">
        <v>403</v>
      </c>
      <c r="C191">
        <v>90439</v>
      </c>
      <c r="D191" s="16">
        <v>90.438999999999993</v>
      </c>
      <c r="E191" t="s">
        <v>722</v>
      </c>
      <c r="F191" s="16">
        <v>81</v>
      </c>
      <c r="G191" s="16">
        <v>81</v>
      </c>
      <c r="H191" s="16">
        <v>81</v>
      </c>
      <c r="I191" t="s">
        <v>140</v>
      </c>
      <c r="J191">
        <v>1</v>
      </c>
      <c r="K191" t="s">
        <v>720</v>
      </c>
      <c r="L191" t="s">
        <v>385</v>
      </c>
      <c r="M191">
        <v>0</v>
      </c>
      <c r="N191" s="3" t="s">
        <v>257</v>
      </c>
      <c r="O191" s="3"/>
    </row>
    <row r="192" spans="1:15" ht="27.6">
      <c r="A192" t="s">
        <v>916</v>
      </c>
      <c r="B192" t="s">
        <v>403</v>
      </c>
      <c r="C192">
        <v>90439</v>
      </c>
      <c r="D192" s="16">
        <v>90.438999999999993</v>
      </c>
      <c r="E192" t="s">
        <v>724</v>
      </c>
      <c r="F192" s="16">
        <v>0.2</v>
      </c>
      <c r="G192" s="16">
        <v>0.2</v>
      </c>
      <c r="H192" s="16">
        <v>0.2</v>
      </c>
      <c r="I192" t="s">
        <v>125</v>
      </c>
      <c r="J192">
        <v>1</v>
      </c>
      <c r="K192" t="s">
        <v>720</v>
      </c>
      <c r="L192" t="s">
        <v>385</v>
      </c>
      <c r="M192">
        <v>0</v>
      </c>
      <c r="N192" s="3" t="s">
        <v>257</v>
      </c>
      <c r="O192" s="3"/>
    </row>
    <row r="193" spans="1:15" ht="27.6">
      <c r="A193" t="s">
        <v>917</v>
      </c>
      <c r="B193" t="s">
        <v>403</v>
      </c>
      <c r="C193">
        <v>90439</v>
      </c>
      <c r="D193" s="16">
        <v>90.438999999999993</v>
      </c>
      <c r="E193" t="s">
        <v>727</v>
      </c>
      <c r="F193" s="16">
        <v>1</v>
      </c>
      <c r="G193" s="16">
        <v>1</v>
      </c>
      <c r="H193" s="16">
        <v>1</v>
      </c>
      <c r="I193" t="s">
        <v>728</v>
      </c>
      <c r="J193">
        <v>1</v>
      </c>
      <c r="K193" t="s">
        <v>720</v>
      </c>
      <c r="L193" t="s">
        <v>385</v>
      </c>
      <c r="M193">
        <v>0</v>
      </c>
      <c r="N193" s="3" t="s">
        <v>257</v>
      </c>
      <c r="O193" s="3"/>
    </row>
    <row r="194" spans="1:15" ht="27.6">
      <c r="A194" t="s">
        <v>918</v>
      </c>
      <c r="B194" t="s">
        <v>403</v>
      </c>
      <c r="C194">
        <v>90439</v>
      </c>
      <c r="D194" s="16">
        <v>90.438999999999993</v>
      </c>
      <c r="E194" t="s">
        <v>730</v>
      </c>
      <c r="F194" s="16">
        <v>0</v>
      </c>
      <c r="G194" s="16">
        <v>0</v>
      </c>
      <c r="H194" s="16">
        <v>0</v>
      </c>
      <c r="I194" t="s">
        <v>107</v>
      </c>
      <c r="J194">
        <v>1</v>
      </c>
      <c r="K194" t="s">
        <v>720</v>
      </c>
      <c r="L194" t="s">
        <v>385</v>
      </c>
      <c r="M194">
        <v>0</v>
      </c>
      <c r="N194" s="3" t="s">
        <v>257</v>
      </c>
      <c r="O194" s="3"/>
    </row>
    <row r="195" spans="1:15" ht="27.6">
      <c r="A195" t="s">
        <v>919</v>
      </c>
      <c r="B195" t="s">
        <v>404</v>
      </c>
      <c r="C195">
        <v>95458</v>
      </c>
      <c r="D195" s="16">
        <v>95.457999999999998</v>
      </c>
      <c r="E195" t="s">
        <v>719</v>
      </c>
      <c r="F195" s="16">
        <v>27.3</v>
      </c>
      <c r="G195" s="16">
        <v>27.3</v>
      </c>
      <c r="H195" s="16">
        <v>27.3</v>
      </c>
      <c r="I195" t="s">
        <v>98</v>
      </c>
      <c r="J195">
        <v>1</v>
      </c>
      <c r="K195" t="s">
        <v>720</v>
      </c>
      <c r="L195" t="s">
        <v>385</v>
      </c>
      <c r="M195">
        <v>0</v>
      </c>
      <c r="N195" s="3" t="s">
        <v>257</v>
      </c>
      <c r="O195" s="3"/>
    </row>
    <row r="196" spans="1:15" ht="27.6">
      <c r="A196" t="s">
        <v>920</v>
      </c>
      <c r="B196" t="s">
        <v>404</v>
      </c>
      <c r="C196">
        <v>95458</v>
      </c>
      <c r="D196" s="16">
        <v>95.457999999999998</v>
      </c>
      <c r="E196" t="s">
        <v>722</v>
      </c>
      <c r="F196" s="16">
        <v>80.8</v>
      </c>
      <c r="G196" s="16">
        <v>80.8</v>
      </c>
      <c r="H196" s="16">
        <v>80.8</v>
      </c>
      <c r="I196" t="s">
        <v>140</v>
      </c>
      <c r="J196">
        <v>1</v>
      </c>
      <c r="K196" t="s">
        <v>720</v>
      </c>
      <c r="L196" t="s">
        <v>385</v>
      </c>
      <c r="M196">
        <v>0</v>
      </c>
      <c r="N196" s="3" t="s">
        <v>257</v>
      </c>
      <c r="O196" s="3"/>
    </row>
    <row r="197" spans="1:15" ht="27.6">
      <c r="A197" t="s">
        <v>921</v>
      </c>
      <c r="B197" t="s">
        <v>404</v>
      </c>
      <c r="C197">
        <v>95458</v>
      </c>
      <c r="D197" s="16">
        <v>95.457999999999998</v>
      </c>
      <c r="E197" t="s">
        <v>724</v>
      </c>
      <c r="F197" s="16">
        <v>0.2</v>
      </c>
      <c r="G197" s="16">
        <v>0.2</v>
      </c>
      <c r="H197" s="16">
        <v>0.2</v>
      </c>
      <c r="I197" t="s">
        <v>125</v>
      </c>
      <c r="J197">
        <v>1</v>
      </c>
      <c r="K197" t="s">
        <v>720</v>
      </c>
      <c r="L197" t="s">
        <v>385</v>
      </c>
      <c r="M197">
        <v>0</v>
      </c>
      <c r="N197" s="3" t="s">
        <v>257</v>
      </c>
      <c r="O197" s="3"/>
    </row>
    <row r="198" spans="1:15" ht="27.6">
      <c r="A198" t="s">
        <v>922</v>
      </c>
      <c r="B198" t="s">
        <v>404</v>
      </c>
      <c r="C198">
        <v>95458</v>
      </c>
      <c r="D198" s="16">
        <v>95.457999999999998</v>
      </c>
      <c r="E198" t="s">
        <v>727</v>
      </c>
      <c r="F198" s="16">
        <v>1</v>
      </c>
      <c r="G198" s="16">
        <v>1</v>
      </c>
      <c r="H198" s="16">
        <v>1</v>
      </c>
      <c r="I198" t="s">
        <v>728</v>
      </c>
      <c r="J198">
        <v>1</v>
      </c>
      <c r="K198" t="s">
        <v>720</v>
      </c>
      <c r="L198" t="s">
        <v>385</v>
      </c>
      <c r="M198">
        <v>0</v>
      </c>
      <c r="N198" s="3" t="s">
        <v>257</v>
      </c>
      <c r="O198" s="3"/>
    </row>
    <row r="199" spans="1:15" ht="27.6">
      <c r="A199" t="s">
        <v>923</v>
      </c>
      <c r="B199" t="s">
        <v>404</v>
      </c>
      <c r="C199">
        <v>95458</v>
      </c>
      <c r="D199" s="16">
        <v>95.457999999999998</v>
      </c>
      <c r="E199" t="s">
        <v>730</v>
      </c>
      <c r="F199" s="16">
        <v>0</v>
      </c>
      <c r="G199" s="16">
        <v>0</v>
      </c>
      <c r="H199" s="16">
        <v>0</v>
      </c>
      <c r="I199" t="s">
        <v>107</v>
      </c>
      <c r="J199">
        <v>1</v>
      </c>
      <c r="K199" t="s">
        <v>720</v>
      </c>
      <c r="L199" t="s">
        <v>385</v>
      </c>
      <c r="M199">
        <v>0</v>
      </c>
      <c r="N199" s="3" t="s">
        <v>257</v>
      </c>
      <c r="O199" s="3"/>
    </row>
    <row r="200" spans="1:15" ht="27.6">
      <c r="A200" t="s">
        <v>924</v>
      </c>
      <c r="B200" t="s">
        <v>405</v>
      </c>
      <c r="C200">
        <v>100478</v>
      </c>
      <c r="D200" s="16">
        <v>100.47799999999999</v>
      </c>
      <c r="E200" t="s">
        <v>719</v>
      </c>
      <c r="F200" s="16">
        <v>27.3</v>
      </c>
      <c r="G200" s="16">
        <v>27.3</v>
      </c>
      <c r="H200" s="16">
        <v>27.3</v>
      </c>
      <c r="I200" t="s">
        <v>98</v>
      </c>
      <c r="J200">
        <v>1</v>
      </c>
      <c r="K200" t="s">
        <v>720</v>
      </c>
      <c r="L200" t="s">
        <v>385</v>
      </c>
      <c r="M200">
        <v>0</v>
      </c>
      <c r="N200" s="3" t="s">
        <v>257</v>
      </c>
      <c r="O200" s="3"/>
    </row>
    <row r="201" spans="1:15" ht="27.6">
      <c r="A201" t="s">
        <v>925</v>
      </c>
      <c r="B201" t="s">
        <v>405</v>
      </c>
      <c r="C201">
        <v>100478</v>
      </c>
      <c r="D201" s="16">
        <v>100.47799999999999</v>
      </c>
      <c r="E201" t="s">
        <v>722</v>
      </c>
      <c r="F201" s="16">
        <v>80.8</v>
      </c>
      <c r="G201" s="16">
        <v>80.8</v>
      </c>
      <c r="H201" s="16">
        <v>80.8</v>
      </c>
      <c r="I201" t="s">
        <v>140</v>
      </c>
      <c r="J201">
        <v>1</v>
      </c>
      <c r="K201" t="s">
        <v>720</v>
      </c>
      <c r="L201" t="s">
        <v>385</v>
      </c>
      <c r="M201">
        <v>0</v>
      </c>
      <c r="N201" s="3" t="s">
        <v>257</v>
      </c>
      <c r="O201" s="3"/>
    </row>
    <row r="202" spans="1:15" ht="27.6">
      <c r="A202" t="s">
        <v>926</v>
      </c>
      <c r="B202" t="s">
        <v>405</v>
      </c>
      <c r="C202">
        <v>100478</v>
      </c>
      <c r="D202" s="16">
        <v>100.47799999999999</v>
      </c>
      <c r="E202" t="s">
        <v>724</v>
      </c>
      <c r="F202" s="16">
        <v>0.1</v>
      </c>
      <c r="G202" s="16">
        <v>0.1</v>
      </c>
      <c r="H202" s="16">
        <v>0.1</v>
      </c>
      <c r="I202" t="s">
        <v>125</v>
      </c>
      <c r="J202">
        <v>1</v>
      </c>
      <c r="K202" t="s">
        <v>720</v>
      </c>
      <c r="L202" t="s">
        <v>385</v>
      </c>
      <c r="M202">
        <v>0</v>
      </c>
      <c r="N202" s="3" t="s">
        <v>257</v>
      </c>
      <c r="O202" s="3"/>
    </row>
    <row r="203" spans="1:15" ht="27.6">
      <c r="A203" t="s">
        <v>927</v>
      </c>
      <c r="B203" t="s">
        <v>405</v>
      </c>
      <c r="C203">
        <v>100478</v>
      </c>
      <c r="D203" s="16">
        <v>100.47799999999999</v>
      </c>
      <c r="E203" t="s">
        <v>727</v>
      </c>
      <c r="F203" s="16">
        <v>1</v>
      </c>
      <c r="G203" s="16">
        <v>1</v>
      </c>
      <c r="H203" s="16">
        <v>1</v>
      </c>
      <c r="I203" t="s">
        <v>728</v>
      </c>
      <c r="J203">
        <v>1</v>
      </c>
      <c r="K203" t="s">
        <v>720</v>
      </c>
      <c r="L203" t="s">
        <v>385</v>
      </c>
      <c r="M203">
        <v>0</v>
      </c>
      <c r="N203" s="3" t="s">
        <v>257</v>
      </c>
      <c r="O203" s="3"/>
    </row>
    <row r="204" spans="1:15" ht="27.6">
      <c r="A204" t="s">
        <v>928</v>
      </c>
      <c r="B204" t="s">
        <v>405</v>
      </c>
      <c r="C204">
        <v>100478</v>
      </c>
      <c r="D204" s="16">
        <v>100.47799999999999</v>
      </c>
      <c r="E204" t="s">
        <v>730</v>
      </c>
      <c r="F204" s="16">
        <v>0</v>
      </c>
      <c r="G204" s="16">
        <v>0</v>
      </c>
      <c r="H204" s="16">
        <v>0</v>
      </c>
      <c r="I204" t="s">
        <v>107</v>
      </c>
      <c r="J204">
        <v>1</v>
      </c>
      <c r="K204" t="s">
        <v>720</v>
      </c>
      <c r="L204" t="s">
        <v>385</v>
      </c>
      <c r="M204">
        <v>0</v>
      </c>
      <c r="N204" s="3" t="s">
        <v>257</v>
      </c>
      <c r="O204" s="3"/>
    </row>
    <row r="205" spans="1:15" ht="27.6">
      <c r="A205" t="s">
        <v>929</v>
      </c>
      <c r="B205" t="s">
        <v>406</v>
      </c>
      <c r="C205">
        <v>105498</v>
      </c>
      <c r="D205" s="16">
        <v>105.498</v>
      </c>
      <c r="E205" t="s">
        <v>719</v>
      </c>
      <c r="F205" s="16">
        <v>27.3</v>
      </c>
      <c r="G205" s="16">
        <v>27.3</v>
      </c>
      <c r="H205" s="16">
        <v>27.3</v>
      </c>
      <c r="I205" t="s">
        <v>98</v>
      </c>
      <c r="J205">
        <v>1</v>
      </c>
      <c r="K205" t="s">
        <v>720</v>
      </c>
      <c r="L205" t="s">
        <v>385</v>
      </c>
      <c r="M205">
        <v>0</v>
      </c>
      <c r="N205" s="3" t="s">
        <v>257</v>
      </c>
      <c r="O205" s="3"/>
    </row>
    <row r="206" spans="1:15" ht="27.6">
      <c r="A206" t="s">
        <v>930</v>
      </c>
      <c r="B206" t="s">
        <v>406</v>
      </c>
      <c r="C206">
        <v>105498</v>
      </c>
      <c r="D206" s="16">
        <v>105.498</v>
      </c>
      <c r="E206" t="s">
        <v>722</v>
      </c>
      <c r="F206" s="16">
        <v>80.7</v>
      </c>
      <c r="G206" s="16">
        <v>80.7</v>
      </c>
      <c r="H206" s="16">
        <v>80.7</v>
      </c>
      <c r="I206" t="s">
        <v>140</v>
      </c>
      <c r="J206">
        <v>1</v>
      </c>
      <c r="K206" t="s">
        <v>720</v>
      </c>
      <c r="L206" t="s">
        <v>385</v>
      </c>
      <c r="M206">
        <v>0</v>
      </c>
      <c r="N206" s="3" t="s">
        <v>257</v>
      </c>
      <c r="O206" s="3"/>
    </row>
    <row r="207" spans="1:15" ht="27.6">
      <c r="A207" t="s">
        <v>931</v>
      </c>
      <c r="B207" t="s">
        <v>406</v>
      </c>
      <c r="C207">
        <v>105498</v>
      </c>
      <c r="D207" s="16">
        <v>105.498</v>
      </c>
      <c r="E207" t="s">
        <v>724</v>
      </c>
      <c r="F207" s="16">
        <v>0</v>
      </c>
      <c r="G207" s="16">
        <v>0</v>
      </c>
      <c r="H207" s="16">
        <v>0</v>
      </c>
      <c r="I207" t="s">
        <v>125</v>
      </c>
      <c r="J207">
        <v>1</v>
      </c>
      <c r="K207" t="s">
        <v>720</v>
      </c>
      <c r="L207" t="s">
        <v>385</v>
      </c>
      <c r="M207">
        <v>0</v>
      </c>
      <c r="N207" s="3" t="s">
        <v>257</v>
      </c>
      <c r="O207" s="3"/>
    </row>
    <row r="208" spans="1:15" ht="27.6">
      <c r="A208" t="s">
        <v>932</v>
      </c>
      <c r="B208" t="s">
        <v>406</v>
      </c>
      <c r="C208">
        <v>105498</v>
      </c>
      <c r="D208" s="16">
        <v>105.498</v>
      </c>
      <c r="E208" t="s">
        <v>727</v>
      </c>
      <c r="F208" s="16">
        <v>1</v>
      </c>
      <c r="G208" s="16">
        <v>1</v>
      </c>
      <c r="H208" s="16">
        <v>1</v>
      </c>
      <c r="I208" t="s">
        <v>728</v>
      </c>
      <c r="J208">
        <v>1</v>
      </c>
      <c r="K208" t="s">
        <v>720</v>
      </c>
      <c r="L208" t="s">
        <v>385</v>
      </c>
      <c r="M208">
        <v>0</v>
      </c>
      <c r="N208" s="3" t="s">
        <v>257</v>
      </c>
      <c r="O208" s="3"/>
    </row>
    <row r="209" spans="1:15" ht="27.6">
      <c r="A209" t="s">
        <v>933</v>
      </c>
      <c r="B209" t="s">
        <v>406</v>
      </c>
      <c r="C209">
        <v>105498</v>
      </c>
      <c r="D209" s="16">
        <v>105.498</v>
      </c>
      <c r="E209" t="s">
        <v>730</v>
      </c>
      <c r="F209" s="16">
        <v>0</v>
      </c>
      <c r="G209" s="16">
        <v>0</v>
      </c>
      <c r="H209" s="16">
        <v>0</v>
      </c>
      <c r="I209" t="s">
        <v>107</v>
      </c>
      <c r="J209">
        <v>1</v>
      </c>
      <c r="K209" t="s">
        <v>720</v>
      </c>
      <c r="L209" t="s">
        <v>385</v>
      </c>
      <c r="M209">
        <v>0</v>
      </c>
      <c r="N209" s="3" t="s">
        <v>257</v>
      </c>
      <c r="O209" s="3"/>
    </row>
    <row r="210" spans="1:15" ht="27.6">
      <c r="A210" t="s">
        <v>934</v>
      </c>
      <c r="B210" t="s">
        <v>407</v>
      </c>
      <c r="C210">
        <v>110517</v>
      </c>
      <c r="D210" s="16">
        <v>110.517</v>
      </c>
      <c r="E210" t="s">
        <v>719</v>
      </c>
      <c r="F210" s="16">
        <v>27.3</v>
      </c>
      <c r="G210" s="16">
        <v>27.3</v>
      </c>
      <c r="H210" s="16">
        <v>27.3</v>
      </c>
      <c r="I210" t="s">
        <v>98</v>
      </c>
      <c r="J210">
        <v>1</v>
      </c>
      <c r="K210" t="s">
        <v>720</v>
      </c>
      <c r="L210" t="s">
        <v>385</v>
      </c>
      <c r="M210">
        <v>0</v>
      </c>
      <c r="N210" s="3" t="s">
        <v>257</v>
      </c>
      <c r="O210" s="3"/>
    </row>
    <row r="211" spans="1:15" ht="27.6">
      <c r="A211" t="s">
        <v>935</v>
      </c>
      <c r="B211" t="s">
        <v>407</v>
      </c>
      <c r="C211">
        <v>110517</v>
      </c>
      <c r="D211" s="16">
        <v>110.517</v>
      </c>
      <c r="E211" t="s">
        <v>722</v>
      </c>
      <c r="F211" s="16">
        <v>80.5</v>
      </c>
      <c r="G211" s="16">
        <v>80.5</v>
      </c>
      <c r="H211" s="16">
        <v>80.5</v>
      </c>
      <c r="I211" t="s">
        <v>140</v>
      </c>
      <c r="J211">
        <v>1</v>
      </c>
      <c r="K211" t="s">
        <v>720</v>
      </c>
      <c r="L211" t="s">
        <v>385</v>
      </c>
      <c r="M211">
        <v>0</v>
      </c>
      <c r="N211" s="3" t="s">
        <v>257</v>
      </c>
      <c r="O211" s="3"/>
    </row>
    <row r="212" spans="1:15" ht="27.6">
      <c r="A212" t="s">
        <v>936</v>
      </c>
      <c r="B212" t="s">
        <v>407</v>
      </c>
      <c r="C212">
        <v>110517</v>
      </c>
      <c r="D212" s="16">
        <v>110.517</v>
      </c>
      <c r="E212" t="s">
        <v>724</v>
      </c>
      <c r="F212" s="16">
        <v>0.1</v>
      </c>
      <c r="G212" s="16">
        <v>0.1</v>
      </c>
      <c r="H212" s="16">
        <v>0.1</v>
      </c>
      <c r="I212" t="s">
        <v>125</v>
      </c>
      <c r="J212">
        <v>1</v>
      </c>
      <c r="K212" t="s">
        <v>720</v>
      </c>
      <c r="L212" t="s">
        <v>385</v>
      </c>
      <c r="M212">
        <v>0</v>
      </c>
      <c r="N212" s="3" t="s">
        <v>257</v>
      </c>
      <c r="O212" s="3"/>
    </row>
    <row r="213" spans="1:15" ht="27.6">
      <c r="A213" t="s">
        <v>937</v>
      </c>
      <c r="B213" t="s">
        <v>407</v>
      </c>
      <c r="C213">
        <v>110517</v>
      </c>
      <c r="D213" s="16">
        <v>110.517</v>
      </c>
      <c r="E213" t="s">
        <v>727</v>
      </c>
      <c r="F213" s="16">
        <v>1</v>
      </c>
      <c r="G213" s="16">
        <v>1</v>
      </c>
      <c r="H213" s="16">
        <v>1</v>
      </c>
      <c r="I213" t="s">
        <v>728</v>
      </c>
      <c r="J213">
        <v>1</v>
      </c>
      <c r="K213" t="s">
        <v>720</v>
      </c>
      <c r="L213" t="s">
        <v>385</v>
      </c>
      <c r="M213">
        <v>0</v>
      </c>
      <c r="N213" s="3" t="s">
        <v>257</v>
      </c>
      <c r="O213" s="3"/>
    </row>
    <row r="214" spans="1:15" ht="27.6">
      <c r="A214" t="s">
        <v>938</v>
      </c>
      <c r="B214" t="s">
        <v>407</v>
      </c>
      <c r="C214">
        <v>110517</v>
      </c>
      <c r="D214" s="16">
        <v>110.517</v>
      </c>
      <c r="E214" t="s">
        <v>730</v>
      </c>
      <c r="F214" s="16">
        <v>0</v>
      </c>
      <c r="G214" s="16">
        <v>0</v>
      </c>
      <c r="H214" s="16">
        <v>0</v>
      </c>
      <c r="I214" t="s">
        <v>107</v>
      </c>
      <c r="J214">
        <v>1</v>
      </c>
      <c r="K214" t="s">
        <v>720</v>
      </c>
      <c r="L214" t="s">
        <v>385</v>
      </c>
      <c r="M214">
        <v>0</v>
      </c>
      <c r="N214" s="3" t="s">
        <v>257</v>
      </c>
      <c r="O214" s="3"/>
    </row>
    <row r="215" spans="1:15">
      <c r="A215" t="s">
        <v>939</v>
      </c>
      <c r="B215" t="s">
        <v>408</v>
      </c>
      <c r="C215">
        <v>115535</v>
      </c>
      <c r="D215" s="16">
        <v>115.535</v>
      </c>
      <c r="E215" t="s">
        <v>719</v>
      </c>
      <c r="F215" s="16">
        <v>27.3</v>
      </c>
      <c r="G215" s="16">
        <v>27.3</v>
      </c>
      <c r="H215" s="16">
        <v>27.3</v>
      </c>
      <c r="I215" t="s">
        <v>98</v>
      </c>
      <c r="J215">
        <v>1</v>
      </c>
      <c r="K215" t="s">
        <v>720</v>
      </c>
      <c r="L215" t="s">
        <v>385</v>
      </c>
      <c r="M215">
        <v>0</v>
      </c>
      <c r="N215" s="3" t="s">
        <v>238</v>
      </c>
      <c r="O215" s="3"/>
    </row>
    <row r="216" spans="1:15">
      <c r="A216" t="s">
        <v>940</v>
      </c>
      <c r="B216" t="s">
        <v>408</v>
      </c>
      <c r="C216">
        <v>115535</v>
      </c>
      <c r="D216" s="16">
        <v>115.535</v>
      </c>
      <c r="E216" t="s">
        <v>722</v>
      </c>
      <c r="F216" s="16">
        <v>80.400000000000006</v>
      </c>
      <c r="G216" s="16">
        <v>80.400000000000006</v>
      </c>
      <c r="H216" s="16">
        <v>80.400000000000006</v>
      </c>
      <c r="I216" t="s">
        <v>140</v>
      </c>
      <c r="J216">
        <v>1</v>
      </c>
      <c r="K216" t="s">
        <v>720</v>
      </c>
      <c r="L216" t="s">
        <v>385</v>
      </c>
      <c r="M216">
        <v>0</v>
      </c>
      <c r="N216" s="3" t="s">
        <v>238</v>
      </c>
      <c r="O216" s="3"/>
    </row>
    <row r="217" spans="1:15">
      <c r="A217" t="s">
        <v>941</v>
      </c>
      <c r="B217" t="s">
        <v>408</v>
      </c>
      <c r="C217">
        <v>115535</v>
      </c>
      <c r="D217" s="16">
        <v>115.535</v>
      </c>
      <c r="E217" t="s">
        <v>724</v>
      </c>
      <c r="F217" s="16">
        <v>-0.1</v>
      </c>
      <c r="G217" s="16">
        <v>0.1</v>
      </c>
      <c r="H217" s="16">
        <v>0.1</v>
      </c>
      <c r="I217" t="s">
        <v>125</v>
      </c>
      <c r="J217">
        <v>1</v>
      </c>
      <c r="K217" t="s">
        <v>725</v>
      </c>
      <c r="L217" t="s">
        <v>385</v>
      </c>
      <c r="M217">
        <v>0</v>
      </c>
      <c r="N217" s="3" t="s">
        <v>238</v>
      </c>
      <c r="O217" s="3"/>
    </row>
    <row r="218" spans="1:15">
      <c r="A218" t="s">
        <v>942</v>
      </c>
      <c r="B218" t="s">
        <v>408</v>
      </c>
      <c r="C218">
        <v>115535</v>
      </c>
      <c r="D218" s="16">
        <v>115.535</v>
      </c>
      <c r="E218" t="s">
        <v>727</v>
      </c>
      <c r="F218" s="16">
        <v>1</v>
      </c>
      <c r="G218" s="16">
        <v>1</v>
      </c>
      <c r="H218" s="16">
        <v>1</v>
      </c>
      <c r="I218" t="s">
        <v>728</v>
      </c>
      <c r="J218">
        <v>1</v>
      </c>
      <c r="K218" t="s">
        <v>720</v>
      </c>
      <c r="L218" t="s">
        <v>385</v>
      </c>
      <c r="M218">
        <v>0</v>
      </c>
      <c r="N218" s="3" t="s">
        <v>238</v>
      </c>
      <c r="O218" s="3"/>
    </row>
    <row r="219" spans="1:15">
      <c r="A219" t="s">
        <v>943</v>
      </c>
      <c r="B219" t="s">
        <v>408</v>
      </c>
      <c r="C219">
        <v>115535</v>
      </c>
      <c r="D219" s="16">
        <v>115.535</v>
      </c>
      <c r="E219" t="s">
        <v>730</v>
      </c>
      <c r="F219" s="16">
        <v>0</v>
      </c>
      <c r="G219" s="16">
        <v>0</v>
      </c>
      <c r="H219" s="16">
        <v>0</v>
      </c>
      <c r="I219" t="s">
        <v>107</v>
      </c>
      <c r="J219">
        <v>1</v>
      </c>
      <c r="K219" t="s">
        <v>720</v>
      </c>
      <c r="L219" t="s">
        <v>385</v>
      </c>
      <c r="M219">
        <v>0</v>
      </c>
      <c r="N219" s="3" t="s">
        <v>238</v>
      </c>
      <c r="O219" s="3"/>
    </row>
    <row r="220" spans="1:15" ht="27.6">
      <c r="A220" t="s">
        <v>944</v>
      </c>
      <c r="B220" t="s">
        <v>409</v>
      </c>
      <c r="C220">
        <v>120556</v>
      </c>
      <c r="D220" s="16">
        <v>120.556</v>
      </c>
      <c r="E220" t="s">
        <v>719</v>
      </c>
      <c r="F220" s="16">
        <v>27.3</v>
      </c>
      <c r="G220" s="16">
        <v>27.3</v>
      </c>
      <c r="H220" s="16">
        <v>27.3</v>
      </c>
      <c r="I220" t="s">
        <v>98</v>
      </c>
      <c r="J220">
        <v>1</v>
      </c>
      <c r="K220" t="s">
        <v>720</v>
      </c>
      <c r="L220" t="s">
        <v>385</v>
      </c>
      <c r="M220">
        <v>0</v>
      </c>
      <c r="N220" s="3" t="s">
        <v>257</v>
      </c>
      <c r="O220" s="3"/>
    </row>
    <row r="221" spans="1:15" ht="27.6">
      <c r="A221" t="s">
        <v>945</v>
      </c>
      <c r="B221" t="s">
        <v>409</v>
      </c>
      <c r="C221">
        <v>120556</v>
      </c>
      <c r="D221" s="16">
        <v>120.556</v>
      </c>
      <c r="E221" t="s">
        <v>722</v>
      </c>
      <c r="F221" s="16">
        <v>80.400000000000006</v>
      </c>
      <c r="G221" s="16">
        <v>80.400000000000006</v>
      </c>
      <c r="H221" s="16">
        <v>80.400000000000006</v>
      </c>
      <c r="I221" t="s">
        <v>140</v>
      </c>
      <c r="J221">
        <v>1</v>
      </c>
      <c r="K221" t="s">
        <v>720</v>
      </c>
      <c r="L221" t="s">
        <v>385</v>
      </c>
      <c r="M221">
        <v>0</v>
      </c>
      <c r="N221" s="3" t="s">
        <v>257</v>
      </c>
      <c r="O221" s="3"/>
    </row>
    <row r="222" spans="1:15" ht="27.6">
      <c r="A222" t="s">
        <v>946</v>
      </c>
      <c r="B222" t="s">
        <v>409</v>
      </c>
      <c r="C222">
        <v>120556</v>
      </c>
      <c r="D222" s="16">
        <v>120.556</v>
      </c>
      <c r="E222" t="s">
        <v>724</v>
      </c>
      <c r="F222" s="16">
        <v>0.2</v>
      </c>
      <c r="G222" s="16">
        <v>0.2</v>
      </c>
      <c r="H222" s="16">
        <v>0.2</v>
      </c>
      <c r="I222" t="s">
        <v>125</v>
      </c>
      <c r="J222">
        <v>1</v>
      </c>
      <c r="K222" t="s">
        <v>720</v>
      </c>
      <c r="L222" t="s">
        <v>385</v>
      </c>
      <c r="M222">
        <v>0</v>
      </c>
      <c r="N222" s="3" t="s">
        <v>257</v>
      </c>
      <c r="O222" s="3"/>
    </row>
    <row r="223" spans="1:15" ht="27.6">
      <c r="A223" t="s">
        <v>947</v>
      </c>
      <c r="B223" t="s">
        <v>409</v>
      </c>
      <c r="C223">
        <v>120556</v>
      </c>
      <c r="D223" s="16">
        <v>120.556</v>
      </c>
      <c r="E223" t="s">
        <v>727</v>
      </c>
      <c r="F223" s="16">
        <v>1</v>
      </c>
      <c r="G223" s="16">
        <v>1</v>
      </c>
      <c r="H223" s="16">
        <v>1</v>
      </c>
      <c r="I223" t="s">
        <v>728</v>
      </c>
      <c r="J223">
        <v>1</v>
      </c>
      <c r="K223" t="s">
        <v>720</v>
      </c>
      <c r="L223" t="s">
        <v>385</v>
      </c>
      <c r="M223">
        <v>0</v>
      </c>
      <c r="N223" s="3" t="s">
        <v>257</v>
      </c>
      <c r="O223" s="3"/>
    </row>
    <row r="224" spans="1:15" ht="27.6">
      <c r="A224" t="s">
        <v>948</v>
      </c>
      <c r="B224" t="s">
        <v>409</v>
      </c>
      <c r="C224">
        <v>120556</v>
      </c>
      <c r="D224" s="16">
        <v>120.556</v>
      </c>
      <c r="E224" t="s">
        <v>730</v>
      </c>
      <c r="F224" s="16">
        <v>0</v>
      </c>
      <c r="G224" s="16">
        <v>0</v>
      </c>
      <c r="H224" s="16">
        <v>0</v>
      </c>
      <c r="I224" t="s">
        <v>107</v>
      </c>
      <c r="J224">
        <v>1</v>
      </c>
      <c r="K224" t="s">
        <v>720</v>
      </c>
      <c r="L224" t="s">
        <v>385</v>
      </c>
      <c r="M224">
        <v>0</v>
      </c>
      <c r="N224" s="3" t="s">
        <v>257</v>
      </c>
      <c r="O224" s="3"/>
    </row>
    <row r="225" spans="1:15" ht="27.6">
      <c r="A225" t="s">
        <v>949</v>
      </c>
      <c r="B225" t="s">
        <v>410</v>
      </c>
      <c r="C225">
        <v>125575</v>
      </c>
      <c r="D225" s="16">
        <v>125.575</v>
      </c>
      <c r="E225" t="s">
        <v>719</v>
      </c>
      <c r="F225" s="16">
        <v>27.3</v>
      </c>
      <c r="G225" s="16">
        <v>27.3</v>
      </c>
      <c r="H225" s="16">
        <v>27.3</v>
      </c>
      <c r="I225" t="s">
        <v>98</v>
      </c>
      <c r="J225">
        <v>1</v>
      </c>
      <c r="K225" t="s">
        <v>720</v>
      </c>
      <c r="L225" t="s">
        <v>385</v>
      </c>
      <c r="M225">
        <v>0</v>
      </c>
      <c r="N225" s="3" t="s">
        <v>257</v>
      </c>
      <c r="O225" s="3"/>
    </row>
    <row r="226" spans="1:15" ht="27.6">
      <c r="A226" t="s">
        <v>950</v>
      </c>
      <c r="B226" t="s">
        <v>410</v>
      </c>
      <c r="C226">
        <v>125575</v>
      </c>
      <c r="D226" s="16">
        <v>125.575</v>
      </c>
      <c r="E226" t="s">
        <v>722</v>
      </c>
      <c r="F226" s="16">
        <v>80.5</v>
      </c>
      <c r="G226" s="16">
        <v>80.5</v>
      </c>
      <c r="H226" s="16">
        <v>80.5</v>
      </c>
      <c r="I226" t="s">
        <v>140</v>
      </c>
      <c r="J226">
        <v>1</v>
      </c>
      <c r="K226" t="s">
        <v>720</v>
      </c>
      <c r="L226" t="s">
        <v>385</v>
      </c>
      <c r="M226">
        <v>0</v>
      </c>
      <c r="N226" s="3" t="s">
        <v>257</v>
      </c>
      <c r="O226" s="3"/>
    </row>
    <row r="227" spans="1:15" ht="27.6">
      <c r="A227" t="s">
        <v>951</v>
      </c>
      <c r="B227" t="s">
        <v>410</v>
      </c>
      <c r="C227">
        <v>125575</v>
      </c>
      <c r="D227" s="16">
        <v>125.575</v>
      </c>
      <c r="E227" t="s">
        <v>724</v>
      </c>
      <c r="F227" s="16">
        <v>0</v>
      </c>
      <c r="G227" s="16">
        <v>0</v>
      </c>
      <c r="H227" s="16">
        <v>0</v>
      </c>
      <c r="I227" t="s">
        <v>125</v>
      </c>
      <c r="J227">
        <v>1</v>
      </c>
      <c r="K227" t="s">
        <v>720</v>
      </c>
      <c r="L227" t="s">
        <v>385</v>
      </c>
      <c r="M227">
        <v>0</v>
      </c>
      <c r="N227" s="3" t="s">
        <v>257</v>
      </c>
      <c r="O227" s="3"/>
    </row>
    <row r="228" spans="1:15" ht="27.6">
      <c r="A228" t="s">
        <v>952</v>
      </c>
      <c r="B228" t="s">
        <v>410</v>
      </c>
      <c r="C228">
        <v>125575</v>
      </c>
      <c r="D228" s="16">
        <v>125.575</v>
      </c>
      <c r="E228" t="s">
        <v>727</v>
      </c>
      <c r="F228" s="16">
        <v>1</v>
      </c>
      <c r="G228" s="16">
        <v>1</v>
      </c>
      <c r="H228" s="16">
        <v>1</v>
      </c>
      <c r="I228" t="s">
        <v>728</v>
      </c>
      <c r="J228">
        <v>1</v>
      </c>
      <c r="K228" t="s">
        <v>720</v>
      </c>
      <c r="L228" t="s">
        <v>385</v>
      </c>
      <c r="M228">
        <v>0</v>
      </c>
      <c r="N228" s="3" t="s">
        <v>257</v>
      </c>
      <c r="O228" s="3"/>
    </row>
    <row r="229" spans="1:15" ht="27.6">
      <c r="A229" t="s">
        <v>953</v>
      </c>
      <c r="B229" t="s">
        <v>410</v>
      </c>
      <c r="C229">
        <v>125575</v>
      </c>
      <c r="D229" s="16">
        <v>125.575</v>
      </c>
      <c r="E229" t="s">
        <v>730</v>
      </c>
      <c r="F229" s="16">
        <v>0</v>
      </c>
      <c r="G229" s="16">
        <v>0</v>
      </c>
      <c r="H229" s="16">
        <v>0</v>
      </c>
      <c r="I229" t="s">
        <v>107</v>
      </c>
      <c r="J229">
        <v>1</v>
      </c>
      <c r="K229" t="s">
        <v>720</v>
      </c>
      <c r="L229" t="s">
        <v>385</v>
      </c>
      <c r="M229">
        <v>0</v>
      </c>
      <c r="N229" s="3" t="s">
        <v>257</v>
      </c>
      <c r="O229" s="3"/>
    </row>
    <row r="230" spans="1:15" ht="27.6">
      <c r="A230" t="s">
        <v>954</v>
      </c>
      <c r="B230" t="s">
        <v>411</v>
      </c>
      <c r="C230">
        <v>130595</v>
      </c>
      <c r="D230" s="16">
        <v>130.595</v>
      </c>
      <c r="E230" t="s">
        <v>719</v>
      </c>
      <c r="F230" s="16">
        <v>27.3</v>
      </c>
      <c r="G230" s="16">
        <v>27.3</v>
      </c>
      <c r="H230" s="16">
        <v>27.3</v>
      </c>
      <c r="I230" t="s">
        <v>98</v>
      </c>
      <c r="J230">
        <v>1</v>
      </c>
      <c r="K230" t="s">
        <v>720</v>
      </c>
      <c r="L230" t="s">
        <v>385</v>
      </c>
      <c r="M230">
        <v>0</v>
      </c>
      <c r="N230" s="3" t="s">
        <v>257</v>
      </c>
      <c r="O230" s="3"/>
    </row>
    <row r="231" spans="1:15" ht="27.6">
      <c r="A231" t="s">
        <v>955</v>
      </c>
      <c r="B231" t="s">
        <v>411</v>
      </c>
      <c r="C231">
        <v>130595</v>
      </c>
      <c r="D231" s="16">
        <v>130.595</v>
      </c>
      <c r="E231" t="s">
        <v>722</v>
      </c>
      <c r="F231" s="16">
        <v>80.8</v>
      </c>
      <c r="G231" s="16">
        <v>80.8</v>
      </c>
      <c r="H231" s="16">
        <v>80.8</v>
      </c>
      <c r="I231" t="s">
        <v>140</v>
      </c>
      <c r="J231">
        <v>1</v>
      </c>
      <c r="K231" t="s">
        <v>720</v>
      </c>
      <c r="L231" t="s">
        <v>385</v>
      </c>
      <c r="M231">
        <v>0</v>
      </c>
      <c r="N231" s="3" t="s">
        <v>257</v>
      </c>
      <c r="O231" s="3"/>
    </row>
    <row r="232" spans="1:15" ht="27.6">
      <c r="A232" t="s">
        <v>956</v>
      </c>
      <c r="B232" t="s">
        <v>411</v>
      </c>
      <c r="C232">
        <v>130595</v>
      </c>
      <c r="D232" s="16">
        <v>130.595</v>
      </c>
      <c r="E232" t="s">
        <v>724</v>
      </c>
      <c r="F232" s="16">
        <v>0.1</v>
      </c>
      <c r="G232" s="16">
        <v>0.1</v>
      </c>
      <c r="H232" s="16">
        <v>0.1</v>
      </c>
      <c r="I232" t="s">
        <v>125</v>
      </c>
      <c r="J232">
        <v>1</v>
      </c>
      <c r="K232" t="s">
        <v>720</v>
      </c>
      <c r="L232" t="s">
        <v>385</v>
      </c>
      <c r="M232">
        <v>0</v>
      </c>
      <c r="N232" s="3" t="s">
        <v>257</v>
      </c>
      <c r="O232" s="3"/>
    </row>
    <row r="233" spans="1:15" ht="27.6">
      <c r="A233" t="s">
        <v>957</v>
      </c>
      <c r="B233" t="s">
        <v>411</v>
      </c>
      <c r="C233">
        <v>130595</v>
      </c>
      <c r="D233" s="16">
        <v>130.595</v>
      </c>
      <c r="E233" t="s">
        <v>727</v>
      </c>
      <c r="F233" s="16">
        <v>1</v>
      </c>
      <c r="G233" s="16">
        <v>1</v>
      </c>
      <c r="H233" s="16">
        <v>1</v>
      </c>
      <c r="I233" t="s">
        <v>728</v>
      </c>
      <c r="J233">
        <v>1</v>
      </c>
      <c r="K233" t="s">
        <v>720</v>
      </c>
      <c r="L233" t="s">
        <v>385</v>
      </c>
      <c r="M233">
        <v>0</v>
      </c>
      <c r="N233" s="3" t="s">
        <v>257</v>
      </c>
      <c r="O233" s="3"/>
    </row>
    <row r="234" spans="1:15" ht="27.6">
      <c r="A234" t="s">
        <v>958</v>
      </c>
      <c r="B234" t="s">
        <v>411</v>
      </c>
      <c r="C234">
        <v>130595</v>
      </c>
      <c r="D234" s="16">
        <v>130.595</v>
      </c>
      <c r="E234" t="s">
        <v>730</v>
      </c>
      <c r="F234" s="16">
        <v>0</v>
      </c>
      <c r="G234" s="16">
        <v>0</v>
      </c>
      <c r="H234" s="16">
        <v>0</v>
      </c>
      <c r="I234" t="s">
        <v>107</v>
      </c>
      <c r="J234">
        <v>1</v>
      </c>
      <c r="K234" t="s">
        <v>720</v>
      </c>
      <c r="L234" t="s">
        <v>385</v>
      </c>
      <c r="M234">
        <v>0</v>
      </c>
      <c r="N234" s="3" t="s">
        <v>257</v>
      </c>
      <c r="O234" s="3"/>
    </row>
    <row r="235" spans="1:15" ht="27.6">
      <c r="A235" t="s">
        <v>959</v>
      </c>
      <c r="B235" t="s">
        <v>412</v>
      </c>
      <c r="C235">
        <v>135614</v>
      </c>
      <c r="D235" s="16">
        <v>135.614</v>
      </c>
      <c r="E235" t="s">
        <v>719</v>
      </c>
      <c r="F235" s="16">
        <v>27.3</v>
      </c>
      <c r="G235" s="16">
        <v>27.3</v>
      </c>
      <c r="H235" s="16">
        <v>27.3</v>
      </c>
      <c r="I235" t="s">
        <v>98</v>
      </c>
      <c r="J235">
        <v>1</v>
      </c>
      <c r="K235" t="s">
        <v>720</v>
      </c>
      <c r="L235" t="s">
        <v>385</v>
      </c>
      <c r="M235">
        <v>0</v>
      </c>
      <c r="N235" s="3" t="s">
        <v>257</v>
      </c>
      <c r="O235" s="3"/>
    </row>
    <row r="236" spans="1:15" ht="27.6">
      <c r="A236" t="s">
        <v>960</v>
      </c>
      <c r="B236" t="s">
        <v>412</v>
      </c>
      <c r="C236">
        <v>135614</v>
      </c>
      <c r="D236" s="16">
        <v>135.614</v>
      </c>
      <c r="E236" t="s">
        <v>722</v>
      </c>
      <c r="F236" s="16">
        <v>80.8</v>
      </c>
      <c r="G236" s="16">
        <v>80.8</v>
      </c>
      <c r="H236" s="16">
        <v>80.8</v>
      </c>
      <c r="I236" t="s">
        <v>140</v>
      </c>
      <c r="J236">
        <v>1</v>
      </c>
      <c r="K236" t="s">
        <v>720</v>
      </c>
      <c r="L236" t="s">
        <v>385</v>
      </c>
      <c r="M236">
        <v>0</v>
      </c>
      <c r="N236" s="3" t="s">
        <v>257</v>
      </c>
      <c r="O236" s="3"/>
    </row>
    <row r="237" spans="1:15" ht="27.6">
      <c r="A237" t="s">
        <v>961</v>
      </c>
      <c r="B237" t="s">
        <v>412</v>
      </c>
      <c r="C237">
        <v>135614</v>
      </c>
      <c r="D237" s="16">
        <v>135.614</v>
      </c>
      <c r="E237" t="s">
        <v>724</v>
      </c>
      <c r="F237" s="16">
        <v>0.1</v>
      </c>
      <c r="G237" s="16">
        <v>0.1</v>
      </c>
      <c r="H237" s="16">
        <v>0.1</v>
      </c>
      <c r="I237" t="s">
        <v>125</v>
      </c>
      <c r="J237">
        <v>1</v>
      </c>
      <c r="K237" t="s">
        <v>720</v>
      </c>
      <c r="L237" t="s">
        <v>385</v>
      </c>
      <c r="M237">
        <v>0</v>
      </c>
      <c r="N237" s="3" t="s">
        <v>257</v>
      </c>
      <c r="O237" s="3"/>
    </row>
    <row r="238" spans="1:15" ht="27.6">
      <c r="A238" t="s">
        <v>962</v>
      </c>
      <c r="B238" t="s">
        <v>412</v>
      </c>
      <c r="C238">
        <v>135614</v>
      </c>
      <c r="D238" s="16">
        <v>135.614</v>
      </c>
      <c r="E238" t="s">
        <v>727</v>
      </c>
      <c r="F238" s="16">
        <v>1</v>
      </c>
      <c r="G238" s="16">
        <v>1</v>
      </c>
      <c r="H238" s="16">
        <v>1</v>
      </c>
      <c r="I238" t="s">
        <v>728</v>
      </c>
      <c r="J238">
        <v>1</v>
      </c>
      <c r="K238" t="s">
        <v>720</v>
      </c>
      <c r="L238" t="s">
        <v>385</v>
      </c>
      <c r="M238">
        <v>0</v>
      </c>
      <c r="N238" s="3" t="s">
        <v>257</v>
      </c>
      <c r="O238" s="3"/>
    </row>
    <row r="239" spans="1:15" ht="27.6">
      <c r="A239" t="s">
        <v>963</v>
      </c>
      <c r="B239" t="s">
        <v>412</v>
      </c>
      <c r="C239">
        <v>135614</v>
      </c>
      <c r="D239" s="16">
        <v>135.614</v>
      </c>
      <c r="E239" t="s">
        <v>730</v>
      </c>
      <c r="F239" s="16">
        <v>0</v>
      </c>
      <c r="G239" s="16">
        <v>0</v>
      </c>
      <c r="H239" s="16">
        <v>0</v>
      </c>
      <c r="I239" t="s">
        <v>107</v>
      </c>
      <c r="J239">
        <v>1</v>
      </c>
      <c r="K239" t="s">
        <v>720</v>
      </c>
      <c r="L239" t="s">
        <v>385</v>
      </c>
      <c r="M239">
        <v>0</v>
      </c>
      <c r="N239" s="3" t="s">
        <v>257</v>
      </c>
      <c r="O239" s="3"/>
    </row>
    <row r="240" spans="1:15" ht="27.6">
      <c r="A240" t="s">
        <v>964</v>
      </c>
      <c r="B240" t="s">
        <v>413</v>
      </c>
      <c r="C240">
        <v>140634</v>
      </c>
      <c r="D240" s="16">
        <v>140.63399999999999</v>
      </c>
      <c r="E240" t="s">
        <v>719</v>
      </c>
      <c r="F240" s="16">
        <v>27.3</v>
      </c>
      <c r="G240" s="16">
        <v>27.3</v>
      </c>
      <c r="H240" s="16">
        <v>27.3</v>
      </c>
      <c r="I240" t="s">
        <v>98</v>
      </c>
      <c r="J240">
        <v>1</v>
      </c>
      <c r="K240" t="s">
        <v>720</v>
      </c>
      <c r="L240" t="s">
        <v>385</v>
      </c>
      <c r="M240">
        <v>0</v>
      </c>
      <c r="N240" s="3" t="s">
        <v>257</v>
      </c>
      <c r="O240" s="3"/>
    </row>
    <row r="241" spans="1:15" ht="27.6">
      <c r="A241" t="s">
        <v>965</v>
      </c>
      <c r="B241" t="s">
        <v>413</v>
      </c>
      <c r="C241">
        <v>140634</v>
      </c>
      <c r="D241" s="16">
        <v>140.63399999999999</v>
      </c>
      <c r="E241" t="s">
        <v>722</v>
      </c>
      <c r="F241" s="16">
        <v>80.900000000000006</v>
      </c>
      <c r="G241" s="16">
        <v>80.900000000000006</v>
      </c>
      <c r="H241" s="16">
        <v>80.900000000000006</v>
      </c>
      <c r="I241" t="s">
        <v>140</v>
      </c>
      <c r="J241">
        <v>1</v>
      </c>
      <c r="K241" t="s">
        <v>720</v>
      </c>
      <c r="L241" t="s">
        <v>385</v>
      </c>
      <c r="M241">
        <v>0</v>
      </c>
      <c r="N241" s="3" t="s">
        <v>257</v>
      </c>
      <c r="O241" s="3"/>
    </row>
    <row r="242" spans="1:15" ht="27.6">
      <c r="A242" t="s">
        <v>966</v>
      </c>
      <c r="B242" t="s">
        <v>413</v>
      </c>
      <c r="C242">
        <v>140634</v>
      </c>
      <c r="D242" s="16">
        <v>140.63399999999999</v>
      </c>
      <c r="E242" t="s">
        <v>724</v>
      </c>
      <c r="F242" s="16">
        <v>0</v>
      </c>
      <c r="G242" s="16">
        <v>0</v>
      </c>
      <c r="H242" s="16">
        <v>0</v>
      </c>
      <c r="I242" t="s">
        <v>125</v>
      </c>
      <c r="J242">
        <v>1</v>
      </c>
      <c r="K242" t="s">
        <v>720</v>
      </c>
      <c r="L242" t="s">
        <v>385</v>
      </c>
      <c r="M242">
        <v>0</v>
      </c>
      <c r="N242" s="3" t="s">
        <v>257</v>
      </c>
      <c r="O242" s="3"/>
    </row>
    <row r="243" spans="1:15" ht="27.6">
      <c r="A243" t="s">
        <v>967</v>
      </c>
      <c r="B243" t="s">
        <v>413</v>
      </c>
      <c r="C243">
        <v>140634</v>
      </c>
      <c r="D243" s="16">
        <v>140.63399999999999</v>
      </c>
      <c r="E243" t="s">
        <v>727</v>
      </c>
      <c r="F243" s="16">
        <v>1</v>
      </c>
      <c r="G243" s="16">
        <v>1</v>
      </c>
      <c r="H243" s="16">
        <v>1</v>
      </c>
      <c r="I243" t="s">
        <v>728</v>
      </c>
      <c r="J243">
        <v>1</v>
      </c>
      <c r="K243" t="s">
        <v>720</v>
      </c>
      <c r="L243" t="s">
        <v>385</v>
      </c>
      <c r="M243">
        <v>0</v>
      </c>
      <c r="N243" s="3" t="s">
        <v>257</v>
      </c>
      <c r="O243" s="3"/>
    </row>
    <row r="244" spans="1:15" ht="27.6">
      <c r="A244" t="s">
        <v>968</v>
      </c>
      <c r="B244" t="s">
        <v>413</v>
      </c>
      <c r="C244">
        <v>140634</v>
      </c>
      <c r="D244" s="16">
        <v>140.63399999999999</v>
      </c>
      <c r="E244" t="s">
        <v>730</v>
      </c>
      <c r="F244" s="16">
        <v>0</v>
      </c>
      <c r="G244" s="16">
        <v>0</v>
      </c>
      <c r="H244" s="16">
        <v>0</v>
      </c>
      <c r="I244" t="s">
        <v>107</v>
      </c>
      <c r="J244">
        <v>1</v>
      </c>
      <c r="K244" t="s">
        <v>720</v>
      </c>
      <c r="L244" t="s">
        <v>385</v>
      </c>
      <c r="M244">
        <v>0</v>
      </c>
      <c r="N244" s="3" t="s">
        <v>257</v>
      </c>
      <c r="O244" s="3"/>
    </row>
    <row r="245" spans="1:15" ht="27.6">
      <c r="A245" t="s">
        <v>969</v>
      </c>
      <c r="B245" t="s">
        <v>414</v>
      </c>
      <c r="C245">
        <v>145653</v>
      </c>
      <c r="D245" s="16">
        <v>145.65299999999999</v>
      </c>
      <c r="E245" t="s">
        <v>719</v>
      </c>
      <c r="F245" s="16">
        <v>27.3</v>
      </c>
      <c r="G245" s="16">
        <v>27.3</v>
      </c>
      <c r="H245" s="16">
        <v>27.3</v>
      </c>
      <c r="I245" t="s">
        <v>98</v>
      </c>
      <c r="J245">
        <v>1</v>
      </c>
      <c r="K245" t="s">
        <v>720</v>
      </c>
      <c r="L245" t="s">
        <v>385</v>
      </c>
      <c r="M245">
        <v>0</v>
      </c>
      <c r="N245" s="3" t="s">
        <v>257</v>
      </c>
      <c r="O245" s="3"/>
    </row>
    <row r="246" spans="1:15" ht="27.6">
      <c r="A246" t="s">
        <v>970</v>
      </c>
      <c r="B246" t="s">
        <v>414</v>
      </c>
      <c r="C246">
        <v>145653</v>
      </c>
      <c r="D246" s="16">
        <v>145.65299999999999</v>
      </c>
      <c r="E246" t="s">
        <v>722</v>
      </c>
      <c r="F246" s="16">
        <v>80.900000000000006</v>
      </c>
      <c r="G246" s="16">
        <v>80.900000000000006</v>
      </c>
      <c r="H246" s="16">
        <v>80.900000000000006</v>
      </c>
      <c r="I246" t="s">
        <v>140</v>
      </c>
      <c r="J246">
        <v>1</v>
      </c>
      <c r="K246" t="s">
        <v>720</v>
      </c>
      <c r="L246" t="s">
        <v>385</v>
      </c>
      <c r="M246">
        <v>0</v>
      </c>
      <c r="N246" s="3" t="s">
        <v>257</v>
      </c>
      <c r="O246" s="3"/>
    </row>
    <row r="247" spans="1:15" ht="27.6">
      <c r="A247" t="s">
        <v>971</v>
      </c>
      <c r="B247" t="s">
        <v>414</v>
      </c>
      <c r="C247">
        <v>145653</v>
      </c>
      <c r="D247" s="16">
        <v>145.65299999999999</v>
      </c>
      <c r="E247" t="s">
        <v>724</v>
      </c>
      <c r="F247" s="16">
        <v>0.4</v>
      </c>
      <c r="G247" s="16">
        <v>0.4</v>
      </c>
      <c r="H247" s="16">
        <v>0.4</v>
      </c>
      <c r="I247" t="s">
        <v>125</v>
      </c>
      <c r="J247">
        <v>1</v>
      </c>
      <c r="K247" t="s">
        <v>720</v>
      </c>
      <c r="L247" t="s">
        <v>385</v>
      </c>
      <c r="M247">
        <v>0</v>
      </c>
      <c r="N247" s="3" t="s">
        <v>257</v>
      </c>
      <c r="O247" s="3"/>
    </row>
    <row r="248" spans="1:15" ht="27.6">
      <c r="A248" t="s">
        <v>972</v>
      </c>
      <c r="B248" t="s">
        <v>414</v>
      </c>
      <c r="C248">
        <v>145653</v>
      </c>
      <c r="D248" s="16">
        <v>145.65299999999999</v>
      </c>
      <c r="E248" t="s">
        <v>727</v>
      </c>
      <c r="F248" s="16">
        <v>1</v>
      </c>
      <c r="G248" s="16">
        <v>1</v>
      </c>
      <c r="H248" s="16">
        <v>1</v>
      </c>
      <c r="I248" t="s">
        <v>728</v>
      </c>
      <c r="J248">
        <v>1</v>
      </c>
      <c r="K248" t="s">
        <v>720</v>
      </c>
      <c r="L248" t="s">
        <v>385</v>
      </c>
      <c r="M248">
        <v>0</v>
      </c>
      <c r="N248" s="3" t="s">
        <v>257</v>
      </c>
      <c r="O248" s="3"/>
    </row>
    <row r="249" spans="1:15" ht="27.6">
      <c r="A249" t="s">
        <v>973</v>
      </c>
      <c r="B249" t="s">
        <v>414</v>
      </c>
      <c r="C249">
        <v>145653</v>
      </c>
      <c r="D249" s="16">
        <v>145.65299999999999</v>
      </c>
      <c r="E249" t="s">
        <v>730</v>
      </c>
      <c r="F249" s="16">
        <v>0</v>
      </c>
      <c r="G249" s="16">
        <v>0</v>
      </c>
      <c r="H249" s="16">
        <v>0</v>
      </c>
      <c r="I249" t="s">
        <v>107</v>
      </c>
      <c r="J249">
        <v>1</v>
      </c>
      <c r="K249" t="s">
        <v>720</v>
      </c>
      <c r="L249" t="s">
        <v>385</v>
      </c>
      <c r="M249">
        <v>0</v>
      </c>
      <c r="N249" s="3" t="s">
        <v>257</v>
      </c>
      <c r="O249" s="3"/>
    </row>
    <row r="250" spans="1:15" ht="27.6">
      <c r="A250" t="s">
        <v>974</v>
      </c>
      <c r="B250" t="s">
        <v>415</v>
      </c>
      <c r="C250">
        <v>150670</v>
      </c>
      <c r="D250" s="16">
        <v>150.66999999999999</v>
      </c>
      <c r="E250" t="s">
        <v>719</v>
      </c>
      <c r="F250" s="16">
        <v>27.3</v>
      </c>
      <c r="G250" s="16">
        <v>27.3</v>
      </c>
      <c r="H250" s="16">
        <v>27.3</v>
      </c>
      <c r="I250" t="s">
        <v>98</v>
      </c>
      <c r="J250">
        <v>1</v>
      </c>
      <c r="K250" t="s">
        <v>720</v>
      </c>
      <c r="L250" t="s">
        <v>385</v>
      </c>
      <c r="M250">
        <v>0</v>
      </c>
      <c r="N250" s="3" t="s">
        <v>257</v>
      </c>
      <c r="O250" s="3"/>
    </row>
    <row r="251" spans="1:15" ht="27.6">
      <c r="A251" t="s">
        <v>975</v>
      </c>
      <c r="B251" t="s">
        <v>415</v>
      </c>
      <c r="C251">
        <v>150670</v>
      </c>
      <c r="D251" s="16">
        <v>150.66999999999999</v>
      </c>
      <c r="E251" t="s">
        <v>722</v>
      </c>
      <c r="F251" s="16">
        <v>80.900000000000006</v>
      </c>
      <c r="G251" s="16">
        <v>80.900000000000006</v>
      </c>
      <c r="H251" s="16">
        <v>80.900000000000006</v>
      </c>
      <c r="I251" t="s">
        <v>140</v>
      </c>
      <c r="J251">
        <v>1</v>
      </c>
      <c r="K251" t="s">
        <v>720</v>
      </c>
      <c r="L251" t="s">
        <v>385</v>
      </c>
      <c r="M251">
        <v>0</v>
      </c>
      <c r="N251" s="3" t="s">
        <v>257</v>
      </c>
      <c r="O251" s="3"/>
    </row>
    <row r="252" spans="1:15" ht="27.6">
      <c r="A252" t="s">
        <v>976</v>
      </c>
      <c r="B252" t="s">
        <v>415</v>
      </c>
      <c r="C252">
        <v>150670</v>
      </c>
      <c r="D252" s="16">
        <v>150.66999999999999</v>
      </c>
      <c r="E252" t="s">
        <v>724</v>
      </c>
      <c r="F252" s="16">
        <v>0</v>
      </c>
      <c r="G252" s="16">
        <v>0</v>
      </c>
      <c r="H252" s="16">
        <v>0</v>
      </c>
      <c r="I252" t="s">
        <v>125</v>
      </c>
      <c r="J252">
        <v>1</v>
      </c>
      <c r="K252" t="s">
        <v>720</v>
      </c>
      <c r="L252" t="s">
        <v>385</v>
      </c>
      <c r="M252">
        <v>0</v>
      </c>
      <c r="N252" s="3" t="s">
        <v>257</v>
      </c>
      <c r="O252" s="3"/>
    </row>
    <row r="253" spans="1:15" ht="27.6">
      <c r="A253" t="s">
        <v>977</v>
      </c>
      <c r="B253" t="s">
        <v>415</v>
      </c>
      <c r="C253">
        <v>150670</v>
      </c>
      <c r="D253" s="16">
        <v>150.66999999999999</v>
      </c>
      <c r="E253" t="s">
        <v>727</v>
      </c>
      <c r="F253" s="16">
        <v>1</v>
      </c>
      <c r="G253" s="16">
        <v>1</v>
      </c>
      <c r="H253" s="16">
        <v>1</v>
      </c>
      <c r="I253" t="s">
        <v>728</v>
      </c>
      <c r="J253">
        <v>1</v>
      </c>
      <c r="K253" t="s">
        <v>720</v>
      </c>
      <c r="L253" t="s">
        <v>385</v>
      </c>
      <c r="M253">
        <v>0</v>
      </c>
      <c r="N253" s="3" t="s">
        <v>257</v>
      </c>
      <c r="O253" s="3"/>
    </row>
    <row r="254" spans="1:15" ht="27.6">
      <c r="A254" t="s">
        <v>978</v>
      </c>
      <c r="B254" t="s">
        <v>415</v>
      </c>
      <c r="C254">
        <v>150670</v>
      </c>
      <c r="D254" s="16">
        <v>150.66999999999999</v>
      </c>
      <c r="E254" t="s">
        <v>730</v>
      </c>
      <c r="F254" s="16">
        <v>0</v>
      </c>
      <c r="G254" s="16">
        <v>0</v>
      </c>
      <c r="H254" s="16">
        <v>0</v>
      </c>
      <c r="I254" t="s">
        <v>107</v>
      </c>
      <c r="J254">
        <v>1</v>
      </c>
      <c r="K254" t="s">
        <v>720</v>
      </c>
      <c r="L254" t="s">
        <v>385</v>
      </c>
      <c r="M254">
        <v>0</v>
      </c>
      <c r="N254" s="3" t="s">
        <v>257</v>
      </c>
      <c r="O254" s="3"/>
    </row>
    <row r="255" spans="1:15">
      <c r="A255" t="s">
        <v>979</v>
      </c>
      <c r="B255" t="s">
        <v>416</v>
      </c>
      <c r="C255">
        <v>155687</v>
      </c>
      <c r="D255" s="16">
        <v>155.68700000000001</v>
      </c>
      <c r="E255" t="s">
        <v>719</v>
      </c>
      <c r="F255" s="16">
        <v>27.3</v>
      </c>
      <c r="G255" s="16">
        <v>27.3</v>
      </c>
      <c r="H255" s="16">
        <v>27.3</v>
      </c>
      <c r="I255" t="s">
        <v>98</v>
      </c>
      <c r="J255">
        <v>1</v>
      </c>
      <c r="K255" t="s">
        <v>720</v>
      </c>
      <c r="L255" t="s">
        <v>385</v>
      </c>
      <c r="M255">
        <v>0</v>
      </c>
      <c r="N255" s="3" t="s">
        <v>238</v>
      </c>
      <c r="O255" s="3"/>
    </row>
    <row r="256" spans="1:15">
      <c r="A256" t="s">
        <v>980</v>
      </c>
      <c r="B256" t="s">
        <v>416</v>
      </c>
      <c r="C256">
        <v>155687</v>
      </c>
      <c r="D256" s="16">
        <v>155.68700000000001</v>
      </c>
      <c r="E256" t="s">
        <v>722</v>
      </c>
      <c r="F256" s="16">
        <v>80.900000000000006</v>
      </c>
      <c r="G256" s="16">
        <v>80.900000000000006</v>
      </c>
      <c r="H256" s="16">
        <v>80.900000000000006</v>
      </c>
      <c r="I256" t="s">
        <v>140</v>
      </c>
      <c r="J256">
        <v>1</v>
      </c>
      <c r="K256" t="s">
        <v>720</v>
      </c>
      <c r="L256" t="s">
        <v>385</v>
      </c>
      <c r="M256">
        <v>0</v>
      </c>
      <c r="N256" s="3" t="s">
        <v>238</v>
      </c>
      <c r="O256" s="3"/>
    </row>
    <row r="257" spans="1:15">
      <c r="A257" t="s">
        <v>981</v>
      </c>
      <c r="B257" t="s">
        <v>416</v>
      </c>
      <c r="C257">
        <v>155687</v>
      </c>
      <c r="D257" s="16">
        <v>155.68700000000001</v>
      </c>
      <c r="E257" t="s">
        <v>724</v>
      </c>
      <c r="F257" s="16">
        <v>-0.3</v>
      </c>
      <c r="G257" s="16">
        <v>0.3</v>
      </c>
      <c r="H257" s="16">
        <v>0.3</v>
      </c>
      <c r="I257" t="s">
        <v>125</v>
      </c>
      <c r="J257">
        <v>1</v>
      </c>
      <c r="K257" t="s">
        <v>725</v>
      </c>
      <c r="L257" t="s">
        <v>385</v>
      </c>
      <c r="M257">
        <v>0</v>
      </c>
      <c r="N257" s="3" t="s">
        <v>238</v>
      </c>
      <c r="O257" s="3"/>
    </row>
    <row r="258" spans="1:15">
      <c r="A258" t="s">
        <v>982</v>
      </c>
      <c r="B258" t="s">
        <v>416</v>
      </c>
      <c r="C258">
        <v>155687</v>
      </c>
      <c r="D258" s="16">
        <v>155.68700000000001</v>
      </c>
      <c r="E258" t="s">
        <v>727</v>
      </c>
      <c r="F258" s="16">
        <v>1</v>
      </c>
      <c r="G258" s="16">
        <v>1</v>
      </c>
      <c r="H258" s="16">
        <v>1</v>
      </c>
      <c r="I258" t="s">
        <v>728</v>
      </c>
      <c r="J258">
        <v>1</v>
      </c>
      <c r="K258" t="s">
        <v>720</v>
      </c>
      <c r="L258" t="s">
        <v>385</v>
      </c>
      <c r="M258">
        <v>0</v>
      </c>
      <c r="N258" s="3" t="s">
        <v>238</v>
      </c>
      <c r="O258" s="3"/>
    </row>
    <row r="259" spans="1:15">
      <c r="A259" t="s">
        <v>983</v>
      </c>
      <c r="B259" t="s">
        <v>416</v>
      </c>
      <c r="C259">
        <v>155687</v>
      </c>
      <c r="D259" s="16">
        <v>155.68700000000001</v>
      </c>
      <c r="E259" t="s">
        <v>730</v>
      </c>
      <c r="F259" s="16">
        <v>0</v>
      </c>
      <c r="G259" s="16">
        <v>0</v>
      </c>
      <c r="H259" s="16">
        <v>0</v>
      </c>
      <c r="I259" t="s">
        <v>107</v>
      </c>
      <c r="J259">
        <v>1</v>
      </c>
      <c r="K259" t="s">
        <v>720</v>
      </c>
      <c r="L259" t="s">
        <v>385</v>
      </c>
      <c r="M259">
        <v>0</v>
      </c>
      <c r="N259" s="3" t="s">
        <v>238</v>
      </c>
      <c r="O259" s="3"/>
    </row>
    <row r="260" spans="1:15">
      <c r="A260" t="s">
        <v>984</v>
      </c>
      <c r="B260" t="s">
        <v>417</v>
      </c>
      <c r="C260">
        <v>160705</v>
      </c>
      <c r="D260" s="16">
        <v>160.70500000000001</v>
      </c>
      <c r="E260" t="s">
        <v>719</v>
      </c>
      <c r="F260" s="16">
        <v>27.3</v>
      </c>
      <c r="G260" s="16">
        <v>27.3</v>
      </c>
      <c r="H260" s="16">
        <v>27.3</v>
      </c>
      <c r="I260" t="s">
        <v>98</v>
      </c>
      <c r="J260">
        <v>1</v>
      </c>
      <c r="K260" t="s">
        <v>720</v>
      </c>
      <c r="L260" t="s">
        <v>385</v>
      </c>
      <c r="M260">
        <v>0</v>
      </c>
      <c r="N260" s="3" t="s">
        <v>238</v>
      </c>
      <c r="O260" s="3"/>
    </row>
    <row r="261" spans="1:15">
      <c r="A261" t="s">
        <v>985</v>
      </c>
      <c r="B261" t="s">
        <v>417</v>
      </c>
      <c r="C261">
        <v>160705</v>
      </c>
      <c r="D261" s="16">
        <v>160.70500000000001</v>
      </c>
      <c r="E261" t="s">
        <v>722</v>
      </c>
      <c r="F261" s="16">
        <v>80.8</v>
      </c>
      <c r="G261" s="16">
        <v>80.8</v>
      </c>
      <c r="H261" s="16">
        <v>80.8</v>
      </c>
      <c r="I261" t="s">
        <v>140</v>
      </c>
      <c r="J261">
        <v>1</v>
      </c>
      <c r="K261" t="s">
        <v>720</v>
      </c>
      <c r="L261" t="s">
        <v>385</v>
      </c>
      <c r="M261">
        <v>0</v>
      </c>
      <c r="N261" s="3" t="s">
        <v>238</v>
      </c>
      <c r="O261" s="3"/>
    </row>
    <row r="262" spans="1:15">
      <c r="A262" t="s">
        <v>986</v>
      </c>
      <c r="B262" t="s">
        <v>417</v>
      </c>
      <c r="C262">
        <v>160705</v>
      </c>
      <c r="D262" s="16">
        <v>160.70500000000001</v>
      </c>
      <c r="E262" t="s">
        <v>724</v>
      </c>
      <c r="F262" s="16">
        <v>-0.3</v>
      </c>
      <c r="G262" s="16">
        <v>0.3</v>
      </c>
      <c r="H262" s="16">
        <v>0.3</v>
      </c>
      <c r="I262" t="s">
        <v>125</v>
      </c>
      <c r="J262">
        <v>1</v>
      </c>
      <c r="K262" t="s">
        <v>725</v>
      </c>
      <c r="L262" t="s">
        <v>385</v>
      </c>
      <c r="M262">
        <v>0</v>
      </c>
      <c r="N262" s="3" t="s">
        <v>238</v>
      </c>
      <c r="O262" s="3"/>
    </row>
    <row r="263" spans="1:15">
      <c r="A263" t="s">
        <v>987</v>
      </c>
      <c r="B263" t="s">
        <v>417</v>
      </c>
      <c r="C263">
        <v>160705</v>
      </c>
      <c r="D263" s="16">
        <v>160.70500000000001</v>
      </c>
      <c r="E263" t="s">
        <v>727</v>
      </c>
      <c r="F263" s="16">
        <v>1</v>
      </c>
      <c r="G263" s="16">
        <v>1</v>
      </c>
      <c r="H263" s="16">
        <v>1</v>
      </c>
      <c r="I263" t="s">
        <v>728</v>
      </c>
      <c r="J263">
        <v>1</v>
      </c>
      <c r="K263" t="s">
        <v>720</v>
      </c>
      <c r="L263" t="s">
        <v>385</v>
      </c>
      <c r="M263">
        <v>0</v>
      </c>
      <c r="N263" s="3" t="s">
        <v>238</v>
      </c>
      <c r="O263" s="3"/>
    </row>
    <row r="264" spans="1:15">
      <c r="A264" t="s">
        <v>988</v>
      </c>
      <c r="B264" t="s">
        <v>417</v>
      </c>
      <c r="C264">
        <v>160705</v>
      </c>
      <c r="D264" s="16">
        <v>160.70500000000001</v>
      </c>
      <c r="E264" t="s">
        <v>730</v>
      </c>
      <c r="F264" s="16">
        <v>0</v>
      </c>
      <c r="G264" s="16">
        <v>0</v>
      </c>
      <c r="H264" s="16">
        <v>0</v>
      </c>
      <c r="I264" t="s">
        <v>107</v>
      </c>
      <c r="J264">
        <v>1</v>
      </c>
      <c r="K264" t="s">
        <v>720</v>
      </c>
      <c r="L264" t="s">
        <v>385</v>
      </c>
      <c r="M264">
        <v>0</v>
      </c>
      <c r="N264" s="3" t="s">
        <v>238</v>
      </c>
      <c r="O264" s="3"/>
    </row>
    <row r="265" spans="1:15">
      <c r="A265" t="s">
        <v>989</v>
      </c>
      <c r="B265" t="s">
        <v>418</v>
      </c>
      <c r="C265">
        <v>165724</v>
      </c>
      <c r="D265" s="16">
        <v>165.72399999999999</v>
      </c>
      <c r="E265" t="s">
        <v>719</v>
      </c>
      <c r="F265" s="16">
        <v>27.3</v>
      </c>
      <c r="G265" s="16">
        <v>27.3</v>
      </c>
      <c r="H265" s="16">
        <v>27.3</v>
      </c>
      <c r="I265" t="s">
        <v>98</v>
      </c>
      <c r="J265">
        <v>1</v>
      </c>
      <c r="K265" t="s">
        <v>720</v>
      </c>
      <c r="L265" t="s">
        <v>385</v>
      </c>
      <c r="M265">
        <v>0</v>
      </c>
      <c r="N265" s="3" t="s">
        <v>238</v>
      </c>
      <c r="O265" s="3"/>
    </row>
    <row r="266" spans="1:15">
      <c r="A266" t="s">
        <v>990</v>
      </c>
      <c r="B266" t="s">
        <v>418</v>
      </c>
      <c r="C266">
        <v>165724</v>
      </c>
      <c r="D266" s="16">
        <v>165.72399999999999</v>
      </c>
      <c r="E266" t="s">
        <v>722</v>
      </c>
      <c r="F266" s="16">
        <v>80.8</v>
      </c>
      <c r="G266" s="16">
        <v>80.8</v>
      </c>
      <c r="H266" s="16">
        <v>80.8</v>
      </c>
      <c r="I266" t="s">
        <v>140</v>
      </c>
      <c r="J266">
        <v>1</v>
      </c>
      <c r="K266" t="s">
        <v>720</v>
      </c>
      <c r="L266" t="s">
        <v>385</v>
      </c>
      <c r="M266">
        <v>0</v>
      </c>
      <c r="N266" s="3" t="s">
        <v>238</v>
      </c>
      <c r="O266" s="3"/>
    </row>
    <row r="267" spans="1:15">
      <c r="A267" t="s">
        <v>991</v>
      </c>
      <c r="B267" t="s">
        <v>418</v>
      </c>
      <c r="C267">
        <v>165724</v>
      </c>
      <c r="D267" s="16">
        <v>165.72399999999999</v>
      </c>
      <c r="E267" t="s">
        <v>724</v>
      </c>
      <c r="F267" s="16">
        <v>-0.2</v>
      </c>
      <c r="G267" s="16">
        <v>0.2</v>
      </c>
      <c r="H267" s="16">
        <v>0.2</v>
      </c>
      <c r="I267" t="s">
        <v>125</v>
      </c>
      <c r="J267">
        <v>1</v>
      </c>
      <c r="K267" t="s">
        <v>725</v>
      </c>
      <c r="L267" t="s">
        <v>385</v>
      </c>
      <c r="M267">
        <v>0</v>
      </c>
      <c r="N267" s="3" t="s">
        <v>238</v>
      </c>
      <c r="O267" s="3"/>
    </row>
    <row r="268" spans="1:15">
      <c r="A268" t="s">
        <v>992</v>
      </c>
      <c r="B268" t="s">
        <v>418</v>
      </c>
      <c r="C268">
        <v>165724</v>
      </c>
      <c r="D268" s="16">
        <v>165.72399999999999</v>
      </c>
      <c r="E268" t="s">
        <v>727</v>
      </c>
      <c r="F268" s="16">
        <v>1</v>
      </c>
      <c r="G268" s="16">
        <v>1</v>
      </c>
      <c r="H268" s="16">
        <v>1</v>
      </c>
      <c r="I268" t="s">
        <v>728</v>
      </c>
      <c r="J268">
        <v>1</v>
      </c>
      <c r="K268" t="s">
        <v>720</v>
      </c>
      <c r="L268" t="s">
        <v>385</v>
      </c>
      <c r="M268">
        <v>0</v>
      </c>
      <c r="N268" s="3" t="s">
        <v>238</v>
      </c>
      <c r="O268" s="3"/>
    </row>
    <row r="269" spans="1:15">
      <c r="A269" t="s">
        <v>993</v>
      </c>
      <c r="B269" t="s">
        <v>418</v>
      </c>
      <c r="C269">
        <v>165724</v>
      </c>
      <c r="D269" s="16">
        <v>165.72399999999999</v>
      </c>
      <c r="E269" t="s">
        <v>730</v>
      </c>
      <c r="F269" s="16">
        <v>0</v>
      </c>
      <c r="G269" s="16">
        <v>0</v>
      </c>
      <c r="H269" s="16">
        <v>0</v>
      </c>
      <c r="I269" t="s">
        <v>107</v>
      </c>
      <c r="J269">
        <v>1</v>
      </c>
      <c r="K269" t="s">
        <v>720</v>
      </c>
      <c r="L269" t="s">
        <v>385</v>
      </c>
      <c r="M269">
        <v>0</v>
      </c>
      <c r="N269" s="3" t="s">
        <v>238</v>
      </c>
      <c r="O269" s="3"/>
    </row>
    <row r="270" spans="1:15">
      <c r="A270" t="s">
        <v>994</v>
      </c>
      <c r="B270" t="s">
        <v>419</v>
      </c>
      <c r="C270">
        <v>170741</v>
      </c>
      <c r="D270" s="16">
        <v>170.74100000000001</v>
      </c>
      <c r="E270" t="s">
        <v>719</v>
      </c>
      <c r="F270" s="16">
        <v>27.3</v>
      </c>
      <c r="G270" s="16">
        <v>27.3</v>
      </c>
      <c r="H270" s="16">
        <v>27.3</v>
      </c>
      <c r="I270" t="s">
        <v>98</v>
      </c>
      <c r="J270">
        <v>1</v>
      </c>
      <c r="K270" t="s">
        <v>720</v>
      </c>
      <c r="L270" t="s">
        <v>385</v>
      </c>
      <c r="M270">
        <v>0</v>
      </c>
      <c r="N270" s="3" t="s">
        <v>238</v>
      </c>
      <c r="O270" s="3"/>
    </row>
    <row r="271" spans="1:15">
      <c r="A271" t="s">
        <v>995</v>
      </c>
      <c r="B271" t="s">
        <v>419</v>
      </c>
      <c r="C271">
        <v>170741</v>
      </c>
      <c r="D271" s="16">
        <v>170.74100000000001</v>
      </c>
      <c r="E271" t="s">
        <v>722</v>
      </c>
      <c r="F271" s="16">
        <v>80.900000000000006</v>
      </c>
      <c r="G271" s="16">
        <v>80.900000000000006</v>
      </c>
      <c r="H271" s="16">
        <v>80.900000000000006</v>
      </c>
      <c r="I271" t="s">
        <v>140</v>
      </c>
      <c r="J271">
        <v>1</v>
      </c>
      <c r="K271" t="s">
        <v>720</v>
      </c>
      <c r="L271" t="s">
        <v>385</v>
      </c>
      <c r="M271">
        <v>0</v>
      </c>
      <c r="N271" s="3" t="s">
        <v>238</v>
      </c>
      <c r="O271" s="3"/>
    </row>
    <row r="272" spans="1:15">
      <c r="A272" t="s">
        <v>996</v>
      </c>
      <c r="B272" t="s">
        <v>419</v>
      </c>
      <c r="C272">
        <v>170741</v>
      </c>
      <c r="D272" s="16">
        <v>170.74100000000001</v>
      </c>
      <c r="E272" t="s">
        <v>724</v>
      </c>
      <c r="F272" s="16">
        <v>-0.1</v>
      </c>
      <c r="G272" s="16">
        <v>0.1</v>
      </c>
      <c r="H272" s="16">
        <v>0.1</v>
      </c>
      <c r="I272" t="s">
        <v>125</v>
      </c>
      <c r="J272">
        <v>1</v>
      </c>
      <c r="K272" t="s">
        <v>725</v>
      </c>
      <c r="L272" t="s">
        <v>385</v>
      </c>
      <c r="M272">
        <v>0</v>
      </c>
      <c r="N272" s="3" t="s">
        <v>238</v>
      </c>
      <c r="O272" s="3"/>
    </row>
    <row r="273" spans="1:15">
      <c r="A273" t="s">
        <v>997</v>
      </c>
      <c r="B273" t="s">
        <v>419</v>
      </c>
      <c r="C273">
        <v>170741</v>
      </c>
      <c r="D273" s="16">
        <v>170.74100000000001</v>
      </c>
      <c r="E273" t="s">
        <v>727</v>
      </c>
      <c r="F273" s="16">
        <v>1</v>
      </c>
      <c r="G273" s="16">
        <v>1</v>
      </c>
      <c r="H273" s="16">
        <v>1</v>
      </c>
      <c r="I273" t="s">
        <v>728</v>
      </c>
      <c r="J273">
        <v>1</v>
      </c>
      <c r="K273" t="s">
        <v>720</v>
      </c>
      <c r="L273" t="s">
        <v>385</v>
      </c>
      <c r="M273">
        <v>0</v>
      </c>
      <c r="N273" s="3" t="s">
        <v>238</v>
      </c>
      <c r="O273" s="3"/>
    </row>
    <row r="274" spans="1:15">
      <c r="A274" t="s">
        <v>998</v>
      </c>
      <c r="B274" t="s">
        <v>419</v>
      </c>
      <c r="C274">
        <v>170741</v>
      </c>
      <c r="D274" s="16">
        <v>170.74100000000001</v>
      </c>
      <c r="E274" t="s">
        <v>730</v>
      </c>
      <c r="F274" s="16">
        <v>0</v>
      </c>
      <c r="G274" s="16">
        <v>0</v>
      </c>
      <c r="H274" s="16">
        <v>0</v>
      </c>
      <c r="I274" t="s">
        <v>107</v>
      </c>
      <c r="J274">
        <v>1</v>
      </c>
      <c r="K274" t="s">
        <v>720</v>
      </c>
      <c r="L274" t="s">
        <v>385</v>
      </c>
      <c r="M274">
        <v>0</v>
      </c>
      <c r="N274" s="3" t="s">
        <v>238</v>
      </c>
      <c r="O274" s="3"/>
    </row>
    <row r="275" spans="1:15">
      <c r="A275" t="s">
        <v>999</v>
      </c>
      <c r="B275" t="s">
        <v>420</v>
      </c>
      <c r="C275">
        <v>175761</v>
      </c>
      <c r="D275" s="16">
        <v>175.761</v>
      </c>
      <c r="E275" t="s">
        <v>719</v>
      </c>
      <c r="F275" s="16">
        <v>27.3</v>
      </c>
      <c r="G275" s="16">
        <v>27.3</v>
      </c>
      <c r="H275" s="16">
        <v>27.3</v>
      </c>
      <c r="I275" t="s">
        <v>98</v>
      </c>
      <c r="J275">
        <v>1</v>
      </c>
      <c r="K275" t="s">
        <v>720</v>
      </c>
      <c r="L275" t="s">
        <v>385</v>
      </c>
      <c r="M275">
        <v>0</v>
      </c>
      <c r="N275" s="3" t="s">
        <v>238</v>
      </c>
      <c r="O275" s="3"/>
    </row>
    <row r="276" spans="1:15">
      <c r="A276" t="s">
        <v>1000</v>
      </c>
      <c r="B276" t="s">
        <v>420</v>
      </c>
      <c r="C276">
        <v>175761</v>
      </c>
      <c r="D276" s="16">
        <v>175.761</v>
      </c>
      <c r="E276" t="s">
        <v>722</v>
      </c>
      <c r="F276" s="16">
        <v>80.900000000000006</v>
      </c>
      <c r="G276" s="16">
        <v>80.900000000000006</v>
      </c>
      <c r="H276" s="16">
        <v>80.900000000000006</v>
      </c>
      <c r="I276" t="s">
        <v>140</v>
      </c>
      <c r="J276">
        <v>1</v>
      </c>
      <c r="K276" t="s">
        <v>720</v>
      </c>
      <c r="L276" t="s">
        <v>385</v>
      </c>
      <c r="M276">
        <v>0</v>
      </c>
      <c r="N276" s="3" t="s">
        <v>238</v>
      </c>
      <c r="O276" s="3"/>
    </row>
    <row r="277" spans="1:15">
      <c r="A277" t="s">
        <v>1001</v>
      </c>
      <c r="B277" t="s">
        <v>420</v>
      </c>
      <c r="C277">
        <v>175761</v>
      </c>
      <c r="D277" s="16">
        <v>175.761</v>
      </c>
      <c r="E277" t="s">
        <v>724</v>
      </c>
      <c r="F277" s="16">
        <v>-0.1</v>
      </c>
      <c r="G277" s="16">
        <v>0.1</v>
      </c>
      <c r="H277" s="16">
        <v>0.1</v>
      </c>
      <c r="I277" t="s">
        <v>125</v>
      </c>
      <c r="J277">
        <v>1</v>
      </c>
      <c r="K277" t="s">
        <v>725</v>
      </c>
      <c r="L277" t="s">
        <v>385</v>
      </c>
      <c r="M277">
        <v>0</v>
      </c>
      <c r="N277" s="3" t="s">
        <v>238</v>
      </c>
      <c r="O277" s="3"/>
    </row>
    <row r="278" spans="1:15">
      <c r="A278" t="s">
        <v>1002</v>
      </c>
      <c r="B278" t="s">
        <v>420</v>
      </c>
      <c r="C278">
        <v>175761</v>
      </c>
      <c r="D278" s="16">
        <v>175.761</v>
      </c>
      <c r="E278" t="s">
        <v>727</v>
      </c>
      <c r="F278" s="16">
        <v>1</v>
      </c>
      <c r="G278" s="16">
        <v>1</v>
      </c>
      <c r="H278" s="16">
        <v>1</v>
      </c>
      <c r="I278" t="s">
        <v>728</v>
      </c>
      <c r="J278">
        <v>1</v>
      </c>
      <c r="K278" t="s">
        <v>720</v>
      </c>
      <c r="L278" t="s">
        <v>385</v>
      </c>
      <c r="M278">
        <v>0</v>
      </c>
      <c r="N278" s="3" t="s">
        <v>238</v>
      </c>
      <c r="O278" s="3"/>
    </row>
    <row r="279" spans="1:15">
      <c r="A279" t="s">
        <v>1003</v>
      </c>
      <c r="B279" t="s">
        <v>420</v>
      </c>
      <c r="C279">
        <v>175761</v>
      </c>
      <c r="D279" s="16">
        <v>175.761</v>
      </c>
      <c r="E279" t="s">
        <v>730</v>
      </c>
      <c r="F279" s="16">
        <v>0</v>
      </c>
      <c r="G279" s="16">
        <v>0</v>
      </c>
      <c r="H279" s="16">
        <v>0</v>
      </c>
      <c r="I279" t="s">
        <v>107</v>
      </c>
      <c r="J279">
        <v>1</v>
      </c>
      <c r="K279" t="s">
        <v>720</v>
      </c>
      <c r="L279" t="s">
        <v>385</v>
      </c>
      <c r="M279">
        <v>0</v>
      </c>
      <c r="N279" s="3" t="s">
        <v>238</v>
      </c>
      <c r="O279" s="3"/>
    </row>
    <row r="280" spans="1:15">
      <c r="A280" t="s">
        <v>1004</v>
      </c>
      <c r="B280" t="s">
        <v>421</v>
      </c>
      <c r="C280">
        <v>180779</v>
      </c>
      <c r="D280" s="16">
        <v>180.779</v>
      </c>
      <c r="E280" t="s">
        <v>719</v>
      </c>
      <c r="F280" s="16">
        <v>27.3</v>
      </c>
      <c r="G280" s="16">
        <v>27.3</v>
      </c>
      <c r="H280" s="16">
        <v>27.3</v>
      </c>
      <c r="I280" t="s">
        <v>98</v>
      </c>
      <c r="J280">
        <v>1</v>
      </c>
      <c r="K280" t="s">
        <v>720</v>
      </c>
      <c r="L280" t="s">
        <v>385</v>
      </c>
      <c r="M280">
        <v>0</v>
      </c>
      <c r="N280" s="3" t="s">
        <v>238</v>
      </c>
      <c r="O280" s="3"/>
    </row>
    <row r="281" spans="1:15">
      <c r="A281" t="s">
        <v>1005</v>
      </c>
      <c r="B281" t="s">
        <v>421</v>
      </c>
      <c r="C281">
        <v>180779</v>
      </c>
      <c r="D281" s="16">
        <v>180.779</v>
      </c>
      <c r="E281" t="s">
        <v>722</v>
      </c>
      <c r="F281" s="16">
        <v>80.8</v>
      </c>
      <c r="G281" s="16">
        <v>80.8</v>
      </c>
      <c r="H281" s="16">
        <v>80.8</v>
      </c>
      <c r="I281" t="s">
        <v>140</v>
      </c>
      <c r="J281">
        <v>1</v>
      </c>
      <c r="K281" t="s">
        <v>720</v>
      </c>
      <c r="L281" t="s">
        <v>385</v>
      </c>
      <c r="M281">
        <v>0</v>
      </c>
      <c r="N281" s="3" t="s">
        <v>238</v>
      </c>
      <c r="O281" s="3"/>
    </row>
    <row r="282" spans="1:15">
      <c r="A282" t="s">
        <v>1006</v>
      </c>
      <c r="B282" t="s">
        <v>421</v>
      </c>
      <c r="C282">
        <v>180779</v>
      </c>
      <c r="D282" s="16">
        <v>180.779</v>
      </c>
      <c r="E282" t="s">
        <v>724</v>
      </c>
      <c r="F282" s="16">
        <v>-0.2</v>
      </c>
      <c r="G282" s="16">
        <v>0.2</v>
      </c>
      <c r="H282" s="16">
        <v>0.2</v>
      </c>
      <c r="I282" t="s">
        <v>125</v>
      </c>
      <c r="J282">
        <v>1</v>
      </c>
      <c r="K282" t="s">
        <v>725</v>
      </c>
      <c r="L282" t="s">
        <v>385</v>
      </c>
      <c r="M282">
        <v>0</v>
      </c>
      <c r="N282" s="3" t="s">
        <v>238</v>
      </c>
      <c r="O282" s="3"/>
    </row>
    <row r="283" spans="1:15">
      <c r="A283" t="s">
        <v>1007</v>
      </c>
      <c r="B283" t="s">
        <v>421</v>
      </c>
      <c r="C283">
        <v>180779</v>
      </c>
      <c r="D283" s="16">
        <v>180.779</v>
      </c>
      <c r="E283" t="s">
        <v>727</v>
      </c>
      <c r="F283" s="16">
        <v>1</v>
      </c>
      <c r="G283" s="16">
        <v>1</v>
      </c>
      <c r="H283" s="16">
        <v>1</v>
      </c>
      <c r="I283" t="s">
        <v>728</v>
      </c>
      <c r="J283">
        <v>1</v>
      </c>
      <c r="K283" t="s">
        <v>720</v>
      </c>
      <c r="L283" t="s">
        <v>385</v>
      </c>
      <c r="M283">
        <v>0</v>
      </c>
      <c r="N283" s="3" t="s">
        <v>238</v>
      </c>
      <c r="O283" s="3"/>
    </row>
    <row r="284" spans="1:15">
      <c r="A284" t="s">
        <v>1008</v>
      </c>
      <c r="B284" t="s">
        <v>421</v>
      </c>
      <c r="C284">
        <v>180779</v>
      </c>
      <c r="D284" s="16">
        <v>180.779</v>
      </c>
      <c r="E284" t="s">
        <v>730</v>
      </c>
      <c r="F284" s="16">
        <v>0</v>
      </c>
      <c r="G284" s="16">
        <v>0</v>
      </c>
      <c r="H284" s="16">
        <v>0</v>
      </c>
      <c r="I284" t="s">
        <v>107</v>
      </c>
      <c r="J284">
        <v>1</v>
      </c>
      <c r="K284" t="s">
        <v>720</v>
      </c>
      <c r="L284" t="s">
        <v>385</v>
      </c>
      <c r="M284">
        <v>0</v>
      </c>
      <c r="N284" s="3" t="s">
        <v>238</v>
      </c>
      <c r="O284" s="3"/>
    </row>
    <row r="285" spans="1:15">
      <c r="A285" t="s">
        <v>1009</v>
      </c>
      <c r="B285" t="s">
        <v>422</v>
      </c>
      <c r="C285">
        <v>185798</v>
      </c>
      <c r="D285" s="16">
        <v>185.798</v>
      </c>
      <c r="E285" t="s">
        <v>719</v>
      </c>
      <c r="F285" s="16">
        <v>27.3</v>
      </c>
      <c r="G285" s="16">
        <v>27.3</v>
      </c>
      <c r="H285" s="16">
        <v>27.3</v>
      </c>
      <c r="I285" t="s">
        <v>98</v>
      </c>
      <c r="J285">
        <v>1</v>
      </c>
      <c r="K285" t="s">
        <v>720</v>
      </c>
      <c r="L285" t="s">
        <v>385</v>
      </c>
      <c r="M285">
        <v>0</v>
      </c>
      <c r="N285" s="3" t="s">
        <v>238</v>
      </c>
      <c r="O285" s="3"/>
    </row>
    <row r="286" spans="1:15">
      <c r="A286" t="s">
        <v>1010</v>
      </c>
      <c r="B286" t="s">
        <v>422</v>
      </c>
      <c r="C286">
        <v>185798</v>
      </c>
      <c r="D286" s="16">
        <v>185.798</v>
      </c>
      <c r="E286" t="s">
        <v>722</v>
      </c>
      <c r="F286" s="16">
        <v>80.8</v>
      </c>
      <c r="G286" s="16">
        <v>80.8</v>
      </c>
      <c r="H286" s="16">
        <v>80.8</v>
      </c>
      <c r="I286" t="s">
        <v>140</v>
      </c>
      <c r="J286">
        <v>1</v>
      </c>
      <c r="K286" t="s">
        <v>720</v>
      </c>
      <c r="L286" t="s">
        <v>385</v>
      </c>
      <c r="M286">
        <v>0</v>
      </c>
      <c r="N286" s="3" t="s">
        <v>238</v>
      </c>
      <c r="O286" s="3"/>
    </row>
    <row r="287" spans="1:15">
      <c r="A287" t="s">
        <v>1011</v>
      </c>
      <c r="B287" t="s">
        <v>422</v>
      </c>
      <c r="C287">
        <v>185798</v>
      </c>
      <c r="D287" s="16">
        <v>185.798</v>
      </c>
      <c r="E287" t="s">
        <v>724</v>
      </c>
      <c r="F287" s="16">
        <v>-0.1</v>
      </c>
      <c r="G287" s="16">
        <v>0.1</v>
      </c>
      <c r="H287" s="16">
        <v>0.1</v>
      </c>
      <c r="I287" t="s">
        <v>125</v>
      </c>
      <c r="J287">
        <v>1</v>
      </c>
      <c r="K287" t="s">
        <v>725</v>
      </c>
      <c r="L287" t="s">
        <v>385</v>
      </c>
      <c r="M287">
        <v>0</v>
      </c>
      <c r="N287" s="3" t="s">
        <v>238</v>
      </c>
      <c r="O287" s="3"/>
    </row>
    <row r="288" spans="1:15">
      <c r="A288" t="s">
        <v>1012</v>
      </c>
      <c r="B288" t="s">
        <v>422</v>
      </c>
      <c r="C288">
        <v>185798</v>
      </c>
      <c r="D288" s="16">
        <v>185.798</v>
      </c>
      <c r="E288" t="s">
        <v>727</v>
      </c>
      <c r="F288" s="16">
        <v>1</v>
      </c>
      <c r="G288" s="16">
        <v>1</v>
      </c>
      <c r="H288" s="16">
        <v>1</v>
      </c>
      <c r="I288" t="s">
        <v>728</v>
      </c>
      <c r="J288">
        <v>1</v>
      </c>
      <c r="K288" t="s">
        <v>720</v>
      </c>
      <c r="L288" t="s">
        <v>385</v>
      </c>
      <c r="M288">
        <v>0</v>
      </c>
      <c r="N288" s="3" t="s">
        <v>238</v>
      </c>
      <c r="O288" s="3"/>
    </row>
    <row r="289" spans="1:15">
      <c r="A289" t="s">
        <v>1013</v>
      </c>
      <c r="B289" t="s">
        <v>422</v>
      </c>
      <c r="C289">
        <v>185798</v>
      </c>
      <c r="D289" s="16">
        <v>185.798</v>
      </c>
      <c r="E289" t="s">
        <v>730</v>
      </c>
      <c r="F289" s="16">
        <v>0</v>
      </c>
      <c r="G289" s="16">
        <v>0</v>
      </c>
      <c r="H289" s="16">
        <v>0</v>
      </c>
      <c r="I289" t="s">
        <v>107</v>
      </c>
      <c r="J289">
        <v>1</v>
      </c>
      <c r="K289" t="s">
        <v>720</v>
      </c>
      <c r="L289" t="s">
        <v>385</v>
      </c>
      <c r="M289">
        <v>0</v>
      </c>
      <c r="N289" s="3" t="s">
        <v>238</v>
      </c>
      <c r="O289" s="3"/>
    </row>
    <row r="290" spans="1:15">
      <c r="A290" t="s">
        <v>1014</v>
      </c>
      <c r="B290" t="s">
        <v>423</v>
      </c>
      <c r="C290">
        <v>190816</v>
      </c>
      <c r="D290" s="16">
        <v>190.816</v>
      </c>
      <c r="E290" t="s">
        <v>719</v>
      </c>
      <c r="F290" s="16">
        <v>27.3</v>
      </c>
      <c r="G290" s="16">
        <v>27.3</v>
      </c>
      <c r="H290" s="16">
        <v>27.3</v>
      </c>
      <c r="I290" t="s">
        <v>98</v>
      </c>
      <c r="J290">
        <v>1</v>
      </c>
      <c r="K290" t="s">
        <v>720</v>
      </c>
      <c r="L290" t="s">
        <v>385</v>
      </c>
      <c r="M290">
        <v>0</v>
      </c>
      <c r="N290" s="3" t="s">
        <v>238</v>
      </c>
      <c r="O290" s="3"/>
    </row>
    <row r="291" spans="1:15">
      <c r="A291" t="s">
        <v>1015</v>
      </c>
      <c r="B291" t="s">
        <v>423</v>
      </c>
      <c r="C291">
        <v>190816</v>
      </c>
      <c r="D291" s="16">
        <v>190.816</v>
      </c>
      <c r="E291" t="s">
        <v>722</v>
      </c>
      <c r="F291" s="16">
        <v>80.8</v>
      </c>
      <c r="G291" s="16">
        <v>80.8</v>
      </c>
      <c r="H291" s="16">
        <v>80.8</v>
      </c>
      <c r="I291" t="s">
        <v>140</v>
      </c>
      <c r="J291">
        <v>1</v>
      </c>
      <c r="K291" t="s">
        <v>720</v>
      </c>
      <c r="L291" t="s">
        <v>385</v>
      </c>
      <c r="M291">
        <v>0</v>
      </c>
      <c r="N291" s="3" t="s">
        <v>238</v>
      </c>
      <c r="O291" s="3"/>
    </row>
    <row r="292" spans="1:15">
      <c r="A292" t="s">
        <v>1016</v>
      </c>
      <c r="B292" t="s">
        <v>423</v>
      </c>
      <c r="C292">
        <v>190816</v>
      </c>
      <c r="D292" s="16">
        <v>190.816</v>
      </c>
      <c r="E292" t="s">
        <v>724</v>
      </c>
      <c r="F292" s="16">
        <v>-0.2</v>
      </c>
      <c r="G292" s="16">
        <v>0.2</v>
      </c>
      <c r="H292" s="16">
        <v>0.2</v>
      </c>
      <c r="I292" t="s">
        <v>125</v>
      </c>
      <c r="J292">
        <v>1</v>
      </c>
      <c r="K292" t="s">
        <v>725</v>
      </c>
      <c r="L292" t="s">
        <v>385</v>
      </c>
      <c r="M292">
        <v>0</v>
      </c>
      <c r="N292" s="3" t="s">
        <v>238</v>
      </c>
      <c r="O292" s="3"/>
    </row>
    <row r="293" spans="1:15">
      <c r="A293" t="s">
        <v>1017</v>
      </c>
      <c r="B293" t="s">
        <v>423</v>
      </c>
      <c r="C293">
        <v>190816</v>
      </c>
      <c r="D293" s="16">
        <v>190.816</v>
      </c>
      <c r="E293" t="s">
        <v>727</v>
      </c>
      <c r="F293" s="16">
        <v>1</v>
      </c>
      <c r="G293" s="16">
        <v>1</v>
      </c>
      <c r="H293" s="16">
        <v>1</v>
      </c>
      <c r="I293" t="s">
        <v>728</v>
      </c>
      <c r="J293">
        <v>1</v>
      </c>
      <c r="K293" t="s">
        <v>720</v>
      </c>
      <c r="L293" t="s">
        <v>385</v>
      </c>
      <c r="M293">
        <v>0</v>
      </c>
      <c r="N293" s="3" t="s">
        <v>238</v>
      </c>
      <c r="O293" s="3"/>
    </row>
    <row r="294" spans="1:15">
      <c r="A294" t="s">
        <v>1018</v>
      </c>
      <c r="B294" t="s">
        <v>423</v>
      </c>
      <c r="C294">
        <v>190816</v>
      </c>
      <c r="D294" s="16">
        <v>190.816</v>
      </c>
      <c r="E294" t="s">
        <v>730</v>
      </c>
      <c r="F294" s="16">
        <v>0</v>
      </c>
      <c r="G294" s="16">
        <v>0</v>
      </c>
      <c r="H294" s="16">
        <v>0</v>
      </c>
      <c r="I294" t="s">
        <v>107</v>
      </c>
      <c r="J294">
        <v>1</v>
      </c>
      <c r="K294" t="s">
        <v>720</v>
      </c>
      <c r="L294" t="s">
        <v>385</v>
      </c>
      <c r="M294">
        <v>0</v>
      </c>
      <c r="N294" s="3" t="s">
        <v>238</v>
      </c>
      <c r="O294" s="3"/>
    </row>
    <row r="295" spans="1:15">
      <c r="A295" t="s">
        <v>1019</v>
      </c>
      <c r="B295" t="s">
        <v>424</v>
      </c>
      <c r="C295">
        <v>195835</v>
      </c>
      <c r="D295" s="16">
        <v>195.83500000000001</v>
      </c>
      <c r="E295" t="s">
        <v>719</v>
      </c>
      <c r="F295" s="16">
        <v>27.3</v>
      </c>
      <c r="G295" s="16">
        <v>27.3</v>
      </c>
      <c r="H295" s="16">
        <v>27.3</v>
      </c>
      <c r="I295" t="s">
        <v>98</v>
      </c>
      <c r="J295">
        <v>1</v>
      </c>
      <c r="K295" t="s">
        <v>720</v>
      </c>
      <c r="L295" t="s">
        <v>385</v>
      </c>
      <c r="M295">
        <v>0</v>
      </c>
      <c r="N295" s="3" t="s">
        <v>238</v>
      </c>
      <c r="O295" s="3"/>
    </row>
    <row r="296" spans="1:15">
      <c r="A296" t="s">
        <v>1020</v>
      </c>
      <c r="B296" t="s">
        <v>424</v>
      </c>
      <c r="C296">
        <v>195835</v>
      </c>
      <c r="D296" s="16">
        <v>195.83500000000001</v>
      </c>
      <c r="E296" t="s">
        <v>722</v>
      </c>
      <c r="F296" s="16">
        <v>80.7</v>
      </c>
      <c r="G296" s="16">
        <v>80.7</v>
      </c>
      <c r="H296" s="16">
        <v>80.7</v>
      </c>
      <c r="I296" t="s">
        <v>140</v>
      </c>
      <c r="J296">
        <v>1</v>
      </c>
      <c r="K296" t="s">
        <v>720</v>
      </c>
      <c r="L296" t="s">
        <v>385</v>
      </c>
      <c r="M296">
        <v>0</v>
      </c>
      <c r="N296" s="3" t="s">
        <v>238</v>
      </c>
      <c r="O296" s="3"/>
    </row>
    <row r="297" spans="1:15">
      <c r="A297" t="s">
        <v>1021</v>
      </c>
      <c r="B297" t="s">
        <v>424</v>
      </c>
      <c r="C297">
        <v>195835</v>
      </c>
      <c r="D297" s="16">
        <v>195.83500000000001</v>
      </c>
      <c r="E297" t="s">
        <v>724</v>
      </c>
      <c r="F297" s="16">
        <v>-0.2</v>
      </c>
      <c r="G297" s="16">
        <v>0.2</v>
      </c>
      <c r="H297" s="16">
        <v>0.2</v>
      </c>
      <c r="I297" t="s">
        <v>125</v>
      </c>
      <c r="J297">
        <v>1</v>
      </c>
      <c r="K297" t="s">
        <v>725</v>
      </c>
      <c r="L297" t="s">
        <v>385</v>
      </c>
      <c r="M297">
        <v>0</v>
      </c>
      <c r="N297" s="3" t="s">
        <v>238</v>
      </c>
      <c r="O297" s="3"/>
    </row>
    <row r="298" spans="1:15">
      <c r="A298" t="s">
        <v>1022</v>
      </c>
      <c r="B298" t="s">
        <v>424</v>
      </c>
      <c r="C298">
        <v>195835</v>
      </c>
      <c r="D298" s="16">
        <v>195.83500000000001</v>
      </c>
      <c r="E298" t="s">
        <v>727</v>
      </c>
      <c r="F298" s="16">
        <v>1</v>
      </c>
      <c r="G298" s="16">
        <v>1</v>
      </c>
      <c r="H298" s="16">
        <v>1</v>
      </c>
      <c r="I298" t="s">
        <v>728</v>
      </c>
      <c r="J298">
        <v>1</v>
      </c>
      <c r="K298" t="s">
        <v>720</v>
      </c>
      <c r="L298" t="s">
        <v>385</v>
      </c>
      <c r="M298">
        <v>0</v>
      </c>
      <c r="N298" s="3" t="s">
        <v>238</v>
      </c>
      <c r="O298" s="3"/>
    </row>
    <row r="299" spans="1:15">
      <c r="A299" t="s">
        <v>1023</v>
      </c>
      <c r="B299" t="s">
        <v>424</v>
      </c>
      <c r="C299">
        <v>195835</v>
      </c>
      <c r="D299" s="16">
        <v>195.83500000000001</v>
      </c>
      <c r="E299" t="s">
        <v>730</v>
      </c>
      <c r="F299" s="16">
        <v>0</v>
      </c>
      <c r="G299" s="16">
        <v>0</v>
      </c>
      <c r="H299" s="16">
        <v>0</v>
      </c>
      <c r="I299" t="s">
        <v>107</v>
      </c>
      <c r="J299">
        <v>1</v>
      </c>
      <c r="K299" t="s">
        <v>720</v>
      </c>
      <c r="L299" t="s">
        <v>385</v>
      </c>
      <c r="M299">
        <v>0</v>
      </c>
      <c r="N299" s="3" t="s">
        <v>238</v>
      </c>
      <c r="O299" s="3"/>
    </row>
    <row r="300" spans="1:15">
      <c r="A300" t="s">
        <v>1024</v>
      </c>
      <c r="B300" t="s">
        <v>425</v>
      </c>
      <c r="C300">
        <v>200853</v>
      </c>
      <c r="D300" s="16">
        <v>200.85300000000001</v>
      </c>
      <c r="E300" t="s">
        <v>719</v>
      </c>
      <c r="F300" s="16">
        <v>27.3</v>
      </c>
      <c r="G300" s="16">
        <v>27.3</v>
      </c>
      <c r="H300" s="16">
        <v>27.3</v>
      </c>
      <c r="I300" t="s">
        <v>98</v>
      </c>
      <c r="J300">
        <v>1</v>
      </c>
      <c r="K300" t="s">
        <v>720</v>
      </c>
      <c r="L300" t="s">
        <v>385</v>
      </c>
      <c r="M300">
        <v>0</v>
      </c>
      <c r="N300" s="3" t="s">
        <v>238</v>
      </c>
      <c r="O300" s="3"/>
    </row>
    <row r="301" spans="1:15">
      <c r="A301" t="s">
        <v>1025</v>
      </c>
      <c r="B301" t="s">
        <v>425</v>
      </c>
      <c r="C301">
        <v>200853</v>
      </c>
      <c r="D301" s="16">
        <v>200.85300000000001</v>
      </c>
      <c r="E301" t="s">
        <v>722</v>
      </c>
      <c r="F301" s="16">
        <v>80.5</v>
      </c>
      <c r="G301" s="16">
        <v>80.5</v>
      </c>
      <c r="H301" s="16">
        <v>80.5</v>
      </c>
      <c r="I301" t="s">
        <v>140</v>
      </c>
      <c r="J301">
        <v>1</v>
      </c>
      <c r="K301" t="s">
        <v>720</v>
      </c>
      <c r="L301" t="s">
        <v>385</v>
      </c>
      <c r="M301">
        <v>0</v>
      </c>
      <c r="N301" s="3" t="s">
        <v>238</v>
      </c>
      <c r="O301" s="3"/>
    </row>
    <row r="302" spans="1:15">
      <c r="A302" t="s">
        <v>1026</v>
      </c>
      <c r="B302" t="s">
        <v>425</v>
      </c>
      <c r="C302">
        <v>200853</v>
      </c>
      <c r="D302" s="16">
        <v>200.85300000000001</v>
      </c>
      <c r="E302" t="s">
        <v>724</v>
      </c>
      <c r="F302" s="16">
        <v>-0.2</v>
      </c>
      <c r="G302" s="16">
        <v>0.2</v>
      </c>
      <c r="H302" s="16">
        <v>0.2</v>
      </c>
      <c r="I302" t="s">
        <v>125</v>
      </c>
      <c r="J302">
        <v>1</v>
      </c>
      <c r="K302" t="s">
        <v>725</v>
      </c>
      <c r="L302" t="s">
        <v>385</v>
      </c>
      <c r="M302">
        <v>0</v>
      </c>
      <c r="N302" s="3" t="s">
        <v>238</v>
      </c>
      <c r="O302" s="3"/>
    </row>
    <row r="303" spans="1:15">
      <c r="A303" t="s">
        <v>1027</v>
      </c>
      <c r="B303" t="s">
        <v>425</v>
      </c>
      <c r="C303">
        <v>200853</v>
      </c>
      <c r="D303" s="16">
        <v>200.85300000000001</v>
      </c>
      <c r="E303" t="s">
        <v>727</v>
      </c>
      <c r="F303" s="16">
        <v>1</v>
      </c>
      <c r="G303" s="16">
        <v>1</v>
      </c>
      <c r="H303" s="16">
        <v>1</v>
      </c>
      <c r="I303" t="s">
        <v>728</v>
      </c>
      <c r="J303">
        <v>1</v>
      </c>
      <c r="K303" t="s">
        <v>720</v>
      </c>
      <c r="L303" t="s">
        <v>385</v>
      </c>
      <c r="M303">
        <v>0</v>
      </c>
      <c r="N303" s="3" t="s">
        <v>238</v>
      </c>
      <c r="O303" s="3"/>
    </row>
    <row r="304" spans="1:15">
      <c r="A304" t="s">
        <v>1028</v>
      </c>
      <c r="B304" t="s">
        <v>425</v>
      </c>
      <c r="C304">
        <v>200853</v>
      </c>
      <c r="D304" s="16">
        <v>200.85300000000001</v>
      </c>
      <c r="E304" t="s">
        <v>730</v>
      </c>
      <c r="F304" s="16">
        <v>0</v>
      </c>
      <c r="G304" s="16">
        <v>0</v>
      </c>
      <c r="H304" s="16">
        <v>0</v>
      </c>
      <c r="I304" t="s">
        <v>107</v>
      </c>
      <c r="J304">
        <v>1</v>
      </c>
      <c r="K304" t="s">
        <v>720</v>
      </c>
      <c r="L304" t="s">
        <v>385</v>
      </c>
      <c r="M304">
        <v>0</v>
      </c>
      <c r="N304" s="3" t="s">
        <v>238</v>
      </c>
      <c r="O304" s="3"/>
    </row>
    <row r="305" spans="1:15">
      <c r="A305" t="s">
        <v>1029</v>
      </c>
      <c r="B305" t="s">
        <v>426</v>
      </c>
      <c r="C305">
        <v>205873</v>
      </c>
      <c r="D305" s="16">
        <v>205.87299999999999</v>
      </c>
      <c r="E305" t="s">
        <v>719</v>
      </c>
      <c r="F305" s="16">
        <v>27.3</v>
      </c>
      <c r="G305" s="16">
        <v>27.3</v>
      </c>
      <c r="H305" s="16">
        <v>27.3</v>
      </c>
      <c r="I305" t="s">
        <v>98</v>
      </c>
      <c r="J305">
        <v>1</v>
      </c>
      <c r="K305" t="s">
        <v>720</v>
      </c>
      <c r="L305" t="s">
        <v>385</v>
      </c>
      <c r="M305">
        <v>0</v>
      </c>
      <c r="N305" s="3" t="s">
        <v>238</v>
      </c>
      <c r="O305" s="3"/>
    </row>
    <row r="306" spans="1:15">
      <c r="A306" t="s">
        <v>1030</v>
      </c>
      <c r="B306" t="s">
        <v>426</v>
      </c>
      <c r="C306">
        <v>205873</v>
      </c>
      <c r="D306" s="16">
        <v>205.87299999999999</v>
      </c>
      <c r="E306" t="s">
        <v>722</v>
      </c>
      <c r="F306" s="16">
        <v>80.5</v>
      </c>
      <c r="G306" s="16">
        <v>80.5</v>
      </c>
      <c r="H306" s="16">
        <v>80.5</v>
      </c>
      <c r="I306" t="s">
        <v>140</v>
      </c>
      <c r="J306">
        <v>1</v>
      </c>
      <c r="K306" t="s">
        <v>720</v>
      </c>
      <c r="L306" t="s">
        <v>385</v>
      </c>
      <c r="M306">
        <v>0</v>
      </c>
      <c r="N306" s="3" t="s">
        <v>238</v>
      </c>
      <c r="O306" s="3"/>
    </row>
    <row r="307" spans="1:15">
      <c r="A307" t="s">
        <v>1031</v>
      </c>
      <c r="B307" t="s">
        <v>426</v>
      </c>
      <c r="C307">
        <v>205873</v>
      </c>
      <c r="D307" s="16">
        <v>205.87299999999999</v>
      </c>
      <c r="E307" t="s">
        <v>724</v>
      </c>
      <c r="F307" s="16">
        <v>-0.1</v>
      </c>
      <c r="G307" s="16">
        <v>0.1</v>
      </c>
      <c r="H307" s="16">
        <v>0.1</v>
      </c>
      <c r="I307" t="s">
        <v>125</v>
      </c>
      <c r="J307">
        <v>1</v>
      </c>
      <c r="K307" t="s">
        <v>725</v>
      </c>
      <c r="L307" t="s">
        <v>385</v>
      </c>
      <c r="M307">
        <v>0</v>
      </c>
      <c r="N307" s="3" t="s">
        <v>238</v>
      </c>
      <c r="O307" s="3"/>
    </row>
    <row r="308" spans="1:15">
      <c r="A308" t="s">
        <v>1032</v>
      </c>
      <c r="B308" t="s">
        <v>426</v>
      </c>
      <c r="C308">
        <v>205873</v>
      </c>
      <c r="D308" s="16">
        <v>205.87299999999999</v>
      </c>
      <c r="E308" t="s">
        <v>727</v>
      </c>
      <c r="F308" s="16">
        <v>1</v>
      </c>
      <c r="G308" s="16">
        <v>1</v>
      </c>
      <c r="H308" s="16">
        <v>1</v>
      </c>
      <c r="I308" t="s">
        <v>728</v>
      </c>
      <c r="J308">
        <v>1</v>
      </c>
      <c r="K308" t="s">
        <v>720</v>
      </c>
      <c r="L308" t="s">
        <v>385</v>
      </c>
      <c r="M308">
        <v>0</v>
      </c>
      <c r="N308" s="3" t="s">
        <v>238</v>
      </c>
      <c r="O308" s="3"/>
    </row>
    <row r="309" spans="1:15">
      <c r="A309" t="s">
        <v>1033</v>
      </c>
      <c r="B309" t="s">
        <v>426</v>
      </c>
      <c r="C309">
        <v>205873</v>
      </c>
      <c r="D309" s="16">
        <v>205.87299999999999</v>
      </c>
      <c r="E309" t="s">
        <v>730</v>
      </c>
      <c r="F309" s="16">
        <v>0</v>
      </c>
      <c r="G309" s="16">
        <v>0</v>
      </c>
      <c r="H309" s="16">
        <v>0</v>
      </c>
      <c r="I309" t="s">
        <v>107</v>
      </c>
      <c r="J309">
        <v>1</v>
      </c>
      <c r="K309" t="s">
        <v>720</v>
      </c>
      <c r="L309" t="s">
        <v>385</v>
      </c>
      <c r="M309">
        <v>0</v>
      </c>
      <c r="N309" s="3" t="s">
        <v>238</v>
      </c>
      <c r="O309" s="3"/>
    </row>
    <row r="310" spans="1:15">
      <c r="A310" t="s">
        <v>1034</v>
      </c>
      <c r="B310" t="s">
        <v>427</v>
      </c>
      <c r="C310">
        <v>210890</v>
      </c>
      <c r="D310" s="16">
        <v>210.89</v>
      </c>
      <c r="E310" t="s">
        <v>719</v>
      </c>
      <c r="F310" s="16">
        <v>27.3</v>
      </c>
      <c r="G310" s="16">
        <v>27.3</v>
      </c>
      <c r="H310" s="16">
        <v>27.3</v>
      </c>
      <c r="I310" t="s">
        <v>98</v>
      </c>
      <c r="J310">
        <v>1</v>
      </c>
      <c r="K310" t="s">
        <v>720</v>
      </c>
      <c r="L310" t="s">
        <v>385</v>
      </c>
      <c r="M310">
        <v>0</v>
      </c>
      <c r="N310" s="3" t="s">
        <v>238</v>
      </c>
      <c r="O310" s="3"/>
    </row>
    <row r="311" spans="1:15">
      <c r="A311" t="s">
        <v>1035</v>
      </c>
      <c r="B311" t="s">
        <v>427</v>
      </c>
      <c r="C311">
        <v>210890</v>
      </c>
      <c r="D311" s="16">
        <v>210.89</v>
      </c>
      <c r="E311" t="s">
        <v>722</v>
      </c>
      <c r="F311" s="16">
        <v>80.5</v>
      </c>
      <c r="G311" s="16">
        <v>80.5</v>
      </c>
      <c r="H311" s="16">
        <v>80.5</v>
      </c>
      <c r="I311" t="s">
        <v>140</v>
      </c>
      <c r="J311">
        <v>1</v>
      </c>
      <c r="K311" t="s">
        <v>720</v>
      </c>
      <c r="L311" t="s">
        <v>385</v>
      </c>
      <c r="M311">
        <v>0</v>
      </c>
      <c r="N311" s="3" t="s">
        <v>238</v>
      </c>
      <c r="O311" s="3"/>
    </row>
    <row r="312" spans="1:15">
      <c r="A312" t="s">
        <v>1036</v>
      </c>
      <c r="B312" t="s">
        <v>427</v>
      </c>
      <c r="C312">
        <v>210890</v>
      </c>
      <c r="D312" s="16">
        <v>210.89</v>
      </c>
      <c r="E312" t="s">
        <v>724</v>
      </c>
      <c r="F312" s="16">
        <v>-0.1</v>
      </c>
      <c r="G312" s="16">
        <v>0.1</v>
      </c>
      <c r="H312" s="16">
        <v>0.1</v>
      </c>
      <c r="I312" t="s">
        <v>125</v>
      </c>
      <c r="J312">
        <v>1</v>
      </c>
      <c r="K312" t="s">
        <v>725</v>
      </c>
      <c r="L312" t="s">
        <v>385</v>
      </c>
      <c r="M312">
        <v>0</v>
      </c>
      <c r="N312" s="3" t="s">
        <v>238</v>
      </c>
      <c r="O312" s="3"/>
    </row>
    <row r="313" spans="1:15">
      <c r="A313" t="s">
        <v>1037</v>
      </c>
      <c r="B313" t="s">
        <v>427</v>
      </c>
      <c r="C313">
        <v>210890</v>
      </c>
      <c r="D313" s="16">
        <v>210.89</v>
      </c>
      <c r="E313" t="s">
        <v>727</v>
      </c>
      <c r="F313" s="16">
        <v>1</v>
      </c>
      <c r="G313" s="16">
        <v>1</v>
      </c>
      <c r="H313" s="16">
        <v>1</v>
      </c>
      <c r="I313" t="s">
        <v>728</v>
      </c>
      <c r="J313">
        <v>1</v>
      </c>
      <c r="K313" t="s">
        <v>720</v>
      </c>
      <c r="L313" t="s">
        <v>385</v>
      </c>
      <c r="M313">
        <v>0</v>
      </c>
      <c r="N313" s="3" t="s">
        <v>238</v>
      </c>
      <c r="O313" s="3"/>
    </row>
    <row r="314" spans="1:15">
      <c r="A314" t="s">
        <v>1038</v>
      </c>
      <c r="B314" t="s">
        <v>427</v>
      </c>
      <c r="C314">
        <v>210890</v>
      </c>
      <c r="D314" s="16">
        <v>210.89</v>
      </c>
      <c r="E314" t="s">
        <v>730</v>
      </c>
      <c r="F314" s="16">
        <v>0</v>
      </c>
      <c r="G314" s="16">
        <v>0</v>
      </c>
      <c r="H314" s="16">
        <v>0</v>
      </c>
      <c r="I314" t="s">
        <v>107</v>
      </c>
      <c r="J314">
        <v>1</v>
      </c>
      <c r="K314" t="s">
        <v>720</v>
      </c>
      <c r="L314" t="s">
        <v>385</v>
      </c>
      <c r="M314">
        <v>0</v>
      </c>
      <c r="N314" s="3" t="s">
        <v>238</v>
      </c>
      <c r="O314" s="3"/>
    </row>
    <row r="315" spans="1:15">
      <c r="A315" t="s">
        <v>1039</v>
      </c>
      <c r="B315" t="s">
        <v>428</v>
      </c>
      <c r="C315">
        <v>215909</v>
      </c>
      <c r="D315" s="16">
        <v>215.90899999999999</v>
      </c>
      <c r="E315" t="s">
        <v>719</v>
      </c>
      <c r="F315" s="16">
        <v>27.3</v>
      </c>
      <c r="G315" s="16">
        <v>27.3</v>
      </c>
      <c r="H315" s="16">
        <v>27.3</v>
      </c>
      <c r="I315" t="s">
        <v>98</v>
      </c>
      <c r="J315">
        <v>1</v>
      </c>
      <c r="K315" t="s">
        <v>720</v>
      </c>
      <c r="L315" t="s">
        <v>385</v>
      </c>
      <c r="M315">
        <v>0</v>
      </c>
      <c r="N315" s="3" t="s">
        <v>238</v>
      </c>
      <c r="O315" s="3"/>
    </row>
    <row r="316" spans="1:15">
      <c r="A316" t="s">
        <v>1040</v>
      </c>
      <c r="B316" t="s">
        <v>428</v>
      </c>
      <c r="C316">
        <v>215909</v>
      </c>
      <c r="D316" s="16">
        <v>215.90899999999999</v>
      </c>
      <c r="E316" t="s">
        <v>722</v>
      </c>
      <c r="F316" s="16">
        <v>80.7</v>
      </c>
      <c r="G316" s="16">
        <v>80.7</v>
      </c>
      <c r="H316" s="16">
        <v>80.7</v>
      </c>
      <c r="I316" t="s">
        <v>140</v>
      </c>
      <c r="J316">
        <v>1</v>
      </c>
      <c r="K316" t="s">
        <v>720</v>
      </c>
      <c r="L316" t="s">
        <v>385</v>
      </c>
      <c r="M316">
        <v>0</v>
      </c>
      <c r="N316" s="3" t="s">
        <v>238</v>
      </c>
      <c r="O316" s="3"/>
    </row>
    <row r="317" spans="1:15">
      <c r="A317" t="s">
        <v>1041</v>
      </c>
      <c r="B317" t="s">
        <v>428</v>
      </c>
      <c r="C317">
        <v>215909</v>
      </c>
      <c r="D317" s="16">
        <v>215.90899999999999</v>
      </c>
      <c r="E317" t="s">
        <v>724</v>
      </c>
      <c r="F317" s="16">
        <v>-0.2</v>
      </c>
      <c r="G317" s="16">
        <v>0.2</v>
      </c>
      <c r="H317" s="16">
        <v>0.2</v>
      </c>
      <c r="I317" t="s">
        <v>125</v>
      </c>
      <c r="J317">
        <v>1</v>
      </c>
      <c r="K317" t="s">
        <v>725</v>
      </c>
      <c r="L317" t="s">
        <v>385</v>
      </c>
      <c r="M317">
        <v>0</v>
      </c>
      <c r="N317" s="3" t="s">
        <v>238</v>
      </c>
      <c r="O317" s="3"/>
    </row>
    <row r="318" spans="1:15">
      <c r="A318" t="s">
        <v>1042</v>
      </c>
      <c r="B318" t="s">
        <v>428</v>
      </c>
      <c r="C318">
        <v>215909</v>
      </c>
      <c r="D318" s="16">
        <v>215.90899999999999</v>
      </c>
      <c r="E318" t="s">
        <v>727</v>
      </c>
      <c r="F318" s="16">
        <v>1</v>
      </c>
      <c r="G318" s="16">
        <v>1</v>
      </c>
      <c r="H318" s="16">
        <v>1</v>
      </c>
      <c r="I318" t="s">
        <v>728</v>
      </c>
      <c r="J318">
        <v>1</v>
      </c>
      <c r="K318" t="s">
        <v>720</v>
      </c>
      <c r="L318" t="s">
        <v>385</v>
      </c>
      <c r="M318">
        <v>0</v>
      </c>
      <c r="N318" s="3" t="s">
        <v>238</v>
      </c>
      <c r="O318" s="3"/>
    </row>
    <row r="319" spans="1:15">
      <c r="A319" t="s">
        <v>1043</v>
      </c>
      <c r="B319" t="s">
        <v>428</v>
      </c>
      <c r="C319">
        <v>215909</v>
      </c>
      <c r="D319" s="16">
        <v>215.90899999999999</v>
      </c>
      <c r="E319" t="s">
        <v>730</v>
      </c>
      <c r="F319" s="16">
        <v>0</v>
      </c>
      <c r="G319" s="16">
        <v>0</v>
      </c>
      <c r="H319" s="16">
        <v>0</v>
      </c>
      <c r="I319" t="s">
        <v>107</v>
      </c>
      <c r="J319">
        <v>1</v>
      </c>
      <c r="K319" t="s">
        <v>720</v>
      </c>
      <c r="L319" t="s">
        <v>385</v>
      </c>
      <c r="M319">
        <v>0</v>
      </c>
      <c r="N319" s="3" t="s">
        <v>238</v>
      </c>
      <c r="O319" s="3"/>
    </row>
    <row r="320" spans="1:15">
      <c r="A320" t="s">
        <v>1044</v>
      </c>
      <c r="B320" t="s">
        <v>429</v>
      </c>
      <c r="C320">
        <v>220926</v>
      </c>
      <c r="D320" s="16">
        <v>220.92599999999999</v>
      </c>
      <c r="E320" t="s">
        <v>719</v>
      </c>
      <c r="F320" s="16">
        <v>27.3</v>
      </c>
      <c r="G320" s="16">
        <v>27.3</v>
      </c>
      <c r="H320" s="16">
        <v>27.3</v>
      </c>
      <c r="I320" t="s">
        <v>98</v>
      </c>
      <c r="J320">
        <v>1</v>
      </c>
      <c r="K320" t="s">
        <v>720</v>
      </c>
      <c r="L320" t="s">
        <v>385</v>
      </c>
      <c r="M320">
        <v>0</v>
      </c>
      <c r="N320" s="3" t="s">
        <v>238</v>
      </c>
      <c r="O320" s="3"/>
    </row>
    <row r="321" spans="1:15">
      <c r="A321" t="s">
        <v>1045</v>
      </c>
      <c r="B321" t="s">
        <v>429</v>
      </c>
      <c r="C321">
        <v>220926</v>
      </c>
      <c r="D321" s="16">
        <v>220.92599999999999</v>
      </c>
      <c r="E321" t="s">
        <v>722</v>
      </c>
      <c r="F321" s="16">
        <v>80.7</v>
      </c>
      <c r="G321" s="16">
        <v>80.7</v>
      </c>
      <c r="H321" s="16">
        <v>80.7</v>
      </c>
      <c r="I321" t="s">
        <v>140</v>
      </c>
      <c r="J321">
        <v>1</v>
      </c>
      <c r="K321" t="s">
        <v>720</v>
      </c>
      <c r="L321" t="s">
        <v>385</v>
      </c>
      <c r="M321">
        <v>0</v>
      </c>
      <c r="N321" s="3" t="s">
        <v>238</v>
      </c>
      <c r="O321" s="3"/>
    </row>
    <row r="322" spans="1:15">
      <c r="A322" t="s">
        <v>1046</v>
      </c>
      <c r="B322" t="s">
        <v>429</v>
      </c>
      <c r="C322">
        <v>220926</v>
      </c>
      <c r="D322" s="16">
        <v>220.92599999999999</v>
      </c>
      <c r="E322" t="s">
        <v>724</v>
      </c>
      <c r="F322" s="16">
        <v>-0.1</v>
      </c>
      <c r="G322" s="16">
        <v>0.1</v>
      </c>
      <c r="H322" s="16">
        <v>0.1</v>
      </c>
      <c r="I322" t="s">
        <v>125</v>
      </c>
      <c r="J322">
        <v>1</v>
      </c>
      <c r="K322" t="s">
        <v>725</v>
      </c>
      <c r="L322" t="s">
        <v>385</v>
      </c>
      <c r="M322">
        <v>0</v>
      </c>
      <c r="N322" s="3" t="s">
        <v>238</v>
      </c>
      <c r="O322" s="3"/>
    </row>
    <row r="323" spans="1:15">
      <c r="A323" t="s">
        <v>1047</v>
      </c>
      <c r="B323" t="s">
        <v>429</v>
      </c>
      <c r="C323">
        <v>220926</v>
      </c>
      <c r="D323" s="16">
        <v>220.92599999999999</v>
      </c>
      <c r="E323" t="s">
        <v>727</v>
      </c>
      <c r="F323" s="16">
        <v>1</v>
      </c>
      <c r="G323" s="16">
        <v>1</v>
      </c>
      <c r="H323" s="16">
        <v>1</v>
      </c>
      <c r="I323" t="s">
        <v>728</v>
      </c>
      <c r="J323">
        <v>1</v>
      </c>
      <c r="K323" t="s">
        <v>720</v>
      </c>
      <c r="L323" t="s">
        <v>385</v>
      </c>
      <c r="M323">
        <v>0</v>
      </c>
      <c r="N323" s="3" t="s">
        <v>238</v>
      </c>
      <c r="O323" s="3"/>
    </row>
    <row r="324" spans="1:15">
      <c r="A324" t="s">
        <v>1048</v>
      </c>
      <c r="B324" t="s">
        <v>429</v>
      </c>
      <c r="C324">
        <v>220926</v>
      </c>
      <c r="D324" s="16">
        <v>220.92599999999999</v>
      </c>
      <c r="E324" t="s">
        <v>730</v>
      </c>
      <c r="F324" s="16">
        <v>0</v>
      </c>
      <c r="G324" s="16">
        <v>0</v>
      </c>
      <c r="H324" s="16">
        <v>0</v>
      </c>
      <c r="I324" t="s">
        <v>107</v>
      </c>
      <c r="J324">
        <v>1</v>
      </c>
      <c r="K324" t="s">
        <v>720</v>
      </c>
      <c r="L324" t="s">
        <v>385</v>
      </c>
      <c r="M324">
        <v>0</v>
      </c>
      <c r="N324" s="3" t="s">
        <v>238</v>
      </c>
      <c r="O324" s="3"/>
    </row>
    <row r="325" spans="1:15">
      <c r="A325" t="s">
        <v>1049</v>
      </c>
      <c r="B325" t="s">
        <v>430</v>
      </c>
      <c r="C325">
        <v>225945</v>
      </c>
      <c r="D325" s="16">
        <v>225.94499999999999</v>
      </c>
      <c r="E325" t="s">
        <v>719</v>
      </c>
      <c r="F325" s="16">
        <v>27.3</v>
      </c>
      <c r="G325" s="16">
        <v>27.3</v>
      </c>
      <c r="H325" s="16">
        <v>27.3</v>
      </c>
      <c r="I325" t="s">
        <v>98</v>
      </c>
      <c r="J325">
        <v>1</v>
      </c>
      <c r="K325" t="s">
        <v>720</v>
      </c>
      <c r="L325" t="s">
        <v>385</v>
      </c>
      <c r="M325">
        <v>0</v>
      </c>
      <c r="N325" s="3" t="s">
        <v>238</v>
      </c>
      <c r="O325" s="3"/>
    </row>
    <row r="326" spans="1:15">
      <c r="A326" t="s">
        <v>1050</v>
      </c>
      <c r="B326" t="s">
        <v>430</v>
      </c>
      <c r="C326">
        <v>225945</v>
      </c>
      <c r="D326" s="16">
        <v>225.94499999999999</v>
      </c>
      <c r="E326" t="s">
        <v>722</v>
      </c>
      <c r="F326" s="16">
        <v>80.599999999999994</v>
      </c>
      <c r="G326" s="16">
        <v>80.599999999999994</v>
      </c>
      <c r="H326" s="16">
        <v>80.599999999999994</v>
      </c>
      <c r="I326" t="s">
        <v>140</v>
      </c>
      <c r="J326">
        <v>1</v>
      </c>
      <c r="K326" t="s">
        <v>720</v>
      </c>
      <c r="L326" t="s">
        <v>385</v>
      </c>
      <c r="M326">
        <v>0</v>
      </c>
      <c r="N326" s="3" t="s">
        <v>238</v>
      </c>
      <c r="O326" s="3"/>
    </row>
    <row r="327" spans="1:15">
      <c r="A327" t="s">
        <v>1051</v>
      </c>
      <c r="B327" t="s">
        <v>430</v>
      </c>
      <c r="C327">
        <v>225945</v>
      </c>
      <c r="D327" s="16">
        <v>225.94499999999999</v>
      </c>
      <c r="E327" t="s">
        <v>724</v>
      </c>
      <c r="F327" s="16">
        <v>-0.2</v>
      </c>
      <c r="G327" s="16">
        <v>0.2</v>
      </c>
      <c r="H327" s="16">
        <v>0.2</v>
      </c>
      <c r="I327" t="s">
        <v>125</v>
      </c>
      <c r="J327">
        <v>1</v>
      </c>
      <c r="K327" t="s">
        <v>725</v>
      </c>
      <c r="L327" t="s">
        <v>385</v>
      </c>
      <c r="M327">
        <v>0</v>
      </c>
      <c r="N327" s="3" t="s">
        <v>238</v>
      </c>
      <c r="O327" s="3"/>
    </row>
    <row r="328" spans="1:15">
      <c r="A328" t="s">
        <v>1052</v>
      </c>
      <c r="B328" t="s">
        <v>430</v>
      </c>
      <c r="C328">
        <v>225945</v>
      </c>
      <c r="D328" s="16">
        <v>225.94499999999999</v>
      </c>
      <c r="E328" t="s">
        <v>727</v>
      </c>
      <c r="F328" s="16">
        <v>1</v>
      </c>
      <c r="G328" s="16">
        <v>1</v>
      </c>
      <c r="H328" s="16">
        <v>1</v>
      </c>
      <c r="I328" t="s">
        <v>728</v>
      </c>
      <c r="J328">
        <v>1</v>
      </c>
      <c r="K328" t="s">
        <v>720</v>
      </c>
      <c r="L328" t="s">
        <v>385</v>
      </c>
      <c r="M328">
        <v>0</v>
      </c>
      <c r="N328" s="3" t="s">
        <v>238</v>
      </c>
      <c r="O328" s="3"/>
    </row>
    <row r="329" spans="1:15">
      <c r="A329" t="s">
        <v>1053</v>
      </c>
      <c r="B329" t="s">
        <v>430</v>
      </c>
      <c r="C329">
        <v>225945</v>
      </c>
      <c r="D329" s="16">
        <v>225.94499999999999</v>
      </c>
      <c r="E329" t="s">
        <v>730</v>
      </c>
      <c r="F329" s="16">
        <v>0</v>
      </c>
      <c r="G329" s="16">
        <v>0</v>
      </c>
      <c r="H329" s="16">
        <v>0</v>
      </c>
      <c r="I329" t="s">
        <v>107</v>
      </c>
      <c r="J329">
        <v>1</v>
      </c>
      <c r="K329" t="s">
        <v>720</v>
      </c>
      <c r="L329" t="s">
        <v>385</v>
      </c>
      <c r="M329">
        <v>0</v>
      </c>
      <c r="N329" s="3" t="s">
        <v>238</v>
      </c>
      <c r="O329" s="3"/>
    </row>
    <row r="330" spans="1:15">
      <c r="A330" t="s">
        <v>1054</v>
      </c>
      <c r="B330" t="s">
        <v>431</v>
      </c>
      <c r="C330">
        <v>230964</v>
      </c>
      <c r="D330" s="16">
        <v>230.964</v>
      </c>
      <c r="E330" t="s">
        <v>719</v>
      </c>
      <c r="F330" s="16">
        <v>27.3</v>
      </c>
      <c r="G330" s="16">
        <v>27.3</v>
      </c>
      <c r="H330" s="16">
        <v>27.3</v>
      </c>
      <c r="I330" t="s">
        <v>98</v>
      </c>
      <c r="J330">
        <v>1</v>
      </c>
      <c r="K330" t="s">
        <v>720</v>
      </c>
      <c r="L330" t="s">
        <v>385</v>
      </c>
      <c r="M330">
        <v>0</v>
      </c>
      <c r="N330" s="3" t="s">
        <v>238</v>
      </c>
      <c r="O330" s="3"/>
    </row>
    <row r="331" spans="1:15">
      <c r="A331" t="s">
        <v>1055</v>
      </c>
      <c r="B331" t="s">
        <v>431</v>
      </c>
      <c r="C331">
        <v>230964</v>
      </c>
      <c r="D331" s="16">
        <v>230.964</v>
      </c>
      <c r="E331" t="s">
        <v>722</v>
      </c>
      <c r="F331" s="16">
        <v>80.5</v>
      </c>
      <c r="G331" s="16">
        <v>80.5</v>
      </c>
      <c r="H331" s="16">
        <v>80.5</v>
      </c>
      <c r="I331" t="s">
        <v>140</v>
      </c>
      <c r="J331">
        <v>1</v>
      </c>
      <c r="K331" t="s">
        <v>720</v>
      </c>
      <c r="L331" t="s">
        <v>385</v>
      </c>
      <c r="M331">
        <v>0</v>
      </c>
      <c r="N331" s="3" t="s">
        <v>238</v>
      </c>
      <c r="O331" s="3"/>
    </row>
    <row r="332" spans="1:15">
      <c r="A332" t="s">
        <v>1056</v>
      </c>
      <c r="B332" t="s">
        <v>431</v>
      </c>
      <c r="C332">
        <v>230964</v>
      </c>
      <c r="D332" s="16">
        <v>230.964</v>
      </c>
      <c r="E332" t="s">
        <v>724</v>
      </c>
      <c r="F332" s="16">
        <v>-0.2</v>
      </c>
      <c r="G332" s="16">
        <v>0.2</v>
      </c>
      <c r="H332" s="16">
        <v>0.2</v>
      </c>
      <c r="I332" t="s">
        <v>125</v>
      </c>
      <c r="J332">
        <v>1</v>
      </c>
      <c r="K332" t="s">
        <v>725</v>
      </c>
      <c r="L332" t="s">
        <v>385</v>
      </c>
      <c r="M332">
        <v>0</v>
      </c>
      <c r="N332" s="3" t="s">
        <v>238</v>
      </c>
      <c r="O332" s="3"/>
    </row>
    <row r="333" spans="1:15">
      <c r="A333" t="s">
        <v>1057</v>
      </c>
      <c r="B333" t="s">
        <v>431</v>
      </c>
      <c r="C333">
        <v>230964</v>
      </c>
      <c r="D333" s="16">
        <v>230.964</v>
      </c>
      <c r="E333" t="s">
        <v>727</v>
      </c>
      <c r="F333" s="16">
        <v>1</v>
      </c>
      <c r="G333" s="16">
        <v>1</v>
      </c>
      <c r="H333" s="16">
        <v>1</v>
      </c>
      <c r="I333" t="s">
        <v>728</v>
      </c>
      <c r="J333">
        <v>1</v>
      </c>
      <c r="K333" t="s">
        <v>720</v>
      </c>
      <c r="L333" t="s">
        <v>385</v>
      </c>
      <c r="M333">
        <v>0</v>
      </c>
      <c r="N333" s="3" t="s">
        <v>238</v>
      </c>
      <c r="O333" s="3"/>
    </row>
    <row r="334" spans="1:15">
      <c r="A334" t="s">
        <v>1058</v>
      </c>
      <c r="B334" t="s">
        <v>431</v>
      </c>
      <c r="C334">
        <v>230964</v>
      </c>
      <c r="D334" s="16">
        <v>230.964</v>
      </c>
      <c r="E334" t="s">
        <v>730</v>
      </c>
      <c r="F334" s="16">
        <v>0</v>
      </c>
      <c r="G334" s="16">
        <v>0</v>
      </c>
      <c r="H334" s="16">
        <v>0</v>
      </c>
      <c r="I334" t="s">
        <v>107</v>
      </c>
      <c r="J334">
        <v>1</v>
      </c>
      <c r="K334" t="s">
        <v>720</v>
      </c>
      <c r="L334" t="s">
        <v>385</v>
      </c>
      <c r="M334">
        <v>0</v>
      </c>
      <c r="N334" s="3" t="s">
        <v>238</v>
      </c>
      <c r="O334" s="3"/>
    </row>
    <row r="335" spans="1:15" ht="27.6">
      <c r="A335" t="s">
        <v>1059</v>
      </c>
      <c r="B335" t="s">
        <v>432</v>
      </c>
      <c r="C335">
        <v>235981</v>
      </c>
      <c r="D335" s="16">
        <v>235.98099999999999</v>
      </c>
      <c r="E335" t="s">
        <v>719</v>
      </c>
      <c r="F335" s="16">
        <v>27.3</v>
      </c>
      <c r="G335" s="16">
        <v>27.3</v>
      </c>
      <c r="H335" s="16">
        <v>27.3</v>
      </c>
      <c r="I335" t="s">
        <v>98</v>
      </c>
      <c r="J335">
        <v>1</v>
      </c>
      <c r="K335" t="s">
        <v>720</v>
      </c>
      <c r="L335" t="s">
        <v>385</v>
      </c>
      <c r="M335">
        <v>1</v>
      </c>
      <c r="N335" s="3" t="s">
        <v>238</v>
      </c>
      <c r="O335" s="3" t="s">
        <v>433</v>
      </c>
    </row>
    <row r="336" spans="1:15" ht="27.6">
      <c r="A336" t="s">
        <v>1060</v>
      </c>
      <c r="B336" t="s">
        <v>432</v>
      </c>
      <c r="C336">
        <v>235981</v>
      </c>
      <c r="D336" s="16">
        <v>235.98099999999999</v>
      </c>
      <c r="E336" t="s">
        <v>722</v>
      </c>
      <c r="F336" s="16">
        <v>80.3</v>
      </c>
      <c r="G336" s="16">
        <v>80.3</v>
      </c>
      <c r="H336" s="16">
        <v>80.3</v>
      </c>
      <c r="I336" t="s">
        <v>140</v>
      </c>
      <c r="J336">
        <v>1</v>
      </c>
      <c r="K336" t="s">
        <v>720</v>
      </c>
      <c r="L336" t="s">
        <v>385</v>
      </c>
      <c r="M336">
        <v>1</v>
      </c>
      <c r="N336" s="3" t="s">
        <v>238</v>
      </c>
      <c r="O336" s="3" t="s">
        <v>433</v>
      </c>
    </row>
    <row r="337" spans="1:15" ht="27.6">
      <c r="A337" t="s">
        <v>1061</v>
      </c>
      <c r="B337" t="s">
        <v>432</v>
      </c>
      <c r="C337">
        <v>235981</v>
      </c>
      <c r="D337" s="16">
        <v>235.98099999999999</v>
      </c>
      <c r="E337" t="s">
        <v>724</v>
      </c>
      <c r="F337" s="16">
        <v>-0.2</v>
      </c>
      <c r="G337" s="16">
        <v>0.2</v>
      </c>
      <c r="H337" s="16">
        <v>0.2</v>
      </c>
      <c r="I337" t="s">
        <v>125</v>
      </c>
      <c r="J337">
        <v>1</v>
      </c>
      <c r="K337" t="s">
        <v>725</v>
      </c>
      <c r="L337" t="s">
        <v>385</v>
      </c>
      <c r="M337">
        <v>1</v>
      </c>
      <c r="N337" s="3" t="s">
        <v>238</v>
      </c>
      <c r="O337" s="3" t="s">
        <v>433</v>
      </c>
    </row>
    <row r="338" spans="1:15" ht="27.6">
      <c r="A338" t="s">
        <v>1062</v>
      </c>
      <c r="B338" t="s">
        <v>432</v>
      </c>
      <c r="C338">
        <v>235981</v>
      </c>
      <c r="D338" s="16">
        <v>235.98099999999999</v>
      </c>
      <c r="E338" t="s">
        <v>727</v>
      </c>
      <c r="F338" s="16">
        <v>1</v>
      </c>
      <c r="G338" s="16">
        <v>1</v>
      </c>
      <c r="H338" s="16">
        <v>1</v>
      </c>
      <c r="I338" t="s">
        <v>728</v>
      </c>
      <c r="J338">
        <v>1</v>
      </c>
      <c r="K338" t="s">
        <v>720</v>
      </c>
      <c r="L338" t="s">
        <v>385</v>
      </c>
      <c r="M338">
        <v>1</v>
      </c>
      <c r="N338" s="3" t="s">
        <v>238</v>
      </c>
      <c r="O338" s="3" t="s">
        <v>433</v>
      </c>
    </row>
    <row r="339" spans="1:15" ht="27.6">
      <c r="A339" t="s">
        <v>1063</v>
      </c>
      <c r="B339" t="s">
        <v>432</v>
      </c>
      <c r="C339">
        <v>235981</v>
      </c>
      <c r="D339" s="16">
        <v>235.98099999999999</v>
      </c>
      <c r="E339" t="s">
        <v>730</v>
      </c>
      <c r="F339" s="16">
        <v>0</v>
      </c>
      <c r="G339" s="16">
        <v>0</v>
      </c>
      <c r="H339" s="16">
        <v>0</v>
      </c>
      <c r="I339" t="s">
        <v>107</v>
      </c>
      <c r="J339">
        <v>1</v>
      </c>
      <c r="K339" t="s">
        <v>720</v>
      </c>
      <c r="L339" t="s">
        <v>385</v>
      </c>
      <c r="M339">
        <v>1</v>
      </c>
      <c r="N339" s="3" t="s">
        <v>238</v>
      </c>
      <c r="O339" s="3" t="s">
        <v>433</v>
      </c>
    </row>
    <row r="340" spans="1:15" ht="27.6">
      <c r="A340" t="s">
        <v>1064</v>
      </c>
      <c r="B340" t="s">
        <v>441</v>
      </c>
      <c r="C340">
        <v>259020</v>
      </c>
      <c r="D340" s="16">
        <v>259.02</v>
      </c>
      <c r="E340" t="s">
        <v>719</v>
      </c>
      <c r="F340" s="16">
        <v>27.3</v>
      </c>
      <c r="G340" s="16">
        <v>27.3</v>
      </c>
      <c r="H340" s="16">
        <v>27.3</v>
      </c>
      <c r="I340" t="s">
        <v>98</v>
      </c>
      <c r="J340">
        <v>1</v>
      </c>
      <c r="K340" t="s">
        <v>720</v>
      </c>
      <c r="L340" t="s">
        <v>385</v>
      </c>
      <c r="M340">
        <v>1</v>
      </c>
      <c r="N340" s="3" t="s">
        <v>257</v>
      </c>
      <c r="O340" s="3"/>
    </row>
    <row r="341" spans="1:15" ht="27.6">
      <c r="A341" t="s">
        <v>1065</v>
      </c>
      <c r="B341" t="s">
        <v>441</v>
      </c>
      <c r="C341">
        <v>259020</v>
      </c>
      <c r="D341" s="16">
        <v>259.02</v>
      </c>
      <c r="E341" t="s">
        <v>722</v>
      </c>
      <c r="F341" s="16">
        <v>80.099999999999994</v>
      </c>
      <c r="G341" s="16">
        <v>80.099999999999994</v>
      </c>
      <c r="H341" s="16">
        <v>80.099999999999994</v>
      </c>
      <c r="I341" t="s">
        <v>140</v>
      </c>
      <c r="J341">
        <v>1</v>
      </c>
      <c r="K341" t="s">
        <v>720</v>
      </c>
      <c r="L341" t="s">
        <v>385</v>
      </c>
      <c r="M341">
        <v>1</v>
      </c>
      <c r="N341" s="3" t="s">
        <v>257</v>
      </c>
      <c r="O341" s="3"/>
    </row>
    <row r="342" spans="1:15" ht="27.6">
      <c r="A342" t="s">
        <v>1066</v>
      </c>
      <c r="B342" t="s">
        <v>441</v>
      </c>
      <c r="C342">
        <v>259020</v>
      </c>
      <c r="D342" s="16">
        <v>259.02</v>
      </c>
      <c r="E342" t="s">
        <v>724</v>
      </c>
      <c r="F342" s="16">
        <v>13.3</v>
      </c>
      <c r="G342" s="16">
        <v>13.3</v>
      </c>
      <c r="H342" s="16">
        <v>13.3</v>
      </c>
      <c r="I342" t="s">
        <v>125</v>
      </c>
      <c r="J342">
        <v>1</v>
      </c>
      <c r="K342" t="s">
        <v>720</v>
      </c>
      <c r="L342" t="s">
        <v>385</v>
      </c>
      <c r="M342">
        <v>1</v>
      </c>
      <c r="N342" s="3" t="s">
        <v>257</v>
      </c>
      <c r="O342" s="3"/>
    </row>
    <row r="343" spans="1:15" ht="27.6">
      <c r="A343" t="s">
        <v>1067</v>
      </c>
      <c r="B343" t="s">
        <v>441</v>
      </c>
      <c r="C343">
        <v>259020</v>
      </c>
      <c r="D343" s="16">
        <v>259.02</v>
      </c>
      <c r="E343" t="s">
        <v>727</v>
      </c>
      <c r="F343" s="16">
        <v>1</v>
      </c>
      <c r="G343" s="16">
        <v>1</v>
      </c>
      <c r="H343" s="16">
        <v>1</v>
      </c>
      <c r="I343" t="s">
        <v>728</v>
      </c>
      <c r="J343">
        <v>1</v>
      </c>
      <c r="K343" t="s">
        <v>720</v>
      </c>
      <c r="L343" t="s">
        <v>385</v>
      </c>
      <c r="M343">
        <v>1</v>
      </c>
      <c r="N343" s="3" t="s">
        <v>257</v>
      </c>
      <c r="O343" s="3"/>
    </row>
    <row r="344" spans="1:15" ht="27.6">
      <c r="A344" t="s">
        <v>1068</v>
      </c>
      <c r="B344" t="s">
        <v>441</v>
      </c>
      <c r="C344">
        <v>259020</v>
      </c>
      <c r="D344" s="16">
        <v>259.02</v>
      </c>
      <c r="E344" t="s">
        <v>730</v>
      </c>
      <c r="F344" s="16">
        <v>0</v>
      </c>
      <c r="G344" s="16">
        <v>0</v>
      </c>
      <c r="H344" s="16">
        <v>0</v>
      </c>
      <c r="I344" t="s">
        <v>107</v>
      </c>
      <c r="J344">
        <v>1</v>
      </c>
      <c r="K344" t="s">
        <v>720</v>
      </c>
      <c r="L344" t="s">
        <v>385</v>
      </c>
      <c r="M344">
        <v>1</v>
      </c>
      <c r="N344" s="3" t="s">
        <v>257</v>
      </c>
      <c r="O344" s="3"/>
    </row>
    <row r="345" spans="1:15">
      <c r="A345" t="s">
        <v>1069</v>
      </c>
      <c r="B345" t="s">
        <v>442</v>
      </c>
      <c r="C345">
        <v>264020</v>
      </c>
      <c r="D345" s="16">
        <v>264.02</v>
      </c>
      <c r="E345" t="s">
        <v>719</v>
      </c>
      <c r="F345" s="16">
        <v>27.3</v>
      </c>
      <c r="G345" s="16">
        <v>27.3</v>
      </c>
      <c r="H345" s="16">
        <v>27.3</v>
      </c>
      <c r="I345" t="s">
        <v>98</v>
      </c>
      <c r="J345">
        <v>1</v>
      </c>
      <c r="K345" t="s">
        <v>720</v>
      </c>
      <c r="L345" t="s">
        <v>385</v>
      </c>
      <c r="M345">
        <v>0</v>
      </c>
      <c r="N345" s="3" t="s">
        <v>238</v>
      </c>
      <c r="O345" s="3"/>
    </row>
    <row r="346" spans="1:15">
      <c r="A346" t="s">
        <v>1070</v>
      </c>
      <c r="B346" t="s">
        <v>442</v>
      </c>
      <c r="C346">
        <v>264020</v>
      </c>
      <c r="D346" s="16">
        <v>264.02</v>
      </c>
      <c r="E346" t="s">
        <v>722</v>
      </c>
      <c r="F346" s="16">
        <v>80.599999999999994</v>
      </c>
      <c r="G346" s="16">
        <v>80.599999999999994</v>
      </c>
      <c r="H346" s="16">
        <v>80.599999999999994</v>
      </c>
      <c r="I346" t="s">
        <v>140</v>
      </c>
      <c r="J346">
        <v>1</v>
      </c>
      <c r="K346" t="s">
        <v>720</v>
      </c>
      <c r="L346" t="s">
        <v>385</v>
      </c>
      <c r="M346">
        <v>0</v>
      </c>
      <c r="N346" s="3" t="s">
        <v>238</v>
      </c>
      <c r="O346" s="3"/>
    </row>
    <row r="347" spans="1:15">
      <c r="A347" t="s">
        <v>1071</v>
      </c>
      <c r="B347" t="s">
        <v>442</v>
      </c>
      <c r="C347">
        <v>264020</v>
      </c>
      <c r="D347" s="16">
        <v>264.02</v>
      </c>
      <c r="E347" t="s">
        <v>724</v>
      </c>
      <c r="F347" s="16">
        <v>-0.2</v>
      </c>
      <c r="G347" s="16">
        <v>0.2</v>
      </c>
      <c r="H347" s="16">
        <v>0.2</v>
      </c>
      <c r="I347" t="s">
        <v>125</v>
      </c>
      <c r="J347">
        <v>1</v>
      </c>
      <c r="K347" t="s">
        <v>725</v>
      </c>
      <c r="L347" t="s">
        <v>385</v>
      </c>
      <c r="M347">
        <v>0</v>
      </c>
      <c r="N347" s="3" t="s">
        <v>238</v>
      </c>
      <c r="O347" s="3"/>
    </row>
    <row r="348" spans="1:15">
      <c r="A348" t="s">
        <v>1072</v>
      </c>
      <c r="B348" t="s">
        <v>442</v>
      </c>
      <c r="C348">
        <v>264020</v>
      </c>
      <c r="D348" s="16">
        <v>264.02</v>
      </c>
      <c r="E348" t="s">
        <v>727</v>
      </c>
      <c r="F348" s="16">
        <v>1</v>
      </c>
      <c r="G348" s="16">
        <v>1</v>
      </c>
      <c r="H348" s="16">
        <v>1</v>
      </c>
      <c r="I348" t="s">
        <v>728</v>
      </c>
      <c r="J348">
        <v>1</v>
      </c>
      <c r="K348" t="s">
        <v>720</v>
      </c>
      <c r="L348" t="s">
        <v>385</v>
      </c>
      <c r="M348">
        <v>0</v>
      </c>
      <c r="N348" s="3" t="s">
        <v>238</v>
      </c>
      <c r="O348" s="3"/>
    </row>
    <row r="349" spans="1:15">
      <c r="A349" t="s">
        <v>1073</v>
      </c>
      <c r="B349" t="s">
        <v>442</v>
      </c>
      <c r="C349">
        <v>264020</v>
      </c>
      <c r="D349" s="16">
        <v>264.02</v>
      </c>
      <c r="E349" t="s">
        <v>730</v>
      </c>
      <c r="F349" s="16">
        <v>0</v>
      </c>
      <c r="G349" s="16">
        <v>0</v>
      </c>
      <c r="H349" s="16">
        <v>0</v>
      </c>
      <c r="I349" t="s">
        <v>107</v>
      </c>
      <c r="J349">
        <v>1</v>
      </c>
      <c r="K349" t="s">
        <v>720</v>
      </c>
      <c r="L349" t="s">
        <v>385</v>
      </c>
      <c r="M349">
        <v>0</v>
      </c>
      <c r="N349" s="3" t="s">
        <v>238</v>
      </c>
      <c r="O349" s="3"/>
    </row>
    <row r="350" spans="1:15">
      <c r="A350" t="s">
        <v>1074</v>
      </c>
      <c r="B350" t="s">
        <v>443</v>
      </c>
      <c r="C350">
        <v>269021</v>
      </c>
      <c r="D350" s="16">
        <v>269.02100000000002</v>
      </c>
      <c r="E350" t="s">
        <v>719</v>
      </c>
      <c r="F350" s="16">
        <v>27.3</v>
      </c>
      <c r="G350" s="16">
        <v>27.3</v>
      </c>
      <c r="H350" s="16">
        <v>27.3</v>
      </c>
      <c r="I350" t="s">
        <v>98</v>
      </c>
      <c r="J350">
        <v>1</v>
      </c>
      <c r="K350" t="s">
        <v>720</v>
      </c>
      <c r="L350" t="s">
        <v>385</v>
      </c>
      <c r="M350">
        <v>0</v>
      </c>
      <c r="N350" s="3" t="s">
        <v>238</v>
      </c>
      <c r="O350" s="3"/>
    </row>
    <row r="351" spans="1:15">
      <c r="A351" t="s">
        <v>1075</v>
      </c>
      <c r="B351" t="s">
        <v>443</v>
      </c>
      <c r="C351">
        <v>269021</v>
      </c>
      <c r="D351" s="16">
        <v>269.02100000000002</v>
      </c>
      <c r="E351" t="s">
        <v>722</v>
      </c>
      <c r="F351" s="16">
        <v>80.8</v>
      </c>
      <c r="G351" s="16">
        <v>80.8</v>
      </c>
      <c r="H351" s="16">
        <v>80.8</v>
      </c>
      <c r="I351" t="s">
        <v>140</v>
      </c>
      <c r="J351">
        <v>1</v>
      </c>
      <c r="K351" t="s">
        <v>720</v>
      </c>
      <c r="L351" t="s">
        <v>385</v>
      </c>
      <c r="M351">
        <v>0</v>
      </c>
      <c r="N351" s="3" t="s">
        <v>238</v>
      </c>
      <c r="O351" s="3"/>
    </row>
    <row r="352" spans="1:15">
      <c r="A352" t="s">
        <v>1076</v>
      </c>
      <c r="B352" t="s">
        <v>443</v>
      </c>
      <c r="C352">
        <v>269021</v>
      </c>
      <c r="D352" s="16">
        <v>269.02100000000002</v>
      </c>
      <c r="E352" t="s">
        <v>724</v>
      </c>
      <c r="F352" s="16">
        <v>-0.2</v>
      </c>
      <c r="G352" s="16">
        <v>0.2</v>
      </c>
      <c r="H352" s="16">
        <v>0.2</v>
      </c>
      <c r="I352" t="s">
        <v>125</v>
      </c>
      <c r="J352">
        <v>1</v>
      </c>
      <c r="K352" t="s">
        <v>725</v>
      </c>
      <c r="L352" t="s">
        <v>385</v>
      </c>
      <c r="M352">
        <v>0</v>
      </c>
      <c r="N352" s="3" t="s">
        <v>238</v>
      </c>
      <c r="O352" s="3"/>
    </row>
    <row r="353" spans="1:15">
      <c r="A353" t="s">
        <v>1077</v>
      </c>
      <c r="B353" t="s">
        <v>443</v>
      </c>
      <c r="C353">
        <v>269021</v>
      </c>
      <c r="D353" s="16">
        <v>269.02100000000002</v>
      </c>
      <c r="E353" t="s">
        <v>727</v>
      </c>
      <c r="F353" s="16">
        <v>1</v>
      </c>
      <c r="G353" s="16">
        <v>1</v>
      </c>
      <c r="H353" s="16">
        <v>1</v>
      </c>
      <c r="I353" t="s">
        <v>728</v>
      </c>
      <c r="J353">
        <v>1</v>
      </c>
      <c r="K353" t="s">
        <v>720</v>
      </c>
      <c r="L353" t="s">
        <v>385</v>
      </c>
      <c r="M353">
        <v>0</v>
      </c>
      <c r="N353" s="3" t="s">
        <v>238</v>
      </c>
      <c r="O353" s="3"/>
    </row>
    <row r="354" spans="1:15">
      <c r="A354" t="s">
        <v>1078</v>
      </c>
      <c r="B354" t="s">
        <v>443</v>
      </c>
      <c r="C354">
        <v>269021</v>
      </c>
      <c r="D354" s="16">
        <v>269.02100000000002</v>
      </c>
      <c r="E354" t="s">
        <v>730</v>
      </c>
      <c r="F354" s="16">
        <v>0</v>
      </c>
      <c r="G354" s="16">
        <v>0</v>
      </c>
      <c r="H354" s="16">
        <v>0</v>
      </c>
      <c r="I354" t="s">
        <v>107</v>
      </c>
      <c r="J354">
        <v>1</v>
      </c>
      <c r="K354" t="s">
        <v>720</v>
      </c>
      <c r="L354" t="s">
        <v>385</v>
      </c>
      <c r="M354">
        <v>0</v>
      </c>
      <c r="N354" s="3" t="s">
        <v>238</v>
      </c>
      <c r="O354" s="3"/>
    </row>
    <row r="355" spans="1:15">
      <c r="A355" t="s">
        <v>1079</v>
      </c>
      <c r="B355" t="s">
        <v>444</v>
      </c>
      <c r="C355">
        <v>274021</v>
      </c>
      <c r="D355" s="16">
        <v>274.02100000000002</v>
      </c>
      <c r="E355" t="s">
        <v>719</v>
      </c>
      <c r="F355" s="16">
        <v>27.3</v>
      </c>
      <c r="G355" s="16">
        <v>27.3</v>
      </c>
      <c r="H355" s="16">
        <v>27.3</v>
      </c>
      <c r="I355" t="s">
        <v>98</v>
      </c>
      <c r="J355">
        <v>1</v>
      </c>
      <c r="K355" t="s">
        <v>720</v>
      </c>
      <c r="L355" t="s">
        <v>385</v>
      </c>
      <c r="M355">
        <v>0</v>
      </c>
      <c r="N355" s="3" t="s">
        <v>238</v>
      </c>
      <c r="O355" s="3"/>
    </row>
    <row r="356" spans="1:15">
      <c r="A356" t="s">
        <v>1080</v>
      </c>
      <c r="B356" t="s">
        <v>444</v>
      </c>
      <c r="C356">
        <v>274021</v>
      </c>
      <c r="D356" s="16">
        <v>274.02100000000002</v>
      </c>
      <c r="E356" t="s">
        <v>722</v>
      </c>
      <c r="F356" s="16">
        <v>80.8</v>
      </c>
      <c r="G356" s="16">
        <v>80.8</v>
      </c>
      <c r="H356" s="16">
        <v>80.8</v>
      </c>
      <c r="I356" t="s">
        <v>140</v>
      </c>
      <c r="J356">
        <v>1</v>
      </c>
      <c r="K356" t="s">
        <v>720</v>
      </c>
      <c r="L356" t="s">
        <v>385</v>
      </c>
      <c r="M356">
        <v>0</v>
      </c>
      <c r="N356" s="3" t="s">
        <v>238</v>
      </c>
      <c r="O356" s="3"/>
    </row>
    <row r="357" spans="1:15">
      <c r="A357" t="s">
        <v>1081</v>
      </c>
      <c r="B357" t="s">
        <v>444</v>
      </c>
      <c r="C357">
        <v>274021</v>
      </c>
      <c r="D357" s="16">
        <v>274.02100000000002</v>
      </c>
      <c r="E357" t="s">
        <v>724</v>
      </c>
      <c r="F357" s="16">
        <v>-0.3</v>
      </c>
      <c r="G357" s="16">
        <v>0.3</v>
      </c>
      <c r="H357" s="16">
        <v>0.3</v>
      </c>
      <c r="I357" t="s">
        <v>125</v>
      </c>
      <c r="J357">
        <v>1</v>
      </c>
      <c r="K357" t="s">
        <v>725</v>
      </c>
      <c r="L357" t="s">
        <v>385</v>
      </c>
      <c r="M357">
        <v>0</v>
      </c>
      <c r="N357" s="3" t="s">
        <v>238</v>
      </c>
      <c r="O357" s="3"/>
    </row>
    <row r="358" spans="1:15">
      <c r="A358" t="s">
        <v>1082</v>
      </c>
      <c r="B358" t="s">
        <v>444</v>
      </c>
      <c r="C358">
        <v>274021</v>
      </c>
      <c r="D358" s="16">
        <v>274.02100000000002</v>
      </c>
      <c r="E358" t="s">
        <v>727</v>
      </c>
      <c r="F358" s="16">
        <v>1</v>
      </c>
      <c r="G358" s="16">
        <v>1</v>
      </c>
      <c r="H358" s="16">
        <v>1</v>
      </c>
      <c r="I358" t="s">
        <v>728</v>
      </c>
      <c r="J358">
        <v>1</v>
      </c>
      <c r="K358" t="s">
        <v>720</v>
      </c>
      <c r="L358" t="s">
        <v>385</v>
      </c>
      <c r="M358">
        <v>0</v>
      </c>
      <c r="N358" s="3" t="s">
        <v>238</v>
      </c>
      <c r="O358" s="3"/>
    </row>
    <row r="359" spans="1:15">
      <c r="A359" t="s">
        <v>1083</v>
      </c>
      <c r="B359" t="s">
        <v>444</v>
      </c>
      <c r="C359">
        <v>274021</v>
      </c>
      <c r="D359" s="16">
        <v>274.02100000000002</v>
      </c>
      <c r="E359" t="s">
        <v>730</v>
      </c>
      <c r="F359" s="16">
        <v>0</v>
      </c>
      <c r="G359" s="16">
        <v>0</v>
      </c>
      <c r="H359" s="16">
        <v>0</v>
      </c>
      <c r="I359" t="s">
        <v>107</v>
      </c>
      <c r="J359">
        <v>1</v>
      </c>
      <c r="K359" t="s">
        <v>720</v>
      </c>
      <c r="L359" t="s">
        <v>385</v>
      </c>
      <c r="M359">
        <v>0</v>
      </c>
      <c r="N359" s="3" t="s">
        <v>238</v>
      </c>
      <c r="O359" s="3"/>
    </row>
    <row r="360" spans="1:15" ht="27.6">
      <c r="A360" t="s">
        <v>1084</v>
      </c>
      <c r="B360" t="s">
        <v>445</v>
      </c>
      <c r="C360">
        <v>279020</v>
      </c>
      <c r="D360" s="16">
        <v>279.02</v>
      </c>
      <c r="E360" t="s">
        <v>719</v>
      </c>
      <c r="F360" s="16">
        <v>27.3</v>
      </c>
      <c r="G360" s="16">
        <v>27.3</v>
      </c>
      <c r="H360" s="16">
        <v>27.3</v>
      </c>
      <c r="I360" t="s">
        <v>98</v>
      </c>
      <c r="J360">
        <v>1</v>
      </c>
      <c r="K360" t="s">
        <v>720</v>
      </c>
      <c r="L360" t="s">
        <v>385</v>
      </c>
      <c r="M360">
        <v>1</v>
      </c>
      <c r="N360" s="3" t="s">
        <v>238</v>
      </c>
      <c r="O360" s="3" t="s">
        <v>433</v>
      </c>
    </row>
    <row r="361" spans="1:15" ht="27.6">
      <c r="A361" t="s">
        <v>1085</v>
      </c>
      <c r="B361" t="s">
        <v>445</v>
      </c>
      <c r="C361">
        <v>279020</v>
      </c>
      <c r="D361" s="16">
        <v>279.02</v>
      </c>
      <c r="E361" t="s">
        <v>722</v>
      </c>
      <c r="F361" s="16">
        <v>80.900000000000006</v>
      </c>
      <c r="G361" s="16">
        <v>80.900000000000006</v>
      </c>
      <c r="H361" s="16">
        <v>80.900000000000006</v>
      </c>
      <c r="I361" t="s">
        <v>140</v>
      </c>
      <c r="J361">
        <v>1</v>
      </c>
      <c r="K361" t="s">
        <v>720</v>
      </c>
      <c r="L361" t="s">
        <v>385</v>
      </c>
      <c r="M361">
        <v>1</v>
      </c>
      <c r="N361" s="3" t="s">
        <v>238</v>
      </c>
      <c r="O361" s="3" t="s">
        <v>433</v>
      </c>
    </row>
    <row r="362" spans="1:15" ht="27.6">
      <c r="A362" t="s">
        <v>1086</v>
      </c>
      <c r="B362" t="s">
        <v>445</v>
      </c>
      <c r="C362">
        <v>279020</v>
      </c>
      <c r="D362" s="16">
        <v>279.02</v>
      </c>
      <c r="E362" t="s">
        <v>724</v>
      </c>
      <c r="F362" s="16">
        <v>-1.4</v>
      </c>
      <c r="G362" s="16">
        <v>1.4</v>
      </c>
      <c r="H362" s="16">
        <v>1.4</v>
      </c>
      <c r="I362" t="s">
        <v>125</v>
      </c>
      <c r="J362">
        <v>1</v>
      </c>
      <c r="K362" t="s">
        <v>725</v>
      </c>
      <c r="L362" t="s">
        <v>385</v>
      </c>
      <c r="M362">
        <v>1</v>
      </c>
      <c r="N362" s="3" t="s">
        <v>238</v>
      </c>
      <c r="O362" s="3" t="s">
        <v>433</v>
      </c>
    </row>
    <row r="363" spans="1:15" ht="27.6">
      <c r="A363" t="s">
        <v>1087</v>
      </c>
      <c r="B363" t="s">
        <v>445</v>
      </c>
      <c r="C363">
        <v>279020</v>
      </c>
      <c r="D363" s="16">
        <v>279.02</v>
      </c>
      <c r="E363" t="s">
        <v>727</v>
      </c>
      <c r="F363" s="16">
        <v>1</v>
      </c>
      <c r="G363" s="16">
        <v>1</v>
      </c>
      <c r="H363" s="16">
        <v>1</v>
      </c>
      <c r="I363" t="s">
        <v>728</v>
      </c>
      <c r="J363">
        <v>1</v>
      </c>
      <c r="K363" t="s">
        <v>720</v>
      </c>
      <c r="L363" t="s">
        <v>385</v>
      </c>
      <c r="M363">
        <v>1</v>
      </c>
      <c r="N363" s="3" t="s">
        <v>238</v>
      </c>
      <c r="O363" s="3" t="s">
        <v>433</v>
      </c>
    </row>
    <row r="364" spans="1:15" ht="27.6">
      <c r="A364" t="s">
        <v>1088</v>
      </c>
      <c r="B364" t="s">
        <v>445</v>
      </c>
      <c r="C364">
        <v>279020</v>
      </c>
      <c r="D364" s="16">
        <v>279.02</v>
      </c>
      <c r="E364" t="s">
        <v>730</v>
      </c>
      <c r="F364" s="16">
        <v>0</v>
      </c>
      <c r="G364" s="16">
        <v>0</v>
      </c>
      <c r="H364" s="16">
        <v>0</v>
      </c>
      <c r="I364" t="s">
        <v>107</v>
      </c>
      <c r="J364">
        <v>1</v>
      </c>
      <c r="K364" t="s">
        <v>720</v>
      </c>
      <c r="L364" t="s">
        <v>385</v>
      </c>
      <c r="M364">
        <v>1</v>
      </c>
      <c r="N364" s="3" t="s">
        <v>238</v>
      </c>
      <c r="O364" s="3" t="s">
        <v>433</v>
      </c>
    </row>
    <row r="365" spans="1:15" ht="27.6">
      <c r="A365" t="s">
        <v>1089</v>
      </c>
      <c r="B365" t="s">
        <v>448</v>
      </c>
      <c r="C365">
        <v>294210</v>
      </c>
      <c r="D365" s="16">
        <v>294.20999999999998</v>
      </c>
      <c r="E365" t="s">
        <v>719</v>
      </c>
      <c r="F365" s="16">
        <v>27.3</v>
      </c>
      <c r="G365" s="16">
        <v>27.3</v>
      </c>
      <c r="H365" s="16">
        <v>27.3</v>
      </c>
      <c r="I365" t="s">
        <v>98</v>
      </c>
      <c r="J365">
        <v>1</v>
      </c>
      <c r="K365" t="s">
        <v>720</v>
      </c>
      <c r="L365" t="s">
        <v>385</v>
      </c>
      <c r="M365">
        <v>1</v>
      </c>
      <c r="N365" s="3" t="s">
        <v>257</v>
      </c>
      <c r="O365" s="3" t="s">
        <v>433</v>
      </c>
    </row>
    <row r="366" spans="1:15" ht="27.6">
      <c r="A366" t="s">
        <v>1090</v>
      </c>
      <c r="B366" t="s">
        <v>448</v>
      </c>
      <c r="C366">
        <v>294210</v>
      </c>
      <c r="D366" s="16">
        <v>294.20999999999998</v>
      </c>
      <c r="E366" t="s">
        <v>722</v>
      </c>
      <c r="F366" s="16">
        <v>80.900000000000006</v>
      </c>
      <c r="G366" s="16">
        <v>80.900000000000006</v>
      </c>
      <c r="H366" s="16">
        <v>80.900000000000006</v>
      </c>
      <c r="I366" t="s">
        <v>140</v>
      </c>
      <c r="J366">
        <v>1</v>
      </c>
      <c r="K366" t="s">
        <v>720</v>
      </c>
      <c r="L366" t="s">
        <v>385</v>
      </c>
      <c r="M366">
        <v>1</v>
      </c>
      <c r="N366" s="3" t="s">
        <v>257</v>
      </c>
      <c r="O366" s="3" t="s">
        <v>433</v>
      </c>
    </row>
    <row r="367" spans="1:15" ht="27.6">
      <c r="A367" t="s">
        <v>1091</v>
      </c>
      <c r="B367" t="s">
        <v>448</v>
      </c>
      <c r="C367">
        <v>294210</v>
      </c>
      <c r="D367" s="16">
        <v>294.20999999999998</v>
      </c>
      <c r="E367" t="s">
        <v>724</v>
      </c>
      <c r="F367" s="16">
        <v>29.8</v>
      </c>
      <c r="G367" s="16">
        <v>29.8</v>
      </c>
      <c r="H367" s="16">
        <v>29.8</v>
      </c>
      <c r="I367" t="s">
        <v>125</v>
      </c>
      <c r="J367">
        <v>1</v>
      </c>
      <c r="K367" t="s">
        <v>720</v>
      </c>
      <c r="L367" t="s">
        <v>385</v>
      </c>
      <c r="M367">
        <v>1</v>
      </c>
      <c r="N367" s="3" t="s">
        <v>257</v>
      </c>
      <c r="O367" s="3" t="s">
        <v>433</v>
      </c>
    </row>
    <row r="368" spans="1:15" ht="27.6">
      <c r="A368" t="s">
        <v>1092</v>
      </c>
      <c r="B368" t="s">
        <v>448</v>
      </c>
      <c r="C368">
        <v>294210</v>
      </c>
      <c r="D368" s="16">
        <v>294.20999999999998</v>
      </c>
      <c r="E368" t="s">
        <v>727</v>
      </c>
      <c r="F368" s="16">
        <v>1</v>
      </c>
      <c r="G368" s="16">
        <v>1</v>
      </c>
      <c r="H368" s="16">
        <v>1</v>
      </c>
      <c r="I368" t="s">
        <v>728</v>
      </c>
      <c r="J368">
        <v>1</v>
      </c>
      <c r="K368" t="s">
        <v>720</v>
      </c>
      <c r="L368" t="s">
        <v>385</v>
      </c>
      <c r="M368">
        <v>1</v>
      </c>
      <c r="N368" s="3" t="s">
        <v>257</v>
      </c>
      <c r="O368" s="3" t="s">
        <v>433</v>
      </c>
    </row>
    <row r="369" spans="1:15" ht="27.6">
      <c r="A369" t="s">
        <v>1093</v>
      </c>
      <c r="B369" t="s">
        <v>448</v>
      </c>
      <c r="C369">
        <v>294210</v>
      </c>
      <c r="D369" s="16">
        <v>294.20999999999998</v>
      </c>
      <c r="E369" t="s">
        <v>730</v>
      </c>
      <c r="F369" s="16">
        <v>0</v>
      </c>
      <c r="G369" s="16">
        <v>0</v>
      </c>
      <c r="H369" s="16">
        <v>0</v>
      </c>
      <c r="I369" t="s">
        <v>107</v>
      </c>
      <c r="J369">
        <v>1</v>
      </c>
      <c r="K369" t="s">
        <v>720</v>
      </c>
      <c r="L369" t="s">
        <v>385</v>
      </c>
      <c r="M369">
        <v>1</v>
      </c>
      <c r="N369" s="3" t="s">
        <v>257</v>
      </c>
      <c r="O369" s="3" t="s">
        <v>433</v>
      </c>
    </row>
    <row r="370" spans="1:15" ht="27.6">
      <c r="A370" t="s">
        <v>1094</v>
      </c>
      <c r="B370" t="s">
        <v>451</v>
      </c>
      <c r="C370">
        <v>302134</v>
      </c>
      <c r="D370" s="16">
        <v>302.13400000000001</v>
      </c>
      <c r="E370" t="s">
        <v>719</v>
      </c>
      <c r="F370" s="16">
        <v>27.3</v>
      </c>
      <c r="G370" s="16">
        <v>27.3</v>
      </c>
      <c r="H370" s="16">
        <v>27.3</v>
      </c>
      <c r="I370" t="s">
        <v>98</v>
      </c>
      <c r="J370">
        <v>1</v>
      </c>
      <c r="K370" t="s">
        <v>720</v>
      </c>
      <c r="L370" t="s">
        <v>385</v>
      </c>
      <c r="M370">
        <v>1</v>
      </c>
      <c r="N370" s="3" t="s">
        <v>257</v>
      </c>
      <c r="O370" s="3"/>
    </row>
    <row r="371" spans="1:15" ht="27.6">
      <c r="A371" t="s">
        <v>1095</v>
      </c>
      <c r="B371" t="s">
        <v>451</v>
      </c>
      <c r="C371">
        <v>302134</v>
      </c>
      <c r="D371" s="16">
        <v>302.13400000000001</v>
      </c>
      <c r="E371" t="s">
        <v>722</v>
      </c>
      <c r="F371" s="16">
        <v>81.3</v>
      </c>
      <c r="G371" s="16">
        <v>81.3</v>
      </c>
      <c r="H371" s="16">
        <v>81.3</v>
      </c>
      <c r="I371" t="s">
        <v>140</v>
      </c>
      <c r="J371">
        <v>1</v>
      </c>
      <c r="K371" t="s">
        <v>720</v>
      </c>
      <c r="L371" t="s">
        <v>385</v>
      </c>
      <c r="M371">
        <v>1</v>
      </c>
      <c r="N371" s="3" t="s">
        <v>257</v>
      </c>
      <c r="O371" s="3"/>
    </row>
    <row r="372" spans="1:15" ht="27.6">
      <c r="A372" t="s">
        <v>1096</v>
      </c>
      <c r="B372" t="s">
        <v>451</v>
      </c>
      <c r="C372">
        <v>302134</v>
      </c>
      <c r="D372" s="16">
        <v>302.13400000000001</v>
      </c>
      <c r="E372" t="s">
        <v>724</v>
      </c>
      <c r="F372" s="16">
        <v>32.4</v>
      </c>
      <c r="G372" s="16">
        <v>32.4</v>
      </c>
      <c r="H372" s="16">
        <v>32.4</v>
      </c>
      <c r="I372" t="s">
        <v>125</v>
      </c>
      <c r="J372">
        <v>1</v>
      </c>
      <c r="K372" t="s">
        <v>720</v>
      </c>
      <c r="L372" t="s">
        <v>385</v>
      </c>
      <c r="M372">
        <v>1</v>
      </c>
      <c r="N372" s="3" t="s">
        <v>257</v>
      </c>
      <c r="O372" s="3"/>
    </row>
    <row r="373" spans="1:15" ht="27.6">
      <c r="A373" t="s">
        <v>1097</v>
      </c>
      <c r="B373" t="s">
        <v>451</v>
      </c>
      <c r="C373">
        <v>302134</v>
      </c>
      <c r="D373" s="16">
        <v>302.13400000000001</v>
      </c>
      <c r="E373" t="s">
        <v>727</v>
      </c>
      <c r="F373" s="16">
        <v>1</v>
      </c>
      <c r="G373" s="16">
        <v>1</v>
      </c>
      <c r="H373" s="16">
        <v>1</v>
      </c>
      <c r="I373" t="s">
        <v>728</v>
      </c>
      <c r="J373">
        <v>1</v>
      </c>
      <c r="K373" t="s">
        <v>720</v>
      </c>
      <c r="L373" t="s">
        <v>385</v>
      </c>
      <c r="M373">
        <v>1</v>
      </c>
      <c r="N373" s="3" t="s">
        <v>257</v>
      </c>
      <c r="O373" s="3"/>
    </row>
    <row r="374" spans="1:15" ht="27.6">
      <c r="A374" t="s">
        <v>1098</v>
      </c>
      <c r="B374" t="s">
        <v>451</v>
      </c>
      <c r="C374">
        <v>302134</v>
      </c>
      <c r="D374" s="16">
        <v>302.13400000000001</v>
      </c>
      <c r="E374" t="s">
        <v>730</v>
      </c>
      <c r="F374" s="16">
        <v>0</v>
      </c>
      <c r="G374" s="16">
        <v>0</v>
      </c>
      <c r="H374" s="16">
        <v>0</v>
      </c>
      <c r="I374" t="s">
        <v>107</v>
      </c>
      <c r="J374">
        <v>1</v>
      </c>
      <c r="K374" t="s">
        <v>720</v>
      </c>
      <c r="L374" t="s">
        <v>385</v>
      </c>
      <c r="M374">
        <v>1</v>
      </c>
      <c r="N374" s="3" t="s">
        <v>257</v>
      </c>
      <c r="O374" s="3"/>
    </row>
    <row r="375" spans="1:15" ht="27.6">
      <c r="A375" t="s">
        <v>1099</v>
      </c>
      <c r="B375" t="s">
        <v>452</v>
      </c>
      <c r="C375">
        <v>307277</v>
      </c>
      <c r="D375" s="16">
        <v>307.27699999999999</v>
      </c>
      <c r="E375" t="s">
        <v>719</v>
      </c>
      <c r="F375" s="16">
        <v>27.3</v>
      </c>
      <c r="G375" s="16">
        <v>27.3</v>
      </c>
      <c r="H375" s="16">
        <v>27.3</v>
      </c>
      <c r="I375" t="s">
        <v>98</v>
      </c>
      <c r="J375">
        <v>1</v>
      </c>
      <c r="K375" t="s">
        <v>720</v>
      </c>
      <c r="L375" t="s">
        <v>385</v>
      </c>
      <c r="M375">
        <v>0</v>
      </c>
      <c r="N375" s="3" t="s">
        <v>257</v>
      </c>
      <c r="O375" s="3"/>
    </row>
    <row r="376" spans="1:15" ht="27.6">
      <c r="A376" t="s">
        <v>1100</v>
      </c>
      <c r="B376" t="s">
        <v>452</v>
      </c>
      <c r="C376">
        <v>307277</v>
      </c>
      <c r="D376" s="16">
        <v>307.27699999999999</v>
      </c>
      <c r="E376" t="s">
        <v>722</v>
      </c>
      <c r="F376" s="16">
        <v>81.5</v>
      </c>
      <c r="G376" s="16">
        <v>81.5</v>
      </c>
      <c r="H376" s="16">
        <v>81.5</v>
      </c>
      <c r="I376" t="s">
        <v>140</v>
      </c>
      <c r="J376">
        <v>1</v>
      </c>
      <c r="K376" t="s">
        <v>720</v>
      </c>
      <c r="L376" t="s">
        <v>385</v>
      </c>
      <c r="M376">
        <v>0</v>
      </c>
      <c r="N376" s="3" t="s">
        <v>257</v>
      </c>
      <c r="O376" s="3"/>
    </row>
    <row r="377" spans="1:15" ht="27.6">
      <c r="A377" t="s">
        <v>1101</v>
      </c>
      <c r="B377" t="s">
        <v>452</v>
      </c>
      <c r="C377">
        <v>307277</v>
      </c>
      <c r="D377" s="16">
        <v>307.27699999999999</v>
      </c>
      <c r="E377" t="s">
        <v>724</v>
      </c>
      <c r="F377" s="16">
        <v>0.4</v>
      </c>
      <c r="G377" s="16">
        <v>0.4</v>
      </c>
      <c r="H377" s="16">
        <v>0.4</v>
      </c>
      <c r="I377" t="s">
        <v>125</v>
      </c>
      <c r="J377">
        <v>1</v>
      </c>
      <c r="K377" t="s">
        <v>720</v>
      </c>
      <c r="L377" t="s">
        <v>385</v>
      </c>
      <c r="M377">
        <v>0</v>
      </c>
      <c r="N377" s="3" t="s">
        <v>257</v>
      </c>
      <c r="O377" s="3"/>
    </row>
    <row r="378" spans="1:15" ht="27.6">
      <c r="A378" t="s">
        <v>1102</v>
      </c>
      <c r="B378" t="s">
        <v>452</v>
      </c>
      <c r="C378">
        <v>307277</v>
      </c>
      <c r="D378" s="16">
        <v>307.27699999999999</v>
      </c>
      <c r="E378" t="s">
        <v>727</v>
      </c>
      <c r="F378" s="16">
        <v>1</v>
      </c>
      <c r="G378" s="16">
        <v>1</v>
      </c>
      <c r="H378" s="16">
        <v>1</v>
      </c>
      <c r="I378" t="s">
        <v>728</v>
      </c>
      <c r="J378">
        <v>1</v>
      </c>
      <c r="K378" t="s">
        <v>720</v>
      </c>
      <c r="L378" t="s">
        <v>385</v>
      </c>
      <c r="M378">
        <v>0</v>
      </c>
      <c r="N378" s="3" t="s">
        <v>257</v>
      </c>
      <c r="O378" s="3"/>
    </row>
    <row r="379" spans="1:15" ht="27.6">
      <c r="A379" t="s">
        <v>1103</v>
      </c>
      <c r="B379" t="s">
        <v>452</v>
      </c>
      <c r="C379">
        <v>307277</v>
      </c>
      <c r="D379" s="16">
        <v>307.27699999999999</v>
      </c>
      <c r="E379" t="s">
        <v>730</v>
      </c>
      <c r="F379" s="16">
        <v>0</v>
      </c>
      <c r="G379" s="16">
        <v>0</v>
      </c>
      <c r="H379" s="16">
        <v>0</v>
      </c>
      <c r="I379" t="s">
        <v>107</v>
      </c>
      <c r="J379">
        <v>1</v>
      </c>
      <c r="K379" t="s">
        <v>720</v>
      </c>
      <c r="L379" t="s">
        <v>385</v>
      </c>
      <c r="M379">
        <v>0</v>
      </c>
      <c r="N379" s="3" t="s">
        <v>257</v>
      </c>
      <c r="O379" s="3"/>
    </row>
    <row r="380" spans="1:15" ht="27.6">
      <c r="A380" t="s">
        <v>1104</v>
      </c>
      <c r="B380" t="s">
        <v>453</v>
      </c>
      <c r="C380">
        <v>312296</v>
      </c>
      <c r="D380" s="16">
        <v>312.29599999999999</v>
      </c>
      <c r="E380" t="s">
        <v>719</v>
      </c>
      <c r="F380" s="16">
        <v>27.3</v>
      </c>
      <c r="G380" s="16">
        <v>27.3</v>
      </c>
      <c r="H380" s="16">
        <v>27.3</v>
      </c>
      <c r="I380" t="s">
        <v>98</v>
      </c>
      <c r="J380">
        <v>1</v>
      </c>
      <c r="K380" t="s">
        <v>720</v>
      </c>
      <c r="L380" t="s">
        <v>385</v>
      </c>
      <c r="M380">
        <v>0</v>
      </c>
      <c r="N380" s="3" t="s">
        <v>257</v>
      </c>
      <c r="O380" s="3"/>
    </row>
    <row r="381" spans="1:15" ht="27.6">
      <c r="A381" t="s">
        <v>1105</v>
      </c>
      <c r="B381" t="s">
        <v>453</v>
      </c>
      <c r="C381">
        <v>312296</v>
      </c>
      <c r="D381" s="16">
        <v>312.29599999999999</v>
      </c>
      <c r="E381" t="s">
        <v>722</v>
      </c>
      <c r="F381" s="16">
        <v>81.3</v>
      </c>
      <c r="G381" s="16">
        <v>81.3</v>
      </c>
      <c r="H381" s="16">
        <v>81.3</v>
      </c>
      <c r="I381" t="s">
        <v>140</v>
      </c>
      <c r="J381">
        <v>1</v>
      </c>
      <c r="K381" t="s">
        <v>720</v>
      </c>
      <c r="L381" t="s">
        <v>385</v>
      </c>
      <c r="M381">
        <v>0</v>
      </c>
      <c r="N381" s="3" t="s">
        <v>257</v>
      </c>
      <c r="O381" s="3"/>
    </row>
    <row r="382" spans="1:15" ht="27.6">
      <c r="A382" t="s">
        <v>1106</v>
      </c>
      <c r="B382" t="s">
        <v>453</v>
      </c>
      <c r="C382">
        <v>312296</v>
      </c>
      <c r="D382" s="16">
        <v>312.29599999999999</v>
      </c>
      <c r="E382" t="s">
        <v>724</v>
      </c>
      <c r="F382" s="16">
        <v>0.8</v>
      </c>
      <c r="G382" s="16">
        <v>0.8</v>
      </c>
      <c r="H382" s="16">
        <v>0.8</v>
      </c>
      <c r="I382" t="s">
        <v>125</v>
      </c>
      <c r="J382">
        <v>1</v>
      </c>
      <c r="K382" t="s">
        <v>720</v>
      </c>
      <c r="L382" t="s">
        <v>385</v>
      </c>
      <c r="M382">
        <v>0</v>
      </c>
      <c r="N382" s="3" t="s">
        <v>257</v>
      </c>
      <c r="O382" s="3"/>
    </row>
    <row r="383" spans="1:15" ht="27.6">
      <c r="A383" t="s">
        <v>1107</v>
      </c>
      <c r="B383" t="s">
        <v>453</v>
      </c>
      <c r="C383">
        <v>312296</v>
      </c>
      <c r="D383" s="16">
        <v>312.29599999999999</v>
      </c>
      <c r="E383" t="s">
        <v>727</v>
      </c>
      <c r="F383" s="16">
        <v>1</v>
      </c>
      <c r="G383" s="16">
        <v>1</v>
      </c>
      <c r="H383" s="16">
        <v>1</v>
      </c>
      <c r="I383" t="s">
        <v>728</v>
      </c>
      <c r="J383">
        <v>1</v>
      </c>
      <c r="K383" t="s">
        <v>720</v>
      </c>
      <c r="L383" t="s">
        <v>385</v>
      </c>
      <c r="M383">
        <v>0</v>
      </c>
      <c r="N383" s="3" t="s">
        <v>257</v>
      </c>
      <c r="O383" s="3"/>
    </row>
    <row r="384" spans="1:15" ht="27.6">
      <c r="A384" t="s">
        <v>1108</v>
      </c>
      <c r="B384" t="s">
        <v>453</v>
      </c>
      <c r="C384">
        <v>312296</v>
      </c>
      <c r="D384" s="16">
        <v>312.29599999999999</v>
      </c>
      <c r="E384" t="s">
        <v>730</v>
      </c>
      <c r="F384" s="16">
        <v>0</v>
      </c>
      <c r="G384" s="16">
        <v>0</v>
      </c>
      <c r="H384" s="16">
        <v>0</v>
      </c>
      <c r="I384" t="s">
        <v>107</v>
      </c>
      <c r="J384">
        <v>1</v>
      </c>
      <c r="K384" t="s">
        <v>720</v>
      </c>
      <c r="L384" t="s">
        <v>385</v>
      </c>
      <c r="M384">
        <v>0</v>
      </c>
      <c r="N384" s="3" t="s">
        <v>257</v>
      </c>
      <c r="O384" s="3"/>
    </row>
    <row r="385" spans="1:15">
      <c r="A385" t="s">
        <v>1109</v>
      </c>
      <c r="B385" t="s">
        <v>454</v>
      </c>
      <c r="C385">
        <v>317316</v>
      </c>
      <c r="D385" s="16">
        <v>317.31599999999997</v>
      </c>
      <c r="E385" t="s">
        <v>719</v>
      </c>
      <c r="F385" s="16">
        <v>27.3</v>
      </c>
      <c r="G385" s="16">
        <v>27.3</v>
      </c>
      <c r="H385" s="16">
        <v>27.3</v>
      </c>
      <c r="I385" t="s">
        <v>98</v>
      </c>
      <c r="J385">
        <v>1</v>
      </c>
      <c r="K385" t="s">
        <v>720</v>
      </c>
      <c r="L385" t="s">
        <v>385</v>
      </c>
      <c r="M385">
        <v>0</v>
      </c>
      <c r="N385" s="3" t="s">
        <v>238</v>
      </c>
      <c r="O385" s="3"/>
    </row>
    <row r="386" spans="1:15">
      <c r="A386" t="s">
        <v>1110</v>
      </c>
      <c r="B386" t="s">
        <v>454</v>
      </c>
      <c r="C386">
        <v>317316</v>
      </c>
      <c r="D386" s="16">
        <v>317.31599999999997</v>
      </c>
      <c r="E386" t="s">
        <v>722</v>
      </c>
      <c r="F386" s="16">
        <v>81.3</v>
      </c>
      <c r="G386" s="16">
        <v>81.3</v>
      </c>
      <c r="H386" s="16">
        <v>81.3</v>
      </c>
      <c r="I386" t="s">
        <v>140</v>
      </c>
      <c r="J386">
        <v>1</v>
      </c>
      <c r="K386" t="s">
        <v>720</v>
      </c>
      <c r="L386" t="s">
        <v>385</v>
      </c>
      <c r="M386">
        <v>0</v>
      </c>
      <c r="N386" s="3" t="s">
        <v>238</v>
      </c>
      <c r="O386" s="3"/>
    </row>
    <row r="387" spans="1:15">
      <c r="A387" t="s">
        <v>1111</v>
      </c>
      <c r="B387" t="s">
        <v>454</v>
      </c>
      <c r="C387">
        <v>317316</v>
      </c>
      <c r="D387" s="16">
        <v>317.31599999999997</v>
      </c>
      <c r="E387" t="s">
        <v>724</v>
      </c>
      <c r="F387" s="16">
        <v>-3</v>
      </c>
      <c r="G387" s="16">
        <v>3</v>
      </c>
      <c r="H387" s="16">
        <v>3</v>
      </c>
      <c r="I387" t="s">
        <v>125</v>
      </c>
      <c r="J387">
        <v>1</v>
      </c>
      <c r="K387" t="s">
        <v>725</v>
      </c>
      <c r="L387" t="s">
        <v>385</v>
      </c>
      <c r="M387">
        <v>0</v>
      </c>
      <c r="N387" s="3" t="s">
        <v>238</v>
      </c>
      <c r="O387" s="3"/>
    </row>
    <row r="388" spans="1:15">
      <c r="A388" t="s">
        <v>1112</v>
      </c>
      <c r="B388" t="s">
        <v>454</v>
      </c>
      <c r="C388">
        <v>317316</v>
      </c>
      <c r="D388" s="16">
        <v>317.31599999999997</v>
      </c>
      <c r="E388" t="s">
        <v>727</v>
      </c>
      <c r="F388" s="16">
        <v>1</v>
      </c>
      <c r="G388" s="16">
        <v>1</v>
      </c>
      <c r="H388" s="16">
        <v>1</v>
      </c>
      <c r="I388" t="s">
        <v>728</v>
      </c>
      <c r="J388">
        <v>1</v>
      </c>
      <c r="K388" t="s">
        <v>720</v>
      </c>
      <c r="L388" t="s">
        <v>385</v>
      </c>
      <c r="M388">
        <v>0</v>
      </c>
      <c r="N388" s="3" t="s">
        <v>238</v>
      </c>
      <c r="O388" s="3"/>
    </row>
    <row r="389" spans="1:15">
      <c r="A389" t="s">
        <v>1113</v>
      </c>
      <c r="B389" t="s">
        <v>454</v>
      </c>
      <c r="C389">
        <v>317316</v>
      </c>
      <c r="D389" s="16">
        <v>317.31599999999997</v>
      </c>
      <c r="E389" t="s">
        <v>730</v>
      </c>
      <c r="F389" s="16">
        <v>0</v>
      </c>
      <c r="G389" s="16">
        <v>0</v>
      </c>
      <c r="H389" s="16">
        <v>0</v>
      </c>
      <c r="I389" t="s">
        <v>107</v>
      </c>
      <c r="J389">
        <v>1</v>
      </c>
      <c r="K389" t="s">
        <v>720</v>
      </c>
      <c r="L389" t="s">
        <v>385</v>
      </c>
      <c r="M389">
        <v>0</v>
      </c>
      <c r="N389" s="3" t="s">
        <v>238</v>
      </c>
      <c r="O389" s="3"/>
    </row>
    <row r="390" spans="1:15">
      <c r="A390" t="s">
        <v>1114</v>
      </c>
      <c r="B390" t="s">
        <v>455</v>
      </c>
      <c r="C390">
        <v>322333</v>
      </c>
      <c r="D390" s="16">
        <v>322.33300000000003</v>
      </c>
      <c r="E390" t="s">
        <v>719</v>
      </c>
      <c r="F390" s="16">
        <v>27.3</v>
      </c>
      <c r="G390" s="16">
        <v>27.3</v>
      </c>
      <c r="H390" s="16">
        <v>27.3</v>
      </c>
      <c r="I390" t="s">
        <v>98</v>
      </c>
      <c r="J390">
        <v>1</v>
      </c>
      <c r="K390" t="s">
        <v>720</v>
      </c>
      <c r="L390" t="s">
        <v>385</v>
      </c>
      <c r="M390">
        <v>0</v>
      </c>
      <c r="N390" s="3" t="s">
        <v>238</v>
      </c>
      <c r="O390" s="3"/>
    </row>
    <row r="391" spans="1:15">
      <c r="A391" t="s">
        <v>1115</v>
      </c>
      <c r="B391" t="s">
        <v>455</v>
      </c>
      <c r="C391">
        <v>322333</v>
      </c>
      <c r="D391" s="16">
        <v>322.33300000000003</v>
      </c>
      <c r="E391" t="s">
        <v>722</v>
      </c>
      <c r="F391" s="16">
        <v>81.3</v>
      </c>
      <c r="G391" s="16">
        <v>81.3</v>
      </c>
      <c r="H391" s="16">
        <v>81.3</v>
      </c>
      <c r="I391" t="s">
        <v>140</v>
      </c>
      <c r="J391">
        <v>1</v>
      </c>
      <c r="K391" t="s">
        <v>720</v>
      </c>
      <c r="L391" t="s">
        <v>385</v>
      </c>
      <c r="M391">
        <v>0</v>
      </c>
      <c r="N391" s="3" t="s">
        <v>238</v>
      </c>
      <c r="O391" s="3"/>
    </row>
    <row r="392" spans="1:15">
      <c r="A392" t="s">
        <v>1116</v>
      </c>
      <c r="B392" t="s">
        <v>455</v>
      </c>
      <c r="C392">
        <v>322333</v>
      </c>
      <c r="D392" s="16">
        <v>322.33300000000003</v>
      </c>
      <c r="E392" t="s">
        <v>724</v>
      </c>
      <c r="F392" s="16">
        <v>-0.9</v>
      </c>
      <c r="G392" s="16">
        <v>0.9</v>
      </c>
      <c r="H392" s="16">
        <v>0.9</v>
      </c>
      <c r="I392" t="s">
        <v>125</v>
      </c>
      <c r="J392">
        <v>1</v>
      </c>
      <c r="K392" t="s">
        <v>725</v>
      </c>
      <c r="L392" t="s">
        <v>385</v>
      </c>
      <c r="M392">
        <v>0</v>
      </c>
      <c r="N392" s="3" t="s">
        <v>238</v>
      </c>
      <c r="O392" s="3"/>
    </row>
    <row r="393" spans="1:15">
      <c r="A393" t="s">
        <v>1117</v>
      </c>
      <c r="B393" t="s">
        <v>455</v>
      </c>
      <c r="C393">
        <v>322333</v>
      </c>
      <c r="D393" s="16">
        <v>322.33300000000003</v>
      </c>
      <c r="E393" t="s">
        <v>727</v>
      </c>
      <c r="F393" s="16">
        <v>1</v>
      </c>
      <c r="G393" s="16">
        <v>1</v>
      </c>
      <c r="H393" s="16">
        <v>1</v>
      </c>
      <c r="I393" t="s">
        <v>728</v>
      </c>
      <c r="J393">
        <v>1</v>
      </c>
      <c r="K393" t="s">
        <v>720</v>
      </c>
      <c r="L393" t="s">
        <v>385</v>
      </c>
      <c r="M393">
        <v>0</v>
      </c>
      <c r="N393" s="3" t="s">
        <v>238</v>
      </c>
      <c r="O393" s="3"/>
    </row>
    <row r="394" spans="1:15">
      <c r="A394" t="s">
        <v>1118</v>
      </c>
      <c r="B394" t="s">
        <v>455</v>
      </c>
      <c r="C394">
        <v>322333</v>
      </c>
      <c r="D394" s="16">
        <v>322.33300000000003</v>
      </c>
      <c r="E394" t="s">
        <v>730</v>
      </c>
      <c r="F394" s="16">
        <v>0</v>
      </c>
      <c r="G394" s="16">
        <v>0</v>
      </c>
      <c r="H394" s="16">
        <v>0</v>
      </c>
      <c r="I394" t="s">
        <v>107</v>
      </c>
      <c r="J394">
        <v>1</v>
      </c>
      <c r="K394" t="s">
        <v>720</v>
      </c>
      <c r="L394" t="s">
        <v>385</v>
      </c>
      <c r="M394">
        <v>0</v>
      </c>
      <c r="N394" s="3" t="s">
        <v>238</v>
      </c>
      <c r="O394" s="3"/>
    </row>
    <row r="395" spans="1:15">
      <c r="A395" t="s">
        <v>1119</v>
      </c>
      <c r="B395" t="s">
        <v>456</v>
      </c>
      <c r="C395">
        <v>327353</v>
      </c>
      <c r="D395" s="16">
        <v>327.35300000000001</v>
      </c>
      <c r="E395" t="s">
        <v>719</v>
      </c>
      <c r="F395" s="16">
        <v>27.3</v>
      </c>
      <c r="G395" s="16">
        <v>27.3</v>
      </c>
      <c r="H395" s="16">
        <v>27.3</v>
      </c>
      <c r="I395" t="s">
        <v>98</v>
      </c>
      <c r="J395">
        <v>1</v>
      </c>
      <c r="K395" t="s">
        <v>720</v>
      </c>
      <c r="L395" t="s">
        <v>385</v>
      </c>
      <c r="M395">
        <v>0</v>
      </c>
      <c r="N395" s="3" t="s">
        <v>238</v>
      </c>
      <c r="O395" s="3"/>
    </row>
    <row r="396" spans="1:15">
      <c r="A396" t="s">
        <v>1120</v>
      </c>
      <c r="B396" t="s">
        <v>456</v>
      </c>
      <c r="C396">
        <v>327353</v>
      </c>
      <c r="D396" s="16">
        <v>327.35300000000001</v>
      </c>
      <c r="E396" t="s">
        <v>722</v>
      </c>
      <c r="F396" s="16">
        <v>81.3</v>
      </c>
      <c r="G396" s="16">
        <v>81.3</v>
      </c>
      <c r="H396" s="16">
        <v>81.3</v>
      </c>
      <c r="I396" t="s">
        <v>140</v>
      </c>
      <c r="J396">
        <v>1</v>
      </c>
      <c r="K396" t="s">
        <v>720</v>
      </c>
      <c r="L396" t="s">
        <v>385</v>
      </c>
      <c r="M396">
        <v>0</v>
      </c>
      <c r="N396" s="3" t="s">
        <v>238</v>
      </c>
      <c r="O396" s="3"/>
    </row>
    <row r="397" spans="1:15">
      <c r="A397" t="s">
        <v>1121</v>
      </c>
      <c r="B397" t="s">
        <v>456</v>
      </c>
      <c r="C397">
        <v>327353</v>
      </c>
      <c r="D397" s="16">
        <v>327.35300000000001</v>
      </c>
      <c r="E397" t="s">
        <v>724</v>
      </c>
      <c r="F397" s="16">
        <v>-0.3</v>
      </c>
      <c r="G397" s="16">
        <v>0.3</v>
      </c>
      <c r="H397" s="16">
        <v>0.3</v>
      </c>
      <c r="I397" t="s">
        <v>125</v>
      </c>
      <c r="J397">
        <v>1</v>
      </c>
      <c r="K397" t="s">
        <v>725</v>
      </c>
      <c r="L397" t="s">
        <v>385</v>
      </c>
      <c r="M397">
        <v>0</v>
      </c>
      <c r="N397" s="3" t="s">
        <v>238</v>
      </c>
      <c r="O397" s="3"/>
    </row>
    <row r="398" spans="1:15">
      <c r="A398" t="s">
        <v>1122</v>
      </c>
      <c r="B398" t="s">
        <v>456</v>
      </c>
      <c r="C398">
        <v>327353</v>
      </c>
      <c r="D398" s="16">
        <v>327.35300000000001</v>
      </c>
      <c r="E398" t="s">
        <v>727</v>
      </c>
      <c r="F398" s="16">
        <v>1</v>
      </c>
      <c r="G398" s="16">
        <v>1</v>
      </c>
      <c r="H398" s="16">
        <v>1</v>
      </c>
      <c r="I398" t="s">
        <v>728</v>
      </c>
      <c r="J398">
        <v>1</v>
      </c>
      <c r="K398" t="s">
        <v>720</v>
      </c>
      <c r="L398" t="s">
        <v>385</v>
      </c>
      <c r="M398">
        <v>0</v>
      </c>
      <c r="N398" s="3" t="s">
        <v>238</v>
      </c>
      <c r="O398" s="3"/>
    </row>
    <row r="399" spans="1:15">
      <c r="A399" t="s">
        <v>1123</v>
      </c>
      <c r="B399" t="s">
        <v>456</v>
      </c>
      <c r="C399">
        <v>327353</v>
      </c>
      <c r="D399" s="16">
        <v>327.35300000000001</v>
      </c>
      <c r="E399" t="s">
        <v>730</v>
      </c>
      <c r="F399" s="16">
        <v>0</v>
      </c>
      <c r="G399" s="16">
        <v>0</v>
      </c>
      <c r="H399" s="16">
        <v>0</v>
      </c>
      <c r="I399" t="s">
        <v>107</v>
      </c>
      <c r="J399">
        <v>1</v>
      </c>
      <c r="K399" t="s">
        <v>720</v>
      </c>
      <c r="L399" t="s">
        <v>385</v>
      </c>
      <c r="M399">
        <v>0</v>
      </c>
      <c r="N399" s="3" t="s">
        <v>238</v>
      </c>
      <c r="O399" s="3"/>
    </row>
    <row r="400" spans="1:15">
      <c r="A400" t="s">
        <v>1124</v>
      </c>
      <c r="B400" t="s">
        <v>457</v>
      </c>
      <c r="C400">
        <v>332371</v>
      </c>
      <c r="D400" s="16">
        <v>332.37099999999998</v>
      </c>
      <c r="E400" t="s">
        <v>719</v>
      </c>
      <c r="F400" s="16">
        <v>27.3</v>
      </c>
      <c r="G400" s="16">
        <v>27.3</v>
      </c>
      <c r="H400" s="16">
        <v>27.3</v>
      </c>
      <c r="I400" t="s">
        <v>98</v>
      </c>
      <c r="J400">
        <v>1</v>
      </c>
      <c r="K400" t="s">
        <v>720</v>
      </c>
      <c r="L400" t="s">
        <v>385</v>
      </c>
      <c r="M400">
        <v>0</v>
      </c>
      <c r="N400" s="3" t="s">
        <v>238</v>
      </c>
      <c r="O400" s="3"/>
    </row>
    <row r="401" spans="1:15">
      <c r="A401" t="s">
        <v>1125</v>
      </c>
      <c r="B401" t="s">
        <v>457</v>
      </c>
      <c r="C401">
        <v>332371</v>
      </c>
      <c r="D401" s="16">
        <v>332.37099999999998</v>
      </c>
      <c r="E401" t="s">
        <v>722</v>
      </c>
      <c r="F401" s="16">
        <v>81.3</v>
      </c>
      <c r="G401" s="16">
        <v>81.3</v>
      </c>
      <c r="H401" s="16">
        <v>81.3</v>
      </c>
      <c r="I401" t="s">
        <v>140</v>
      </c>
      <c r="J401">
        <v>1</v>
      </c>
      <c r="K401" t="s">
        <v>720</v>
      </c>
      <c r="L401" t="s">
        <v>385</v>
      </c>
      <c r="M401">
        <v>0</v>
      </c>
      <c r="N401" s="3" t="s">
        <v>238</v>
      </c>
      <c r="O401" s="3"/>
    </row>
    <row r="402" spans="1:15">
      <c r="A402" t="s">
        <v>1126</v>
      </c>
      <c r="B402" t="s">
        <v>457</v>
      </c>
      <c r="C402">
        <v>332371</v>
      </c>
      <c r="D402" s="16">
        <v>332.37099999999998</v>
      </c>
      <c r="E402" t="s">
        <v>724</v>
      </c>
      <c r="F402" s="16">
        <v>-0.1</v>
      </c>
      <c r="G402" s="16">
        <v>0.1</v>
      </c>
      <c r="H402" s="16">
        <v>0.1</v>
      </c>
      <c r="I402" t="s">
        <v>125</v>
      </c>
      <c r="J402">
        <v>1</v>
      </c>
      <c r="K402" t="s">
        <v>725</v>
      </c>
      <c r="L402" t="s">
        <v>385</v>
      </c>
      <c r="M402">
        <v>0</v>
      </c>
      <c r="N402" s="3" t="s">
        <v>238</v>
      </c>
      <c r="O402" s="3"/>
    </row>
    <row r="403" spans="1:15">
      <c r="A403" t="s">
        <v>1127</v>
      </c>
      <c r="B403" t="s">
        <v>457</v>
      </c>
      <c r="C403">
        <v>332371</v>
      </c>
      <c r="D403" s="16">
        <v>332.37099999999998</v>
      </c>
      <c r="E403" t="s">
        <v>727</v>
      </c>
      <c r="F403" s="16">
        <v>1</v>
      </c>
      <c r="G403" s="16">
        <v>1</v>
      </c>
      <c r="H403" s="16">
        <v>1</v>
      </c>
      <c r="I403" t="s">
        <v>728</v>
      </c>
      <c r="J403">
        <v>1</v>
      </c>
      <c r="K403" t="s">
        <v>720</v>
      </c>
      <c r="L403" t="s">
        <v>385</v>
      </c>
      <c r="M403">
        <v>0</v>
      </c>
      <c r="N403" s="3" t="s">
        <v>238</v>
      </c>
      <c r="O403" s="3"/>
    </row>
    <row r="404" spans="1:15">
      <c r="A404" t="s">
        <v>1128</v>
      </c>
      <c r="B404" t="s">
        <v>457</v>
      </c>
      <c r="C404">
        <v>332371</v>
      </c>
      <c r="D404" s="16">
        <v>332.37099999999998</v>
      </c>
      <c r="E404" t="s">
        <v>730</v>
      </c>
      <c r="F404" s="16">
        <v>0</v>
      </c>
      <c r="G404" s="16">
        <v>0</v>
      </c>
      <c r="H404" s="16">
        <v>0</v>
      </c>
      <c r="I404" t="s">
        <v>107</v>
      </c>
      <c r="J404">
        <v>1</v>
      </c>
      <c r="K404" t="s">
        <v>720</v>
      </c>
      <c r="L404" t="s">
        <v>385</v>
      </c>
      <c r="M404">
        <v>0</v>
      </c>
      <c r="N404" s="3" t="s">
        <v>238</v>
      </c>
      <c r="O404" s="3"/>
    </row>
    <row r="405" spans="1:15" ht="27.6">
      <c r="A405" t="s">
        <v>1129</v>
      </c>
      <c r="B405" t="s">
        <v>458</v>
      </c>
      <c r="C405">
        <v>337389</v>
      </c>
      <c r="D405" s="16">
        <v>337.38900000000001</v>
      </c>
      <c r="E405" t="s">
        <v>719</v>
      </c>
      <c r="F405" s="16">
        <v>27.3</v>
      </c>
      <c r="G405" s="16">
        <v>27.3</v>
      </c>
      <c r="H405" s="16">
        <v>27.3</v>
      </c>
      <c r="I405" t="s">
        <v>98</v>
      </c>
      <c r="J405">
        <v>1</v>
      </c>
      <c r="K405" t="s">
        <v>720</v>
      </c>
      <c r="L405" t="s">
        <v>385</v>
      </c>
      <c r="M405">
        <v>1</v>
      </c>
      <c r="N405" s="3" t="s">
        <v>238</v>
      </c>
      <c r="O405" s="3" t="s">
        <v>433</v>
      </c>
    </row>
    <row r="406" spans="1:15" ht="27.6">
      <c r="A406" t="s">
        <v>1130</v>
      </c>
      <c r="B406" t="s">
        <v>458</v>
      </c>
      <c r="C406">
        <v>337389</v>
      </c>
      <c r="D406" s="16">
        <v>337.38900000000001</v>
      </c>
      <c r="E406" t="s">
        <v>722</v>
      </c>
      <c r="F406" s="16">
        <v>81.5</v>
      </c>
      <c r="G406" s="16">
        <v>81.5</v>
      </c>
      <c r="H406" s="16">
        <v>81.5</v>
      </c>
      <c r="I406" t="s">
        <v>140</v>
      </c>
      <c r="J406">
        <v>1</v>
      </c>
      <c r="K406" t="s">
        <v>720</v>
      </c>
      <c r="L406" t="s">
        <v>385</v>
      </c>
      <c r="M406">
        <v>1</v>
      </c>
      <c r="N406" s="3" t="s">
        <v>238</v>
      </c>
      <c r="O406" s="3" t="s">
        <v>433</v>
      </c>
    </row>
    <row r="407" spans="1:15" ht="27.6">
      <c r="A407" t="s">
        <v>1131</v>
      </c>
      <c r="B407" t="s">
        <v>458</v>
      </c>
      <c r="C407">
        <v>337389</v>
      </c>
      <c r="D407" s="16">
        <v>337.38900000000001</v>
      </c>
      <c r="E407" t="s">
        <v>724</v>
      </c>
      <c r="F407" s="16">
        <v>-1</v>
      </c>
      <c r="G407" s="16">
        <v>1</v>
      </c>
      <c r="H407" s="16">
        <v>1</v>
      </c>
      <c r="I407" t="s">
        <v>125</v>
      </c>
      <c r="J407">
        <v>1</v>
      </c>
      <c r="K407" t="s">
        <v>725</v>
      </c>
      <c r="L407" t="s">
        <v>385</v>
      </c>
      <c r="M407">
        <v>1</v>
      </c>
      <c r="N407" s="3" t="s">
        <v>238</v>
      </c>
      <c r="O407" s="3" t="s">
        <v>433</v>
      </c>
    </row>
    <row r="408" spans="1:15" ht="27.6">
      <c r="A408" t="s">
        <v>1132</v>
      </c>
      <c r="B408" t="s">
        <v>458</v>
      </c>
      <c r="C408">
        <v>337389</v>
      </c>
      <c r="D408" s="16">
        <v>337.38900000000001</v>
      </c>
      <c r="E408" t="s">
        <v>727</v>
      </c>
      <c r="F408" s="16">
        <v>1</v>
      </c>
      <c r="G408" s="16">
        <v>1</v>
      </c>
      <c r="H408" s="16">
        <v>1</v>
      </c>
      <c r="I408" t="s">
        <v>728</v>
      </c>
      <c r="J408">
        <v>1</v>
      </c>
      <c r="K408" t="s">
        <v>720</v>
      </c>
      <c r="L408" t="s">
        <v>385</v>
      </c>
      <c r="M408">
        <v>1</v>
      </c>
      <c r="N408" s="3" t="s">
        <v>238</v>
      </c>
      <c r="O408" s="3" t="s">
        <v>433</v>
      </c>
    </row>
    <row r="409" spans="1:15" ht="27.6">
      <c r="A409" t="s">
        <v>1133</v>
      </c>
      <c r="B409" t="s">
        <v>458</v>
      </c>
      <c r="C409">
        <v>337389</v>
      </c>
      <c r="D409" s="16">
        <v>337.38900000000001</v>
      </c>
      <c r="E409" t="s">
        <v>730</v>
      </c>
      <c r="F409" s="16">
        <v>0</v>
      </c>
      <c r="G409" s="16">
        <v>0</v>
      </c>
      <c r="H409" s="16">
        <v>0</v>
      </c>
      <c r="I409" t="s">
        <v>107</v>
      </c>
      <c r="J409">
        <v>1</v>
      </c>
      <c r="K409" t="s">
        <v>720</v>
      </c>
      <c r="L409" t="s">
        <v>385</v>
      </c>
      <c r="M409">
        <v>1</v>
      </c>
      <c r="N409" s="3" t="s">
        <v>238</v>
      </c>
      <c r="O409" s="3" t="s">
        <v>433</v>
      </c>
    </row>
    <row r="410" spans="1:15" ht="27.6">
      <c r="A410" t="s">
        <v>1134</v>
      </c>
      <c r="B410" t="s">
        <v>461</v>
      </c>
      <c r="C410">
        <v>348723</v>
      </c>
      <c r="D410" s="16">
        <v>348.72300000000001</v>
      </c>
      <c r="E410" t="s">
        <v>719</v>
      </c>
      <c r="F410" s="16">
        <v>27.3</v>
      </c>
      <c r="G410" s="16">
        <v>27.3</v>
      </c>
      <c r="H410" s="16">
        <v>27.3</v>
      </c>
      <c r="I410" t="s">
        <v>98</v>
      </c>
      <c r="J410">
        <v>1</v>
      </c>
      <c r="K410" t="s">
        <v>720</v>
      </c>
      <c r="L410" t="s">
        <v>385</v>
      </c>
      <c r="M410">
        <v>1</v>
      </c>
      <c r="N410" s="3" t="s">
        <v>257</v>
      </c>
      <c r="O410" s="3"/>
    </row>
    <row r="411" spans="1:15" ht="27.6">
      <c r="A411" t="s">
        <v>1135</v>
      </c>
      <c r="B411" t="s">
        <v>461</v>
      </c>
      <c r="C411">
        <v>348723</v>
      </c>
      <c r="D411" s="16">
        <v>348.72300000000001</v>
      </c>
      <c r="E411" t="s">
        <v>722</v>
      </c>
      <c r="F411" s="16">
        <v>81.5</v>
      </c>
      <c r="G411" s="16">
        <v>81.5</v>
      </c>
      <c r="H411" s="16">
        <v>81.5</v>
      </c>
      <c r="I411" t="s">
        <v>140</v>
      </c>
      <c r="J411">
        <v>1</v>
      </c>
      <c r="K411" t="s">
        <v>720</v>
      </c>
      <c r="L411" t="s">
        <v>385</v>
      </c>
      <c r="M411">
        <v>1</v>
      </c>
      <c r="N411" s="3" t="s">
        <v>257</v>
      </c>
      <c r="O411" s="3"/>
    </row>
    <row r="412" spans="1:15" ht="27.6">
      <c r="A412" t="s">
        <v>1136</v>
      </c>
      <c r="B412" t="s">
        <v>461</v>
      </c>
      <c r="C412">
        <v>348723</v>
      </c>
      <c r="D412" s="16">
        <v>348.72300000000001</v>
      </c>
      <c r="E412" t="s">
        <v>724</v>
      </c>
      <c r="F412" s="16">
        <v>67.099999999999994</v>
      </c>
      <c r="G412" s="16">
        <v>67.099999999999994</v>
      </c>
      <c r="H412" s="16">
        <v>67.099999999999994</v>
      </c>
      <c r="I412" t="s">
        <v>125</v>
      </c>
      <c r="J412">
        <v>1</v>
      </c>
      <c r="K412" t="s">
        <v>720</v>
      </c>
      <c r="L412" t="s">
        <v>385</v>
      </c>
      <c r="M412">
        <v>1</v>
      </c>
      <c r="N412" s="3" t="s">
        <v>257</v>
      </c>
      <c r="O412" s="3"/>
    </row>
    <row r="413" spans="1:15" ht="27.6">
      <c r="A413" t="s">
        <v>1137</v>
      </c>
      <c r="B413" t="s">
        <v>461</v>
      </c>
      <c r="C413">
        <v>348723</v>
      </c>
      <c r="D413" s="16">
        <v>348.72300000000001</v>
      </c>
      <c r="E413" t="s">
        <v>727</v>
      </c>
      <c r="F413" s="16">
        <v>1</v>
      </c>
      <c r="G413" s="16">
        <v>1</v>
      </c>
      <c r="H413" s="16">
        <v>1</v>
      </c>
      <c r="I413" t="s">
        <v>728</v>
      </c>
      <c r="J413">
        <v>1</v>
      </c>
      <c r="K413" t="s">
        <v>720</v>
      </c>
      <c r="L413" t="s">
        <v>385</v>
      </c>
      <c r="M413">
        <v>1</v>
      </c>
      <c r="N413" s="3" t="s">
        <v>257</v>
      </c>
      <c r="O413" s="3"/>
    </row>
    <row r="414" spans="1:15" ht="27.6">
      <c r="A414" t="s">
        <v>1138</v>
      </c>
      <c r="B414" t="s">
        <v>461</v>
      </c>
      <c r="C414">
        <v>348723</v>
      </c>
      <c r="D414" s="16">
        <v>348.72300000000001</v>
      </c>
      <c r="E414" t="s">
        <v>730</v>
      </c>
      <c r="F414" s="16">
        <v>0</v>
      </c>
      <c r="G414" s="16">
        <v>0</v>
      </c>
      <c r="H414" s="16">
        <v>0</v>
      </c>
      <c r="I414" t="s">
        <v>107</v>
      </c>
      <c r="J414">
        <v>1</v>
      </c>
      <c r="K414" t="s">
        <v>720</v>
      </c>
      <c r="L414" t="s">
        <v>385</v>
      </c>
      <c r="M414">
        <v>1</v>
      </c>
      <c r="N414" s="3" t="s">
        <v>257</v>
      </c>
      <c r="O414" s="3"/>
    </row>
    <row r="415" spans="1:15">
      <c r="A415" t="s">
        <v>1139</v>
      </c>
      <c r="B415" t="s">
        <v>462</v>
      </c>
      <c r="C415">
        <v>353722</v>
      </c>
      <c r="D415" s="16">
        <v>353.72199999999998</v>
      </c>
      <c r="E415" t="s">
        <v>719</v>
      </c>
      <c r="F415" s="16">
        <v>27.2</v>
      </c>
      <c r="G415" s="16">
        <v>27.2</v>
      </c>
      <c r="H415" s="16">
        <v>27.2</v>
      </c>
      <c r="I415" t="s">
        <v>98</v>
      </c>
      <c r="J415">
        <v>1</v>
      </c>
      <c r="K415" t="s">
        <v>720</v>
      </c>
      <c r="L415" t="s">
        <v>385</v>
      </c>
      <c r="M415">
        <v>0</v>
      </c>
      <c r="N415" s="3" t="s">
        <v>238</v>
      </c>
      <c r="O415" s="3"/>
    </row>
    <row r="416" spans="1:15">
      <c r="A416" t="s">
        <v>1140</v>
      </c>
      <c r="B416" t="s">
        <v>462</v>
      </c>
      <c r="C416">
        <v>353722</v>
      </c>
      <c r="D416" s="16">
        <v>353.72199999999998</v>
      </c>
      <c r="E416" t="s">
        <v>722</v>
      </c>
      <c r="F416" s="16">
        <v>81.7</v>
      </c>
      <c r="G416" s="16">
        <v>81.7</v>
      </c>
      <c r="H416" s="16">
        <v>81.7</v>
      </c>
      <c r="I416" t="s">
        <v>140</v>
      </c>
      <c r="J416">
        <v>1</v>
      </c>
      <c r="K416" t="s">
        <v>720</v>
      </c>
      <c r="L416" t="s">
        <v>385</v>
      </c>
      <c r="M416">
        <v>0</v>
      </c>
      <c r="N416" s="3" t="s">
        <v>238</v>
      </c>
      <c r="O416" s="3"/>
    </row>
    <row r="417" spans="1:15">
      <c r="A417" t="s">
        <v>1141</v>
      </c>
      <c r="B417" t="s">
        <v>462</v>
      </c>
      <c r="C417">
        <v>353722</v>
      </c>
      <c r="D417" s="16">
        <v>353.72199999999998</v>
      </c>
      <c r="E417" t="s">
        <v>724</v>
      </c>
      <c r="F417" s="16">
        <v>-0.6</v>
      </c>
      <c r="G417" s="16">
        <v>0.6</v>
      </c>
      <c r="H417" s="16">
        <v>0.6</v>
      </c>
      <c r="I417" t="s">
        <v>125</v>
      </c>
      <c r="J417">
        <v>1</v>
      </c>
      <c r="K417" t="s">
        <v>725</v>
      </c>
      <c r="L417" t="s">
        <v>385</v>
      </c>
      <c r="M417">
        <v>0</v>
      </c>
      <c r="N417" s="3" t="s">
        <v>238</v>
      </c>
      <c r="O417" s="3"/>
    </row>
    <row r="418" spans="1:15">
      <c r="A418" t="s">
        <v>1142</v>
      </c>
      <c r="B418" t="s">
        <v>462</v>
      </c>
      <c r="C418">
        <v>353722</v>
      </c>
      <c r="D418" s="16">
        <v>353.72199999999998</v>
      </c>
      <c r="E418" t="s">
        <v>727</v>
      </c>
      <c r="F418" s="16">
        <v>1</v>
      </c>
      <c r="G418" s="16">
        <v>1</v>
      </c>
      <c r="H418" s="16">
        <v>1</v>
      </c>
      <c r="I418" t="s">
        <v>728</v>
      </c>
      <c r="J418">
        <v>1</v>
      </c>
      <c r="K418" t="s">
        <v>720</v>
      </c>
      <c r="L418" t="s">
        <v>385</v>
      </c>
      <c r="M418">
        <v>0</v>
      </c>
      <c r="N418" s="3" t="s">
        <v>238</v>
      </c>
      <c r="O418" s="3"/>
    </row>
    <row r="419" spans="1:15">
      <c r="A419" t="s">
        <v>1143</v>
      </c>
      <c r="B419" t="s">
        <v>462</v>
      </c>
      <c r="C419">
        <v>353722</v>
      </c>
      <c r="D419" s="16">
        <v>353.72199999999998</v>
      </c>
      <c r="E419" t="s">
        <v>730</v>
      </c>
      <c r="F419" s="16">
        <v>0</v>
      </c>
      <c r="G419" s="16">
        <v>0</v>
      </c>
      <c r="H419" s="16">
        <v>0</v>
      </c>
      <c r="I419" t="s">
        <v>107</v>
      </c>
      <c r="J419">
        <v>1</v>
      </c>
      <c r="K419" t="s">
        <v>720</v>
      </c>
      <c r="L419" t="s">
        <v>385</v>
      </c>
      <c r="M419">
        <v>0</v>
      </c>
      <c r="N419" s="3" t="s">
        <v>238</v>
      </c>
      <c r="O419" s="3"/>
    </row>
    <row r="420" spans="1:15">
      <c r="A420" t="s">
        <v>1144</v>
      </c>
      <c r="B420" t="s">
        <v>463</v>
      </c>
      <c r="C420">
        <v>358721</v>
      </c>
      <c r="D420" s="16">
        <v>358.721</v>
      </c>
      <c r="E420" t="s">
        <v>719</v>
      </c>
      <c r="F420" s="16">
        <v>27.3</v>
      </c>
      <c r="G420" s="16">
        <v>27.3</v>
      </c>
      <c r="H420" s="16">
        <v>27.3</v>
      </c>
      <c r="I420" t="s">
        <v>98</v>
      </c>
      <c r="J420">
        <v>1</v>
      </c>
      <c r="K420" t="s">
        <v>720</v>
      </c>
      <c r="L420" t="s">
        <v>385</v>
      </c>
      <c r="M420">
        <v>0</v>
      </c>
      <c r="N420" s="3" t="s">
        <v>238</v>
      </c>
      <c r="O420" s="3"/>
    </row>
    <row r="421" spans="1:15">
      <c r="A421" t="s">
        <v>1145</v>
      </c>
      <c r="B421" t="s">
        <v>463</v>
      </c>
      <c r="C421">
        <v>358721</v>
      </c>
      <c r="D421" s="16">
        <v>358.721</v>
      </c>
      <c r="E421" t="s">
        <v>722</v>
      </c>
      <c r="F421" s="16">
        <v>81.3</v>
      </c>
      <c r="G421" s="16">
        <v>81.3</v>
      </c>
      <c r="H421" s="16">
        <v>81.3</v>
      </c>
      <c r="I421" t="s">
        <v>140</v>
      </c>
      <c r="J421">
        <v>1</v>
      </c>
      <c r="K421" t="s">
        <v>720</v>
      </c>
      <c r="L421" t="s">
        <v>385</v>
      </c>
      <c r="M421">
        <v>0</v>
      </c>
      <c r="N421" s="3" t="s">
        <v>238</v>
      </c>
      <c r="O421" s="3"/>
    </row>
    <row r="422" spans="1:15">
      <c r="A422" t="s">
        <v>1146</v>
      </c>
      <c r="B422" t="s">
        <v>463</v>
      </c>
      <c r="C422">
        <v>358721</v>
      </c>
      <c r="D422" s="16">
        <v>358.721</v>
      </c>
      <c r="E422" t="s">
        <v>724</v>
      </c>
      <c r="F422" s="16">
        <v>-0.4</v>
      </c>
      <c r="G422" s="16">
        <v>0.4</v>
      </c>
      <c r="H422" s="16">
        <v>0.4</v>
      </c>
      <c r="I422" t="s">
        <v>125</v>
      </c>
      <c r="J422">
        <v>1</v>
      </c>
      <c r="K422" t="s">
        <v>725</v>
      </c>
      <c r="L422" t="s">
        <v>385</v>
      </c>
      <c r="M422">
        <v>0</v>
      </c>
      <c r="N422" s="3" t="s">
        <v>238</v>
      </c>
      <c r="O422" s="3"/>
    </row>
    <row r="423" spans="1:15">
      <c r="A423" t="s">
        <v>1147</v>
      </c>
      <c r="B423" t="s">
        <v>463</v>
      </c>
      <c r="C423">
        <v>358721</v>
      </c>
      <c r="D423" s="16">
        <v>358.721</v>
      </c>
      <c r="E423" t="s">
        <v>727</v>
      </c>
      <c r="F423" s="16">
        <v>1</v>
      </c>
      <c r="G423" s="16">
        <v>1</v>
      </c>
      <c r="H423" s="16">
        <v>1</v>
      </c>
      <c r="I423" t="s">
        <v>728</v>
      </c>
      <c r="J423">
        <v>1</v>
      </c>
      <c r="K423" t="s">
        <v>720</v>
      </c>
      <c r="L423" t="s">
        <v>385</v>
      </c>
      <c r="M423">
        <v>0</v>
      </c>
      <c r="N423" s="3" t="s">
        <v>238</v>
      </c>
      <c r="O423" s="3"/>
    </row>
    <row r="424" spans="1:15">
      <c r="A424" t="s">
        <v>1148</v>
      </c>
      <c r="B424" t="s">
        <v>463</v>
      </c>
      <c r="C424">
        <v>358721</v>
      </c>
      <c r="D424" s="16">
        <v>358.721</v>
      </c>
      <c r="E424" t="s">
        <v>730</v>
      </c>
      <c r="F424" s="16">
        <v>0</v>
      </c>
      <c r="G424" s="16">
        <v>0</v>
      </c>
      <c r="H424" s="16">
        <v>0</v>
      </c>
      <c r="I424" t="s">
        <v>107</v>
      </c>
      <c r="J424">
        <v>1</v>
      </c>
      <c r="K424" t="s">
        <v>720</v>
      </c>
      <c r="L424" t="s">
        <v>385</v>
      </c>
      <c r="M424">
        <v>0</v>
      </c>
      <c r="N424" s="3" t="s">
        <v>238</v>
      </c>
      <c r="O424" s="3"/>
    </row>
    <row r="425" spans="1:15">
      <c r="A425" t="s">
        <v>1149</v>
      </c>
      <c r="B425" t="s">
        <v>464</v>
      </c>
      <c r="C425">
        <v>363721</v>
      </c>
      <c r="D425" s="16">
        <v>363.721</v>
      </c>
      <c r="E425" t="s">
        <v>719</v>
      </c>
      <c r="F425" s="16">
        <v>27.3</v>
      </c>
      <c r="G425" s="16">
        <v>27.3</v>
      </c>
      <c r="H425" s="16">
        <v>27.3</v>
      </c>
      <c r="I425" t="s">
        <v>98</v>
      </c>
      <c r="J425">
        <v>1</v>
      </c>
      <c r="K425" t="s">
        <v>720</v>
      </c>
      <c r="L425" t="s">
        <v>385</v>
      </c>
      <c r="M425">
        <v>0</v>
      </c>
      <c r="N425" s="3" t="s">
        <v>238</v>
      </c>
      <c r="O425" s="3"/>
    </row>
    <row r="426" spans="1:15">
      <c r="A426" t="s">
        <v>1150</v>
      </c>
      <c r="B426" t="s">
        <v>464</v>
      </c>
      <c r="C426">
        <v>363721</v>
      </c>
      <c r="D426" s="16">
        <v>363.721</v>
      </c>
      <c r="E426" t="s">
        <v>722</v>
      </c>
      <c r="F426" s="16">
        <v>81.099999999999994</v>
      </c>
      <c r="G426" s="16">
        <v>81.099999999999994</v>
      </c>
      <c r="H426" s="16">
        <v>81.099999999999994</v>
      </c>
      <c r="I426" t="s">
        <v>140</v>
      </c>
      <c r="J426">
        <v>1</v>
      </c>
      <c r="K426" t="s">
        <v>720</v>
      </c>
      <c r="L426" t="s">
        <v>385</v>
      </c>
      <c r="M426">
        <v>0</v>
      </c>
      <c r="N426" s="3" t="s">
        <v>238</v>
      </c>
      <c r="O426" s="3"/>
    </row>
    <row r="427" spans="1:15">
      <c r="A427" t="s">
        <v>1151</v>
      </c>
      <c r="B427" t="s">
        <v>464</v>
      </c>
      <c r="C427">
        <v>363721</v>
      </c>
      <c r="D427" s="16">
        <v>363.721</v>
      </c>
      <c r="E427" t="s">
        <v>724</v>
      </c>
      <c r="F427" s="16">
        <v>-0.3</v>
      </c>
      <c r="G427" s="16">
        <v>0.3</v>
      </c>
      <c r="H427" s="16">
        <v>0.3</v>
      </c>
      <c r="I427" t="s">
        <v>125</v>
      </c>
      <c r="J427">
        <v>1</v>
      </c>
      <c r="K427" t="s">
        <v>725</v>
      </c>
      <c r="L427" t="s">
        <v>385</v>
      </c>
      <c r="M427">
        <v>0</v>
      </c>
      <c r="N427" s="3" t="s">
        <v>238</v>
      </c>
      <c r="O427" s="3"/>
    </row>
    <row r="428" spans="1:15">
      <c r="A428" t="s">
        <v>1152</v>
      </c>
      <c r="B428" t="s">
        <v>464</v>
      </c>
      <c r="C428">
        <v>363721</v>
      </c>
      <c r="D428" s="16">
        <v>363.721</v>
      </c>
      <c r="E428" t="s">
        <v>727</v>
      </c>
      <c r="F428" s="16">
        <v>1</v>
      </c>
      <c r="G428" s="16">
        <v>1</v>
      </c>
      <c r="H428" s="16">
        <v>1</v>
      </c>
      <c r="I428" t="s">
        <v>728</v>
      </c>
      <c r="J428">
        <v>1</v>
      </c>
      <c r="K428" t="s">
        <v>720</v>
      </c>
      <c r="L428" t="s">
        <v>385</v>
      </c>
      <c r="M428">
        <v>0</v>
      </c>
      <c r="N428" s="3" t="s">
        <v>238</v>
      </c>
      <c r="O428" s="3"/>
    </row>
    <row r="429" spans="1:15">
      <c r="A429" t="s">
        <v>1153</v>
      </c>
      <c r="B429" t="s">
        <v>464</v>
      </c>
      <c r="C429">
        <v>363721</v>
      </c>
      <c r="D429" s="16">
        <v>363.721</v>
      </c>
      <c r="E429" t="s">
        <v>730</v>
      </c>
      <c r="F429" s="16">
        <v>0</v>
      </c>
      <c r="G429" s="16">
        <v>0</v>
      </c>
      <c r="H429" s="16">
        <v>0</v>
      </c>
      <c r="I429" t="s">
        <v>107</v>
      </c>
      <c r="J429">
        <v>1</v>
      </c>
      <c r="K429" t="s">
        <v>720</v>
      </c>
      <c r="L429" t="s">
        <v>385</v>
      </c>
      <c r="M429">
        <v>0</v>
      </c>
      <c r="N429" s="3" t="s">
        <v>238</v>
      </c>
      <c r="O429" s="3"/>
    </row>
    <row r="430" spans="1:15">
      <c r="A430" t="s">
        <v>1154</v>
      </c>
      <c r="B430" t="s">
        <v>465</v>
      </c>
      <c r="C430">
        <v>368721</v>
      </c>
      <c r="D430" s="16">
        <v>368.721</v>
      </c>
      <c r="E430" t="s">
        <v>719</v>
      </c>
      <c r="F430" s="16">
        <v>27.3</v>
      </c>
      <c r="G430" s="16">
        <v>27.3</v>
      </c>
      <c r="H430" s="16">
        <v>27.3</v>
      </c>
      <c r="I430" t="s">
        <v>98</v>
      </c>
      <c r="J430">
        <v>1</v>
      </c>
      <c r="K430" t="s">
        <v>720</v>
      </c>
      <c r="L430" t="s">
        <v>385</v>
      </c>
      <c r="M430">
        <v>0</v>
      </c>
      <c r="N430" s="3" t="s">
        <v>238</v>
      </c>
      <c r="O430" s="3"/>
    </row>
    <row r="431" spans="1:15">
      <c r="A431" t="s">
        <v>1155</v>
      </c>
      <c r="B431" t="s">
        <v>465</v>
      </c>
      <c r="C431">
        <v>368721</v>
      </c>
      <c r="D431" s="16">
        <v>368.721</v>
      </c>
      <c r="E431" t="s">
        <v>722</v>
      </c>
      <c r="F431" s="16">
        <v>81</v>
      </c>
      <c r="G431" s="16">
        <v>81</v>
      </c>
      <c r="H431" s="16">
        <v>81</v>
      </c>
      <c r="I431" t="s">
        <v>140</v>
      </c>
      <c r="J431">
        <v>1</v>
      </c>
      <c r="K431" t="s">
        <v>720</v>
      </c>
      <c r="L431" t="s">
        <v>385</v>
      </c>
      <c r="M431">
        <v>0</v>
      </c>
      <c r="N431" s="3" t="s">
        <v>238</v>
      </c>
      <c r="O431" s="3"/>
    </row>
    <row r="432" spans="1:15">
      <c r="A432" t="s">
        <v>1156</v>
      </c>
      <c r="B432" t="s">
        <v>465</v>
      </c>
      <c r="C432">
        <v>368721</v>
      </c>
      <c r="D432" s="16">
        <v>368.721</v>
      </c>
      <c r="E432" t="s">
        <v>724</v>
      </c>
      <c r="F432" s="16">
        <v>-0.2</v>
      </c>
      <c r="G432" s="16">
        <v>0.2</v>
      </c>
      <c r="H432" s="16">
        <v>0.2</v>
      </c>
      <c r="I432" t="s">
        <v>125</v>
      </c>
      <c r="J432">
        <v>1</v>
      </c>
      <c r="K432" t="s">
        <v>725</v>
      </c>
      <c r="L432" t="s">
        <v>385</v>
      </c>
      <c r="M432">
        <v>0</v>
      </c>
      <c r="N432" s="3" t="s">
        <v>238</v>
      </c>
      <c r="O432" s="3"/>
    </row>
    <row r="433" spans="1:15">
      <c r="A433" t="s">
        <v>1157</v>
      </c>
      <c r="B433" t="s">
        <v>465</v>
      </c>
      <c r="C433">
        <v>368721</v>
      </c>
      <c r="D433" s="16">
        <v>368.721</v>
      </c>
      <c r="E433" t="s">
        <v>727</v>
      </c>
      <c r="F433" s="16">
        <v>1</v>
      </c>
      <c r="G433" s="16">
        <v>1</v>
      </c>
      <c r="H433" s="16">
        <v>1</v>
      </c>
      <c r="I433" t="s">
        <v>728</v>
      </c>
      <c r="J433">
        <v>1</v>
      </c>
      <c r="K433" t="s">
        <v>720</v>
      </c>
      <c r="L433" t="s">
        <v>385</v>
      </c>
      <c r="M433">
        <v>0</v>
      </c>
      <c r="N433" s="3" t="s">
        <v>238</v>
      </c>
      <c r="O433" s="3"/>
    </row>
    <row r="434" spans="1:15">
      <c r="A434" t="s">
        <v>1158</v>
      </c>
      <c r="B434" t="s">
        <v>465</v>
      </c>
      <c r="C434">
        <v>368721</v>
      </c>
      <c r="D434" s="16">
        <v>368.721</v>
      </c>
      <c r="E434" t="s">
        <v>730</v>
      </c>
      <c r="F434" s="16">
        <v>0</v>
      </c>
      <c r="G434" s="16">
        <v>0</v>
      </c>
      <c r="H434" s="16">
        <v>0</v>
      </c>
      <c r="I434" t="s">
        <v>107</v>
      </c>
      <c r="J434">
        <v>1</v>
      </c>
      <c r="K434" t="s">
        <v>720</v>
      </c>
      <c r="L434" t="s">
        <v>385</v>
      </c>
      <c r="M434">
        <v>0</v>
      </c>
      <c r="N434" s="3" t="s">
        <v>238</v>
      </c>
      <c r="O434" s="3"/>
    </row>
    <row r="435" spans="1:15">
      <c r="A435" t="s">
        <v>1159</v>
      </c>
      <c r="B435" t="s">
        <v>466</v>
      </c>
      <c r="C435">
        <v>373726</v>
      </c>
      <c r="D435" s="16">
        <v>373.726</v>
      </c>
      <c r="E435" t="s">
        <v>719</v>
      </c>
      <c r="F435" s="16">
        <v>27.3</v>
      </c>
      <c r="G435" s="16">
        <v>27.3</v>
      </c>
      <c r="H435" s="16">
        <v>27.3</v>
      </c>
      <c r="I435" t="s">
        <v>98</v>
      </c>
      <c r="J435">
        <v>1</v>
      </c>
      <c r="K435" t="s">
        <v>720</v>
      </c>
      <c r="L435" t="s">
        <v>385</v>
      </c>
      <c r="M435">
        <v>0</v>
      </c>
      <c r="N435" s="3" t="s">
        <v>238</v>
      </c>
      <c r="O435" s="3"/>
    </row>
    <row r="436" spans="1:15">
      <c r="A436" t="s">
        <v>1160</v>
      </c>
      <c r="B436" t="s">
        <v>466</v>
      </c>
      <c r="C436">
        <v>373726</v>
      </c>
      <c r="D436" s="16">
        <v>373.726</v>
      </c>
      <c r="E436" t="s">
        <v>722</v>
      </c>
      <c r="F436" s="16">
        <v>80.900000000000006</v>
      </c>
      <c r="G436" s="16">
        <v>80.900000000000006</v>
      </c>
      <c r="H436" s="16">
        <v>80.900000000000006</v>
      </c>
      <c r="I436" t="s">
        <v>140</v>
      </c>
      <c r="J436">
        <v>1</v>
      </c>
      <c r="K436" t="s">
        <v>720</v>
      </c>
      <c r="L436" t="s">
        <v>385</v>
      </c>
      <c r="M436">
        <v>0</v>
      </c>
      <c r="N436" s="3" t="s">
        <v>238</v>
      </c>
      <c r="O436" s="3"/>
    </row>
    <row r="437" spans="1:15">
      <c r="A437" t="s">
        <v>1161</v>
      </c>
      <c r="B437" t="s">
        <v>466</v>
      </c>
      <c r="C437">
        <v>373726</v>
      </c>
      <c r="D437" s="16">
        <v>373.726</v>
      </c>
      <c r="E437" t="s">
        <v>724</v>
      </c>
      <c r="F437" s="16">
        <v>-0.2</v>
      </c>
      <c r="G437" s="16">
        <v>0.2</v>
      </c>
      <c r="H437" s="16">
        <v>0.2</v>
      </c>
      <c r="I437" t="s">
        <v>125</v>
      </c>
      <c r="J437">
        <v>1</v>
      </c>
      <c r="K437" t="s">
        <v>725</v>
      </c>
      <c r="L437" t="s">
        <v>385</v>
      </c>
      <c r="M437">
        <v>0</v>
      </c>
      <c r="N437" s="3" t="s">
        <v>238</v>
      </c>
      <c r="O437" s="3"/>
    </row>
    <row r="438" spans="1:15">
      <c r="A438" t="s">
        <v>1162</v>
      </c>
      <c r="B438" t="s">
        <v>466</v>
      </c>
      <c r="C438">
        <v>373726</v>
      </c>
      <c r="D438" s="16">
        <v>373.726</v>
      </c>
      <c r="E438" t="s">
        <v>727</v>
      </c>
      <c r="F438" s="16">
        <v>1</v>
      </c>
      <c r="G438" s="16">
        <v>1</v>
      </c>
      <c r="H438" s="16">
        <v>1</v>
      </c>
      <c r="I438" t="s">
        <v>728</v>
      </c>
      <c r="J438">
        <v>1</v>
      </c>
      <c r="K438" t="s">
        <v>720</v>
      </c>
      <c r="L438" t="s">
        <v>385</v>
      </c>
      <c r="M438">
        <v>0</v>
      </c>
      <c r="N438" s="3" t="s">
        <v>238</v>
      </c>
      <c r="O438" s="3"/>
    </row>
    <row r="439" spans="1:15">
      <c r="A439" t="s">
        <v>1163</v>
      </c>
      <c r="B439" t="s">
        <v>466</v>
      </c>
      <c r="C439">
        <v>373726</v>
      </c>
      <c r="D439" s="16">
        <v>373.726</v>
      </c>
      <c r="E439" t="s">
        <v>730</v>
      </c>
      <c r="F439" s="16">
        <v>0</v>
      </c>
      <c r="G439" s="16">
        <v>0</v>
      </c>
      <c r="H439" s="16">
        <v>0</v>
      </c>
      <c r="I439" t="s">
        <v>107</v>
      </c>
      <c r="J439">
        <v>1</v>
      </c>
      <c r="K439" t="s">
        <v>720</v>
      </c>
      <c r="L439" t="s">
        <v>385</v>
      </c>
      <c r="M439">
        <v>0</v>
      </c>
      <c r="N439" s="3" t="s">
        <v>238</v>
      </c>
      <c r="O439" s="3"/>
    </row>
    <row r="440" spans="1:15">
      <c r="A440" t="s">
        <v>1164</v>
      </c>
      <c r="B440" t="s">
        <v>467</v>
      </c>
      <c r="C440">
        <v>378745</v>
      </c>
      <c r="D440" s="16">
        <v>378.745</v>
      </c>
      <c r="E440" t="s">
        <v>719</v>
      </c>
      <c r="F440" s="16">
        <v>27.2</v>
      </c>
      <c r="G440" s="16">
        <v>27.2</v>
      </c>
      <c r="H440" s="16">
        <v>27.2</v>
      </c>
      <c r="I440" t="s">
        <v>98</v>
      </c>
      <c r="J440">
        <v>1</v>
      </c>
      <c r="K440" t="s">
        <v>720</v>
      </c>
      <c r="L440" t="s">
        <v>385</v>
      </c>
      <c r="M440">
        <v>0</v>
      </c>
      <c r="N440" s="3" t="s">
        <v>238</v>
      </c>
      <c r="O440" s="3"/>
    </row>
    <row r="441" spans="1:15">
      <c r="A441" t="s">
        <v>1165</v>
      </c>
      <c r="B441" t="s">
        <v>467</v>
      </c>
      <c r="C441">
        <v>378745</v>
      </c>
      <c r="D441" s="16">
        <v>378.745</v>
      </c>
      <c r="E441" t="s">
        <v>722</v>
      </c>
      <c r="F441" s="16">
        <v>80.900000000000006</v>
      </c>
      <c r="G441" s="16">
        <v>80.900000000000006</v>
      </c>
      <c r="H441" s="16">
        <v>80.900000000000006</v>
      </c>
      <c r="I441" t="s">
        <v>140</v>
      </c>
      <c r="J441">
        <v>1</v>
      </c>
      <c r="K441" t="s">
        <v>720</v>
      </c>
      <c r="L441" t="s">
        <v>385</v>
      </c>
      <c r="M441">
        <v>0</v>
      </c>
      <c r="N441" s="3" t="s">
        <v>238</v>
      </c>
      <c r="O441" s="3"/>
    </row>
    <row r="442" spans="1:15">
      <c r="A442" t="s">
        <v>1166</v>
      </c>
      <c r="B442" t="s">
        <v>467</v>
      </c>
      <c r="C442">
        <v>378745</v>
      </c>
      <c r="D442" s="16">
        <v>378.745</v>
      </c>
      <c r="E442" t="s">
        <v>724</v>
      </c>
      <c r="F442" s="16">
        <v>-0.2</v>
      </c>
      <c r="G442" s="16">
        <v>0.2</v>
      </c>
      <c r="H442" s="16">
        <v>0.2</v>
      </c>
      <c r="I442" t="s">
        <v>125</v>
      </c>
      <c r="J442">
        <v>1</v>
      </c>
      <c r="K442" t="s">
        <v>725</v>
      </c>
      <c r="L442" t="s">
        <v>385</v>
      </c>
      <c r="M442">
        <v>0</v>
      </c>
      <c r="N442" s="3" t="s">
        <v>238</v>
      </c>
      <c r="O442" s="3"/>
    </row>
    <row r="443" spans="1:15">
      <c r="A443" t="s">
        <v>1167</v>
      </c>
      <c r="B443" t="s">
        <v>467</v>
      </c>
      <c r="C443">
        <v>378745</v>
      </c>
      <c r="D443" s="16">
        <v>378.745</v>
      </c>
      <c r="E443" t="s">
        <v>727</v>
      </c>
      <c r="F443" s="16">
        <v>1</v>
      </c>
      <c r="G443" s="16">
        <v>1</v>
      </c>
      <c r="H443" s="16">
        <v>1</v>
      </c>
      <c r="I443" t="s">
        <v>728</v>
      </c>
      <c r="J443">
        <v>1</v>
      </c>
      <c r="K443" t="s">
        <v>720</v>
      </c>
      <c r="L443" t="s">
        <v>385</v>
      </c>
      <c r="M443">
        <v>0</v>
      </c>
      <c r="N443" s="3" t="s">
        <v>238</v>
      </c>
      <c r="O443" s="3"/>
    </row>
    <row r="444" spans="1:15">
      <c r="A444" t="s">
        <v>1168</v>
      </c>
      <c r="B444" t="s">
        <v>467</v>
      </c>
      <c r="C444">
        <v>378745</v>
      </c>
      <c r="D444" s="16">
        <v>378.745</v>
      </c>
      <c r="E444" t="s">
        <v>730</v>
      </c>
      <c r="F444" s="16">
        <v>0</v>
      </c>
      <c r="G444" s="16">
        <v>0</v>
      </c>
      <c r="H444" s="16">
        <v>0</v>
      </c>
      <c r="I444" t="s">
        <v>107</v>
      </c>
      <c r="J444">
        <v>1</v>
      </c>
      <c r="K444" t="s">
        <v>720</v>
      </c>
      <c r="L444" t="s">
        <v>385</v>
      </c>
      <c r="M444">
        <v>0</v>
      </c>
      <c r="N444" s="3" t="s">
        <v>238</v>
      </c>
      <c r="O444" s="3"/>
    </row>
    <row r="445" spans="1:15">
      <c r="A445" t="s">
        <v>1169</v>
      </c>
      <c r="B445" t="s">
        <v>468</v>
      </c>
      <c r="C445">
        <v>383763</v>
      </c>
      <c r="D445" s="16">
        <v>383.76299999999998</v>
      </c>
      <c r="E445" t="s">
        <v>719</v>
      </c>
      <c r="F445" s="16">
        <v>27.3</v>
      </c>
      <c r="G445" s="16">
        <v>27.3</v>
      </c>
      <c r="H445" s="16">
        <v>27.3</v>
      </c>
      <c r="I445" t="s">
        <v>98</v>
      </c>
      <c r="J445">
        <v>1</v>
      </c>
      <c r="K445" t="s">
        <v>720</v>
      </c>
      <c r="L445" t="s">
        <v>385</v>
      </c>
      <c r="M445">
        <v>0</v>
      </c>
      <c r="N445" s="3" t="s">
        <v>238</v>
      </c>
      <c r="O445" s="3"/>
    </row>
    <row r="446" spans="1:15">
      <c r="A446" t="s">
        <v>1170</v>
      </c>
      <c r="B446" t="s">
        <v>468</v>
      </c>
      <c r="C446">
        <v>383763</v>
      </c>
      <c r="D446" s="16">
        <v>383.76299999999998</v>
      </c>
      <c r="E446" t="s">
        <v>722</v>
      </c>
      <c r="F446" s="16">
        <v>80.5</v>
      </c>
      <c r="G446" s="16">
        <v>80.5</v>
      </c>
      <c r="H446" s="16">
        <v>80.5</v>
      </c>
      <c r="I446" t="s">
        <v>140</v>
      </c>
      <c r="J446">
        <v>1</v>
      </c>
      <c r="K446" t="s">
        <v>720</v>
      </c>
      <c r="L446" t="s">
        <v>385</v>
      </c>
      <c r="M446">
        <v>0</v>
      </c>
      <c r="N446" s="3" t="s">
        <v>238</v>
      </c>
      <c r="O446" s="3"/>
    </row>
    <row r="447" spans="1:15">
      <c r="A447" t="s">
        <v>1171</v>
      </c>
      <c r="B447" t="s">
        <v>468</v>
      </c>
      <c r="C447">
        <v>383763</v>
      </c>
      <c r="D447" s="16">
        <v>383.76299999999998</v>
      </c>
      <c r="E447" t="s">
        <v>724</v>
      </c>
      <c r="F447" s="16">
        <v>-0.2</v>
      </c>
      <c r="G447" s="16">
        <v>0.2</v>
      </c>
      <c r="H447" s="16">
        <v>0.2</v>
      </c>
      <c r="I447" t="s">
        <v>125</v>
      </c>
      <c r="J447">
        <v>1</v>
      </c>
      <c r="K447" t="s">
        <v>725</v>
      </c>
      <c r="L447" t="s">
        <v>385</v>
      </c>
      <c r="M447">
        <v>0</v>
      </c>
      <c r="N447" s="3" t="s">
        <v>238</v>
      </c>
      <c r="O447" s="3"/>
    </row>
    <row r="448" spans="1:15">
      <c r="A448" t="s">
        <v>1172</v>
      </c>
      <c r="B448" t="s">
        <v>468</v>
      </c>
      <c r="C448">
        <v>383763</v>
      </c>
      <c r="D448" s="16">
        <v>383.76299999999998</v>
      </c>
      <c r="E448" t="s">
        <v>727</v>
      </c>
      <c r="F448" s="16">
        <v>1</v>
      </c>
      <c r="G448" s="16">
        <v>1</v>
      </c>
      <c r="H448" s="16">
        <v>1</v>
      </c>
      <c r="I448" t="s">
        <v>728</v>
      </c>
      <c r="J448">
        <v>1</v>
      </c>
      <c r="K448" t="s">
        <v>720</v>
      </c>
      <c r="L448" t="s">
        <v>385</v>
      </c>
      <c r="M448">
        <v>0</v>
      </c>
      <c r="N448" s="3" t="s">
        <v>238</v>
      </c>
      <c r="O448" s="3"/>
    </row>
    <row r="449" spans="1:15">
      <c r="A449" t="s">
        <v>1173</v>
      </c>
      <c r="B449" t="s">
        <v>468</v>
      </c>
      <c r="C449">
        <v>383763</v>
      </c>
      <c r="D449" s="16">
        <v>383.76299999999998</v>
      </c>
      <c r="E449" t="s">
        <v>730</v>
      </c>
      <c r="F449" s="16">
        <v>0</v>
      </c>
      <c r="G449" s="16">
        <v>0</v>
      </c>
      <c r="H449" s="16">
        <v>0</v>
      </c>
      <c r="I449" t="s">
        <v>107</v>
      </c>
      <c r="J449">
        <v>1</v>
      </c>
      <c r="K449" t="s">
        <v>720</v>
      </c>
      <c r="L449" t="s">
        <v>385</v>
      </c>
      <c r="M449">
        <v>0</v>
      </c>
      <c r="N449" s="3" t="s">
        <v>238</v>
      </c>
      <c r="O449" s="3"/>
    </row>
    <row r="450" spans="1:15" ht="27.6">
      <c r="A450" t="s">
        <v>1174</v>
      </c>
      <c r="B450" t="s">
        <v>469</v>
      </c>
      <c r="C450">
        <v>388782</v>
      </c>
      <c r="D450" s="16">
        <v>388.78199999999998</v>
      </c>
      <c r="E450" t="s">
        <v>719</v>
      </c>
      <c r="F450" s="16">
        <v>27.3</v>
      </c>
      <c r="G450" s="16">
        <v>27.3</v>
      </c>
      <c r="H450" s="16">
        <v>27.3</v>
      </c>
      <c r="I450" t="s">
        <v>98</v>
      </c>
      <c r="J450">
        <v>1</v>
      </c>
      <c r="K450" t="s">
        <v>720</v>
      </c>
      <c r="L450" t="s">
        <v>385</v>
      </c>
      <c r="M450">
        <v>0</v>
      </c>
      <c r="N450" s="3" t="s">
        <v>257</v>
      </c>
      <c r="O450" s="3"/>
    </row>
    <row r="451" spans="1:15" ht="27.6">
      <c r="A451" t="s">
        <v>1175</v>
      </c>
      <c r="B451" t="s">
        <v>469</v>
      </c>
      <c r="C451">
        <v>388782</v>
      </c>
      <c r="D451" s="16">
        <v>388.78199999999998</v>
      </c>
      <c r="E451" t="s">
        <v>722</v>
      </c>
      <c r="F451" s="16">
        <v>80.400000000000006</v>
      </c>
      <c r="G451" s="16">
        <v>80.400000000000006</v>
      </c>
      <c r="H451" s="16">
        <v>80.400000000000006</v>
      </c>
      <c r="I451" t="s">
        <v>140</v>
      </c>
      <c r="J451">
        <v>1</v>
      </c>
      <c r="K451" t="s">
        <v>720</v>
      </c>
      <c r="L451" t="s">
        <v>385</v>
      </c>
      <c r="M451">
        <v>0</v>
      </c>
      <c r="N451" s="3" t="s">
        <v>257</v>
      </c>
      <c r="O451" s="3"/>
    </row>
    <row r="452" spans="1:15" ht="27.6">
      <c r="A452" t="s">
        <v>1176</v>
      </c>
      <c r="B452" t="s">
        <v>469</v>
      </c>
      <c r="C452">
        <v>388782</v>
      </c>
      <c r="D452" s="16">
        <v>388.78199999999998</v>
      </c>
      <c r="E452" t="s">
        <v>724</v>
      </c>
      <c r="F452" s="16">
        <v>0</v>
      </c>
      <c r="G452" s="16">
        <v>0</v>
      </c>
      <c r="H452" s="16">
        <v>0</v>
      </c>
      <c r="I452" t="s">
        <v>125</v>
      </c>
      <c r="J452">
        <v>1</v>
      </c>
      <c r="K452" t="s">
        <v>720</v>
      </c>
      <c r="L452" t="s">
        <v>385</v>
      </c>
      <c r="M452">
        <v>0</v>
      </c>
      <c r="N452" s="3" t="s">
        <v>257</v>
      </c>
      <c r="O452" s="3"/>
    </row>
    <row r="453" spans="1:15" ht="27.6">
      <c r="A453" t="s">
        <v>1177</v>
      </c>
      <c r="B453" t="s">
        <v>469</v>
      </c>
      <c r="C453">
        <v>388782</v>
      </c>
      <c r="D453" s="16">
        <v>388.78199999999998</v>
      </c>
      <c r="E453" t="s">
        <v>727</v>
      </c>
      <c r="F453" s="16">
        <v>1</v>
      </c>
      <c r="G453" s="16">
        <v>1</v>
      </c>
      <c r="H453" s="16">
        <v>1</v>
      </c>
      <c r="I453" t="s">
        <v>728</v>
      </c>
      <c r="J453">
        <v>1</v>
      </c>
      <c r="K453" t="s">
        <v>720</v>
      </c>
      <c r="L453" t="s">
        <v>385</v>
      </c>
      <c r="M453">
        <v>0</v>
      </c>
      <c r="N453" s="3" t="s">
        <v>257</v>
      </c>
      <c r="O453" s="3"/>
    </row>
    <row r="454" spans="1:15" ht="27.6">
      <c r="A454" t="s">
        <v>1178</v>
      </c>
      <c r="B454" t="s">
        <v>469</v>
      </c>
      <c r="C454">
        <v>388782</v>
      </c>
      <c r="D454" s="16">
        <v>388.78199999999998</v>
      </c>
      <c r="E454" t="s">
        <v>730</v>
      </c>
      <c r="F454" s="16">
        <v>0</v>
      </c>
      <c r="G454" s="16">
        <v>0</v>
      </c>
      <c r="H454" s="16">
        <v>0</v>
      </c>
      <c r="I454" t="s">
        <v>107</v>
      </c>
      <c r="J454">
        <v>1</v>
      </c>
      <c r="K454" t="s">
        <v>720</v>
      </c>
      <c r="L454" t="s">
        <v>385</v>
      </c>
      <c r="M454">
        <v>0</v>
      </c>
      <c r="N454" s="3" t="s">
        <v>257</v>
      </c>
      <c r="O454" s="3"/>
    </row>
    <row r="455" spans="1:15">
      <c r="A455" t="s">
        <v>1179</v>
      </c>
      <c r="B455" t="s">
        <v>470</v>
      </c>
      <c r="C455">
        <v>393801</v>
      </c>
      <c r="D455" s="16">
        <v>393.80099999999999</v>
      </c>
      <c r="E455" t="s">
        <v>719</v>
      </c>
      <c r="F455" s="16">
        <v>27.3</v>
      </c>
      <c r="G455" s="16">
        <v>27.3</v>
      </c>
      <c r="H455" s="16">
        <v>27.3</v>
      </c>
      <c r="I455" t="s">
        <v>98</v>
      </c>
      <c r="J455">
        <v>1</v>
      </c>
      <c r="K455" t="s">
        <v>720</v>
      </c>
      <c r="L455" t="s">
        <v>385</v>
      </c>
      <c r="M455">
        <v>0</v>
      </c>
      <c r="N455" s="3" t="s">
        <v>238</v>
      </c>
      <c r="O455" s="3"/>
    </row>
    <row r="456" spans="1:15">
      <c r="A456" t="s">
        <v>1180</v>
      </c>
      <c r="B456" t="s">
        <v>470</v>
      </c>
      <c r="C456">
        <v>393801</v>
      </c>
      <c r="D456" s="16">
        <v>393.80099999999999</v>
      </c>
      <c r="E456" t="s">
        <v>722</v>
      </c>
      <c r="F456" s="16">
        <v>80.3</v>
      </c>
      <c r="G456" s="16">
        <v>80.3</v>
      </c>
      <c r="H456" s="16">
        <v>80.3</v>
      </c>
      <c r="I456" t="s">
        <v>140</v>
      </c>
      <c r="J456">
        <v>1</v>
      </c>
      <c r="K456" t="s">
        <v>720</v>
      </c>
      <c r="L456" t="s">
        <v>385</v>
      </c>
      <c r="M456">
        <v>0</v>
      </c>
      <c r="N456" s="3" t="s">
        <v>238</v>
      </c>
      <c r="O456" s="3"/>
    </row>
    <row r="457" spans="1:15">
      <c r="A457" t="s">
        <v>1181</v>
      </c>
      <c r="B457" t="s">
        <v>470</v>
      </c>
      <c r="C457">
        <v>393801</v>
      </c>
      <c r="D457" s="16">
        <v>393.80099999999999</v>
      </c>
      <c r="E457" t="s">
        <v>724</v>
      </c>
      <c r="F457" s="16">
        <v>-0.1</v>
      </c>
      <c r="G457" s="16">
        <v>0.1</v>
      </c>
      <c r="H457" s="16">
        <v>0.1</v>
      </c>
      <c r="I457" t="s">
        <v>125</v>
      </c>
      <c r="J457">
        <v>1</v>
      </c>
      <c r="K457" t="s">
        <v>725</v>
      </c>
      <c r="L457" t="s">
        <v>385</v>
      </c>
      <c r="M457">
        <v>0</v>
      </c>
      <c r="N457" s="3" t="s">
        <v>238</v>
      </c>
      <c r="O457" s="3"/>
    </row>
    <row r="458" spans="1:15">
      <c r="A458" t="s">
        <v>1182</v>
      </c>
      <c r="B458" t="s">
        <v>470</v>
      </c>
      <c r="C458">
        <v>393801</v>
      </c>
      <c r="D458" s="16">
        <v>393.80099999999999</v>
      </c>
      <c r="E458" t="s">
        <v>727</v>
      </c>
      <c r="F458" s="16">
        <v>1</v>
      </c>
      <c r="G458" s="16">
        <v>1</v>
      </c>
      <c r="H458" s="16">
        <v>1</v>
      </c>
      <c r="I458" t="s">
        <v>728</v>
      </c>
      <c r="J458">
        <v>1</v>
      </c>
      <c r="K458" t="s">
        <v>720</v>
      </c>
      <c r="L458" t="s">
        <v>385</v>
      </c>
      <c r="M458">
        <v>0</v>
      </c>
      <c r="N458" s="3" t="s">
        <v>238</v>
      </c>
      <c r="O458" s="3"/>
    </row>
    <row r="459" spans="1:15">
      <c r="A459" t="s">
        <v>1183</v>
      </c>
      <c r="B459" t="s">
        <v>470</v>
      </c>
      <c r="C459">
        <v>393801</v>
      </c>
      <c r="D459" s="16">
        <v>393.80099999999999</v>
      </c>
      <c r="E459" t="s">
        <v>730</v>
      </c>
      <c r="F459" s="16">
        <v>0</v>
      </c>
      <c r="G459" s="16">
        <v>0</v>
      </c>
      <c r="H459" s="16">
        <v>0</v>
      </c>
      <c r="I459" t="s">
        <v>107</v>
      </c>
      <c r="J459">
        <v>1</v>
      </c>
      <c r="K459" t="s">
        <v>720</v>
      </c>
      <c r="L459" t="s">
        <v>385</v>
      </c>
      <c r="M459">
        <v>0</v>
      </c>
      <c r="N459" s="3" t="s">
        <v>238</v>
      </c>
      <c r="O459" s="3"/>
    </row>
    <row r="460" spans="1:15">
      <c r="A460" t="s">
        <v>1184</v>
      </c>
      <c r="B460" t="s">
        <v>471</v>
      </c>
      <c r="C460">
        <v>398821</v>
      </c>
      <c r="D460" s="16">
        <v>398.82100000000003</v>
      </c>
      <c r="E460" t="s">
        <v>719</v>
      </c>
      <c r="F460" s="16">
        <v>27.3</v>
      </c>
      <c r="G460" s="16">
        <v>27.3</v>
      </c>
      <c r="H460" s="16">
        <v>27.3</v>
      </c>
      <c r="I460" t="s">
        <v>98</v>
      </c>
      <c r="J460">
        <v>1</v>
      </c>
      <c r="K460" t="s">
        <v>720</v>
      </c>
      <c r="L460" t="s">
        <v>385</v>
      </c>
      <c r="M460">
        <v>0</v>
      </c>
      <c r="N460" s="3" t="s">
        <v>238</v>
      </c>
      <c r="O460" s="3"/>
    </row>
    <row r="461" spans="1:15">
      <c r="A461" t="s">
        <v>1185</v>
      </c>
      <c r="B461" t="s">
        <v>471</v>
      </c>
      <c r="C461">
        <v>398821</v>
      </c>
      <c r="D461" s="16">
        <v>398.82100000000003</v>
      </c>
      <c r="E461" t="s">
        <v>722</v>
      </c>
      <c r="F461" s="16">
        <v>80.3</v>
      </c>
      <c r="G461" s="16">
        <v>80.3</v>
      </c>
      <c r="H461" s="16">
        <v>80.3</v>
      </c>
      <c r="I461" t="s">
        <v>140</v>
      </c>
      <c r="J461">
        <v>1</v>
      </c>
      <c r="K461" t="s">
        <v>720</v>
      </c>
      <c r="L461" t="s">
        <v>385</v>
      </c>
      <c r="M461">
        <v>0</v>
      </c>
      <c r="N461" s="3" t="s">
        <v>238</v>
      </c>
      <c r="O461" s="3"/>
    </row>
    <row r="462" spans="1:15">
      <c r="A462" t="s">
        <v>1186</v>
      </c>
      <c r="B462" t="s">
        <v>471</v>
      </c>
      <c r="C462">
        <v>398821</v>
      </c>
      <c r="D462" s="16">
        <v>398.82100000000003</v>
      </c>
      <c r="E462" t="s">
        <v>724</v>
      </c>
      <c r="F462" s="16">
        <v>-0.1</v>
      </c>
      <c r="G462" s="16">
        <v>0.1</v>
      </c>
      <c r="H462" s="16">
        <v>0.1</v>
      </c>
      <c r="I462" t="s">
        <v>125</v>
      </c>
      <c r="J462">
        <v>1</v>
      </c>
      <c r="K462" t="s">
        <v>725</v>
      </c>
      <c r="L462" t="s">
        <v>385</v>
      </c>
      <c r="M462">
        <v>0</v>
      </c>
      <c r="N462" s="3" t="s">
        <v>238</v>
      </c>
      <c r="O462" s="3"/>
    </row>
    <row r="463" spans="1:15">
      <c r="A463" t="s">
        <v>1187</v>
      </c>
      <c r="B463" t="s">
        <v>471</v>
      </c>
      <c r="C463">
        <v>398821</v>
      </c>
      <c r="D463" s="16">
        <v>398.82100000000003</v>
      </c>
      <c r="E463" t="s">
        <v>727</v>
      </c>
      <c r="F463" s="16">
        <v>1</v>
      </c>
      <c r="G463" s="16">
        <v>1</v>
      </c>
      <c r="H463" s="16">
        <v>1</v>
      </c>
      <c r="I463" t="s">
        <v>728</v>
      </c>
      <c r="J463">
        <v>1</v>
      </c>
      <c r="K463" t="s">
        <v>720</v>
      </c>
      <c r="L463" t="s">
        <v>385</v>
      </c>
      <c r="M463">
        <v>0</v>
      </c>
      <c r="N463" s="3" t="s">
        <v>238</v>
      </c>
      <c r="O463" s="3"/>
    </row>
    <row r="464" spans="1:15">
      <c r="A464" t="s">
        <v>1188</v>
      </c>
      <c r="B464" t="s">
        <v>471</v>
      </c>
      <c r="C464">
        <v>398821</v>
      </c>
      <c r="D464" s="16">
        <v>398.82100000000003</v>
      </c>
      <c r="E464" t="s">
        <v>730</v>
      </c>
      <c r="F464" s="16">
        <v>0</v>
      </c>
      <c r="G464" s="16">
        <v>0</v>
      </c>
      <c r="H464" s="16">
        <v>0</v>
      </c>
      <c r="I464" t="s">
        <v>107</v>
      </c>
      <c r="J464">
        <v>1</v>
      </c>
      <c r="K464" t="s">
        <v>720</v>
      </c>
      <c r="L464" t="s">
        <v>385</v>
      </c>
      <c r="M464">
        <v>0</v>
      </c>
      <c r="N464" s="3" t="s">
        <v>238</v>
      </c>
      <c r="O464" s="3"/>
    </row>
    <row r="465" spans="1:15" ht="27.6">
      <c r="A465" t="s">
        <v>1189</v>
      </c>
      <c r="B465" t="s">
        <v>472</v>
      </c>
      <c r="C465">
        <v>403838</v>
      </c>
      <c r="D465" s="16">
        <v>403.83800000000002</v>
      </c>
      <c r="E465" t="s">
        <v>719</v>
      </c>
      <c r="F465" s="16">
        <v>27.3</v>
      </c>
      <c r="G465" s="16">
        <v>27.3</v>
      </c>
      <c r="H465" s="16">
        <v>27.3</v>
      </c>
      <c r="I465" t="s">
        <v>98</v>
      </c>
      <c r="J465">
        <v>1</v>
      </c>
      <c r="K465" t="s">
        <v>720</v>
      </c>
      <c r="L465" t="s">
        <v>385</v>
      </c>
      <c r="M465">
        <v>0</v>
      </c>
      <c r="N465" s="3" t="s">
        <v>257</v>
      </c>
      <c r="O465" s="3"/>
    </row>
    <row r="466" spans="1:15" ht="27.6">
      <c r="A466" t="s">
        <v>1190</v>
      </c>
      <c r="B466" t="s">
        <v>472</v>
      </c>
      <c r="C466">
        <v>403838</v>
      </c>
      <c r="D466" s="16">
        <v>403.83800000000002</v>
      </c>
      <c r="E466" t="s">
        <v>722</v>
      </c>
      <c r="F466" s="16">
        <v>80.3</v>
      </c>
      <c r="G466" s="16">
        <v>80.3</v>
      </c>
      <c r="H466" s="16">
        <v>80.3</v>
      </c>
      <c r="I466" t="s">
        <v>140</v>
      </c>
      <c r="J466">
        <v>1</v>
      </c>
      <c r="K466" t="s">
        <v>720</v>
      </c>
      <c r="L466" t="s">
        <v>385</v>
      </c>
      <c r="M466">
        <v>0</v>
      </c>
      <c r="N466" s="3" t="s">
        <v>257</v>
      </c>
      <c r="O466" s="3"/>
    </row>
    <row r="467" spans="1:15" ht="27.6">
      <c r="A467" t="s">
        <v>1191</v>
      </c>
      <c r="B467" t="s">
        <v>472</v>
      </c>
      <c r="C467">
        <v>403838</v>
      </c>
      <c r="D467" s="16">
        <v>403.83800000000002</v>
      </c>
      <c r="E467" t="s">
        <v>724</v>
      </c>
      <c r="F467" s="16">
        <v>0</v>
      </c>
      <c r="G467" s="16">
        <v>0</v>
      </c>
      <c r="H467" s="16">
        <v>0</v>
      </c>
      <c r="I467" t="s">
        <v>125</v>
      </c>
      <c r="J467">
        <v>1</v>
      </c>
      <c r="K467" t="s">
        <v>720</v>
      </c>
      <c r="L467" t="s">
        <v>385</v>
      </c>
      <c r="M467">
        <v>0</v>
      </c>
      <c r="N467" s="3" t="s">
        <v>257</v>
      </c>
      <c r="O467" s="3"/>
    </row>
    <row r="468" spans="1:15" ht="27.6">
      <c r="A468" t="s">
        <v>1192</v>
      </c>
      <c r="B468" t="s">
        <v>472</v>
      </c>
      <c r="C468">
        <v>403838</v>
      </c>
      <c r="D468" s="16">
        <v>403.83800000000002</v>
      </c>
      <c r="E468" t="s">
        <v>727</v>
      </c>
      <c r="F468" s="16">
        <v>1</v>
      </c>
      <c r="G468" s="16">
        <v>1</v>
      </c>
      <c r="H468" s="16">
        <v>1</v>
      </c>
      <c r="I468" t="s">
        <v>728</v>
      </c>
      <c r="J468">
        <v>1</v>
      </c>
      <c r="K468" t="s">
        <v>720</v>
      </c>
      <c r="L468" t="s">
        <v>385</v>
      </c>
      <c r="M468">
        <v>0</v>
      </c>
      <c r="N468" s="3" t="s">
        <v>257</v>
      </c>
      <c r="O468" s="3"/>
    </row>
    <row r="469" spans="1:15" ht="27.6">
      <c r="A469" t="s">
        <v>1193</v>
      </c>
      <c r="B469" t="s">
        <v>472</v>
      </c>
      <c r="C469">
        <v>403838</v>
      </c>
      <c r="D469" s="16">
        <v>403.83800000000002</v>
      </c>
      <c r="E469" t="s">
        <v>730</v>
      </c>
      <c r="F469" s="16">
        <v>0</v>
      </c>
      <c r="G469" s="16">
        <v>0</v>
      </c>
      <c r="H469" s="16">
        <v>0</v>
      </c>
      <c r="I469" t="s">
        <v>107</v>
      </c>
      <c r="J469">
        <v>1</v>
      </c>
      <c r="K469" t="s">
        <v>720</v>
      </c>
      <c r="L469" t="s">
        <v>385</v>
      </c>
      <c r="M469">
        <v>0</v>
      </c>
      <c r="N469" s="3" t="s">
        <v>257</v>
      </c>
      <c r="O469" s="3"/>
    </row>
    <row r="470" spans="1:15" ht="27.6">
      <c r="A470" t="s">
        <v>1194</v>
      </c>
      <c r="B470" t="s">
        <v>473</v>
      </c>
      <c r="C470">
        <v>408857</v>
      </c>
      <c r="D470" s="16">
        <v>408.85700000000003</v>
      </c>
      <c r="E470" t="s">
        <v>719</v>
      </c>
      <c r="F470" s="16">
        <v>27.3</v>
      </c>
      <c r="G470" s="16">
        <v>27.3</v>
      </c>
      <c r="H470" s="16">
        <v>27.3</v>
      </c>
      <c r="I470" t="s">
        <v>98</v>
      </c>
      <c r="J470">
        <v>1</v>
      </c>
      <c r="K470" t="s">
        <v>720</v>
      </c>
      <c r="L470" t="s">
        <v>385</v>
      </c>
      <c r="M470">
        <v>0</v>
      </c>
      <c r="N470" s="3" t="s">
        <v>257</v>
      </c>
      <c r="O470" s="3"/>
    </row>
    <row r="471" spans="1:15" ht="27.6">
      <c r="A471" t="s">
        <v>1195</v>
      </c>
      <c r="B471" t="s">
        <v>473</v>
      </c>
      <c r="C471">
        <v>408857</v>
      </c>
      <c r="D471" s="16">
        <v>408.85700000000003</v>
      </c>
      <c r="E471" t="s">
        <v>722</v>
      </c>
      <c r="F471" s="16">
        <v>80.5</v>
      </c>
      <c r="G471" s="16">
        <v>80.5</v>
      </c>
      <c r="H471" s="16">
        <v>80.5</v>
      </c>
      <c r="I471" t="s">
        <v>140</v>
      </c>
      <c r="J471">
        <v>1</v>
      </c>
      <c r="K471" t="s">
        <v>720</v>
      </c>
      <c r="L471" t="s">
        <v>385</v>
      </c>
      <c r="M471">
        <v>0</v>
      </c>
      <c r="N471" s="3" t="s">
        <v>257</v>
      </c>
      <c r="O471" s="3"/>
    </row>
    <row r="472" spans="1:15" ht="27.6">
      <c r="A472" t="s">
        <v>1196</v>
      </c>
      <c r="B472" t="s">
        <v>473</v>
      </c>
      <c r="C472">
        <v>408857</v>
      </c>
      <c r="D472" s="16">
        <v>408.85700000000003</v>
      </c>
      <c r="E472" t="s">
        <v>724</v>
      </c>
      <c r="F472" s="16">
        <v>0</v>
      </c>
      <c r="G472" s="16">
        <v>0</v>
      </c>
      <c r="H472" s="16">
        <v>0</v>
      </c>
      <c r="I472" t="s">
        <v>125</v>
      </c>
      <c r="J472">
        <v>1</v>
      </c>
      <c r="K472" t="s">
        <v>720</v>
      </c>
      <c r="L472" t="s">
        <v>385</v>
      </c>
      <c r="M472">
        <v>0</v>
      </c>
      <c r="N472" s="3" t="s">
        <v>257</v>
      </c>
      <c r="O472" s="3"/>
    </row>
    <row r="473" spans="1:15" ht="27.6">
      <c r="A473" t="s">
        <v>1197</v>
      </c>
      <c r="B473" t="s">
        <v>473</v>
      </c>
      <c r="C473">
        <v>408857</v>
      </c>
      <c r="D473" s="16">
        <v>408.85700000000003</v>
      </c>
      <c r="E473" t="s">
        <v>727</v>
      </c>
      <c r="F473" s="16">
        <v>1</v>
      </c>
      <c r="G473" s="16">
        <v>1</v>
      </c>
      <c r="H473" s="16">
        <v>1</v>
      </c>
      <c r="I473" t="s">
        <v>728</v>
      </c>
      <c r="J473">
        <v>1</v>
      </c>
      <c r="K473" t="s">
        <v>720</v>
      </c>
      <c r="L473" t="s">
        <v>385</v>
      </c>
      <c r="M473">
        <v>0</v>
      </c>
      <c r="N473" s="3" t="s">
        <v>257</v>
      </c>
      <c r="O473" s="3"/>
    </row>
    <row r="474" spans="1:15" ht="27.6">
      <c r="A474" t="s">
        <v>1198</v>
      </c>
      <c r="B474" t="s">
        <v>473</v>
      </c>
      <c r="C474">
        <v>408857</v>
      </c>
      <c r="D474" s="16">
        <v>408.85700000000003</v>
      </c>
      <c r="E474" t="s">
        <v>730</v>
      </c>
      <c r="F474" s="16">
        <v>0</v>
      </c>
      <c r="G474" s="16">
        <v>0</v>
      </c>
      <c r="H474" s="16">
        <v>0</v>
      </c>
      <c r="I474" t="s">
        <v>107</v>
      </c>
      <c r="J474">
        <v>1</v>
      </c>
      <c r="K474" t="s">
        <v>720</v>
      </c>
      <c r="L474" t="s">
        <v>385</v>
      </c>
      <c r="M474">
        <v>0</v>
      </c>
      <c r="N474" s="3" t="s">
        <v>257</v>
      </c>
      <c r="O474" s="3"/>
    </row>
    <row r="475" spans="1:15">
      <c r="A475" t="s">
        <v>1199</v>
      </c>
      <c r="B475" t="s">
        <v>474</v>
      </c>
      <c r="C475">
        <v>413877</v>
      </c>
      <c r="D475" s="16">
        <v>413.87700000000001</v>
      </c>
      <c r="E475" t="s">
        <v>719</v>
      </c>
      <c r="F475" s="16">
        <v>27.3</v>
      </c>
      <c r="G475" s="16">
        <v>27.3</v>
      </c>
      <c r="H475" s="16">
        <v>27.3</v>
      </c>
      <c r="I475" t="s">
        <v>98</v>
      </c>
      <c r="J475">
        <v>1</v>
      </c>
      <c r="K475" t="s">
        <v>720</v>
      </c>
      <c r="L475" t="s">
        <v>385</v>
      </c>
      <c r="M475">
        <v>0</v>
      </c>
      <c r="N475" s="3" t="s">
        <v>238</v>
      </c>
      <c r="O475" s="3"/>
    </row>
    <row r="476" spans="1:15">
      <c r="A476" t="s">
        <v>1200</v>
      </c>
      <c r="B476" t="s">
        <v>474</v>
      </c>
      <c r="C476">
        <v>413877</v>
      </c>
      <c r="D476" s="16">
        <v>413.87700000000001</v>
      </c>
      <c r="E476" t="s">
        <v>722</v>
      </c>
      <c r="F476" s="16">
        <v>80.400000000000006</v>
      </c>
      <c r="G476" s="16">
        <v>80.400000000000006</v>
      </c>
      <c r="H476" s="16">
        <v>80.400000000000006</v>
      </c>
      <c r="I476" t="s">
        <v>140</v>
      </c>
      <c r="J476">
        <v>1</v>
      </c>
      <c r="K476" t="s">
        <v>720</v>
      </c>
      <c r="L476" t="s">
        <v>385</v>
      </c>
      <c r="M476">
        <v>0</v>
      </c>
      <c r="N476" s="3" t="s">
        <v>238</v>
      </c>
      <c r="O476" s="3"/>
    </row>
    <row r="477" spans="1:15">
      <c r="A477" t="s">
        <v>1201</v>
      </c>
      <c r="B477" t="s">
        <v>474</v>
      </c>
      <c r="C477">
        <v>413877</v>
      </c>
      <c r="D477" s="16">
        <v>413.87700000000001</v>
      </c>
      <c r="E477" t="s">
        <v>724</v>
      </c>
      <c r="F477" s="16">
        <v>-0.1</v>
      </c>
      <c r="G477" s="16">
        <v>0.1</v>
      </c>
      <c r="H477" s="16">
        <v>0.1</v>
      </c>
      <c r="I477" t="s">
        <v>125</v>
      </c>
      <c r="J477">
        <v>1</v>
      </c>
      <c r="K477" t="s">
        <v>725</v>
      </c>
      <c r="L477" t="s">
        <v>385</v>
      </c>
      <c r="M477">
        <v>0</v>
      </c>
      <c r="N477" s="3" t="s">
        <v>238</v>
      </c>
      <c r="O477" s="3"/>
    </row>
    <row r="478" spans="1:15">
      <c r="A478" t="s">
        <v>1202</v>
      </c>
      <c r="B478" t="s">
        <v>474</v>
      </c>
      <c r="C478">
        <v>413877</v>
      </c>
      <c r="D478" s="16">
        <v>413.87700000000001</v>
      </c>
      <c r="E478" t="s">
        <v>727</v>
      </c>
      <c r="F478" s="16">
        <v>1</v>
      </c>
      <c r="G478" s="16">
        <v>1</v>
      </c>
      <c r="H478" s="16">
        <v>1</v>
      </c>
      <c r="I478" t="s">
        <v>728</v>
      </c>
      <c r="J478">
        <v>1</v>
      </c>
      <c r="K478" t="s">
        <v>720</v>
      </c>
      <c r="L478" t="s">
        <v>385</v>
      </c>
      <c r="M478">
        <v>0</v>
      </c>
      <c r="N478" s="3" t="s">
        <v>238</v>
      </c>
      <c r="O478" s="3"/>
    </row>
    <row r="479" spans="1:15">
      <c r="A479" t="s">
        <v>1203</v>
      </c>
      <c r="B479" t="s">
        <v>474</v>
      </c>
      <c r="C479">
        <v>413877</v>
      </c>
      <c r="D479" s="16">
        <v>413.87700000000001</v>
      </c>
      <c r="E479" t="s">
        <v>730</v>
      </c>
      <c r="F479" s="16">
        <v>0</v>
      </c>
      <c r="G479" s="16">
        <v>0</v>
      </c>
      <c r="H479" s="16">
        <v>0</v>
      </c>
      <c r="I479" t="s">
        <v>107</v>
      </c>
      <c r="J479">
        <v>1</v>
      </c>
      <c r="K479" t="s">
        <v>720</v>
      </c>
      <c r="L479" t="s">
        <v>385</v>
      </c>
      <c r="M479">
        <v>0</v>
      </c>
      <c r="N479" s="3" t="s">
        <v>238</v>
      </c>
      <c r="O479" s="3"/>
    </row>
    <row r="480" spans="1:15" ht="27.6">
      <c r="A480" t="s">
        <v>1204</v>
      </c>
      <c r="B480" t="s">
        <v>475</v>
      </c>
      <c r="C480">
        <v>418894</v>
      </c>
      <c r="D480" s="16">
        <v>418.89400000000001</v>
      </c>
      <c r="E480" t="s">
        <v>719</v>
      </c>
      <c r="F480" s="16">
        <v>27.3</v>
      </c>
      <c r="G480" s="16">
        <v>27.3</v>
      </c>
      <c r="H480" s="16">
        <v>27.3</v>
      </c>
      <c r="I480" t="s">
        <v>98</v>
      </c>
      <c r="J480">
        <v>1</v>
      </c>
      <c r="K480" t="s">
        <v>720</v>
      </c>
      <c r="L480" t="s">
        <v>385</v>
      </c>
      <c r="M480">
        <v>0</v>
      </c>
      <c r="N480" s="3" t="s">
        <v>257</v>
      </c>
      <c r="O480" s="3"/>
    </row>
    <row r="481" spans="1:15" ht="27.6">
      <c r="A481" t="s">
        <v>1205</v>
      </c>
      <c r="B481" t="s">
        <v>475</v>
      </c>
      <c r="C481">
        <v>418894</v>
      </c>
      <c r="D481" s="16">
        <v>418.89400000000001</v>
      </c>
      <c r="E481" t="s">
        <v>722</v>
      </c>
      <c r="F481" s="16">
        <v>80.3</v>
      </c>
      <c r="G481" s="16">
        <v>80.3</v>
      </c>
      <c r="H481" s="16">
        <v>80.3</v>
      </c>
      <c r="I481" t="s">
        <v>140</v>
      </c>
      <c r="J481">
        <v>1</v>
      </c>
      <c r="K481" t="s">
        <v>720</v>
      </c>
      <c r="L481" t="s">
        <v>385</v>
      </c>
      <c r="M481">
        <v>0</v>
      </c>
      <c r="N481" s="3" t="s">
        <v>257</v>
      </c>
      <c r="O481" s="3"/>
    </row>
    <row r="482" spans="1:15" ht="27.6">
      <c r="A482" t="s">
        <v>1206</v>
      </c>
      <c r="B482" t="s">
        <v>475</v>
      </c>
      <c r="C482">
        <v>418894</v>
      </c>
      <c r="D482" s="16">
        <v>418.89400000000001</v>
      </c>
      <c r="E482" t="s">
        <v>724</v>
      </c>
      <c r="F482" s="16">
        <v>0.1</v>
      </c>
      <c r="G482" s="16">
        <v>0.1</v>
      </c>
      <c r="H482" s="16">
        <v>0.1</v>
      </c>
      <c r="I482" t="s">
        <v>125</v>
      </c>
      <c r="J482">
        <v>1</v>
      </c>
      <c r="K482" t="s">
        <v>720</v>
      </c>
      <c r="L482" t="s">
        <v>385</v>
      </c>
      <c r="M482">
        <v>0</v>
      </c>
      <c r="N482" s="3" t="s">
        <v>257</v>
      </c>
      <c r="O482" s="3"/>
    </row>
    <row r="483" spans="1:15" ht="27.6">
      <c r="A483" t="s">
        <v>1207</v>
      </c>
      <c r="B483" t="s">
        <v>475</v>
      </c>
      <c r="C483">
        <v>418894</v>
      </c>
      <c r="D483" s="16">
        <v>418.89400000000001</v>
      </c>
      <c r="E483" t="s">
        <v>727</v>
      </c>
      <c r="F483" s="16">
        <v>1</v>
      </c>
      <c r="G483" s="16">
        <v>1</v>
      </c>
      <c r="H483" s="16">
        <v>1</v>
      </c>
      <c r="I483" t="s">
        <v>728</v>
      </c>
      <c r="J483">
        <v>1</v>
      </c>
      <c r="K483" t="s">
        <v>720</v>
      </c>
      <c r="L483" t="s">
        <v>385</v>
      </c>
      <c r="M483">
        <v>0</v>
      </c>
      <c r="N483" s="3" t="s">
        <v>257</v>
      </c>
      <c r="O483" s="3"/>
    </row>
    <row r="484" spans="1:15" ht="27.6">
      <c r="A484" t="s">
        <v>1208</v>
      </c>
      <c r="B484" t="s">
        <v>475</v>
      </c>
      <c r="C484">
        <v>418894</v>
      </c>
      <c r="D484" s="16">
        <v>418.89400000000001</v>
      </c>
      <c r="E484" t="s">
        <v>730</v>
      </c>
      <c r="F484" s="16">
        <v>0</v>
      </c>
      <c r="G484" s="16">
        <v>0</v>
      </c>
      <c r="H484" s="16">
        <v>0</v>
      </c>
      <c r="I484" t="s">
        <v>107</v>
      </c>
      <c r="J484">
        <v>1</v>
      </c>
      <c r="K484" t="s">
        <v>720</v>
      </c>
      <c r="L484" t="s">
        <v>385</v>
      </c>
      <c r="M484">
        <v>0</v>
      </c>
      <c r="N484" s="3" t="s">
        <v>257</v>
      </c>
      <c r="O484" s="3"/>
    </row>
    <row r="485" spans="1:15" ht="27.6">
      <c r="A485" t="s">
        <v>1209</v>
      </c>
      <c r="B485" t="s">
        <v>476</v>
      </c>
      <c r="C485">
        <v>423913</v>
      </c>
      <c r="D485" s="16">
        <v>423.91300000000001</v>
      </c>
      <c r="E485" t="s">
        <v>719</v>
      </c>
      <c r="F485" s="16">
        <v>27.2</v>
      </c>
      <c r="G485" s="16">
        <v>27.2</v>
      </c>
      <c r="H485" s="16">
        <v>27.2</v>
      </c>
      <c r="I485" t="s">
        <v>98</v>
      </c>
      <c r="J485">
        <v>1</v>
      </c>
      <c r="K485" t="s">
        <v>720</v>
      </c>
      <c r="L485" t="s">
        <v>385</v>
      </c>
      <c r="M485">
        <v>0</v>
      </c>
      <c r="N485" s="3" t="s">
        <v>257</v>
      </c>
      <c r="O485" s="3"/>
    </row>
    <row r="486" spans="1:15" ht="27.6">
      <c r="A486" t="s">
        <v>1210</v>
      </c>
      <c r="B486" t="s">
        <v>476</v>
      </c>
      <c r="C486">
        <v>423913</v>
      </c>
      <c r="D486" s="16">
        <v>423.91300000000001</v>
      </c>
      <c r="E486" t="s">
        <v>722</v>
      </c>
      <c r="F486" s="16">
        <v>80.2</v>
      </c>
      <c r="G486" s="16">
        <v>80.2</v>
      </c>
      <c r="H486" s="16">
        <v>80.2</v>
      </c>
      <c r="I486" t="s">
        <v>140</v>
      </c>
      <c r="J486">
        <v>1</v>
      </c>
      <c r="K486" t="s">
        <v>720</v>
      </c>
      <c r="L486" t="s">
        <v>385</v>
      </c>
      <c r="M486">
        <v>0</v>
      </c>
      <c r="N486" s="3" t="s">
        <v>257</v>
      </c>
      <c r="O486" s="3"/>
    </row>
    <row r="487" spans="1:15" ht="27.6">
      <c r="A487" t="s">
        <v>1211</v>
      </c>
      <c r="B487" t="s">
        <v>476</v>
      </c>
      <c r="C487">
        <v>423913</v>
      </c>
      <c r="D487" s="16">
        <v>423.91300000000001</v>
      </c>
      <c r="E487" t="s">
        <v>724</v>
      </c>
      <c r="F487" s="16">
        <v>0</v>
      </c>
      <c r="G487" s="16">
        <v>0</v>
      </c>
      <c r="H487" s="16">
        <v>0</v>
      </c>
      <c r="I487" t="s">
        <v>125</v>
      </c>
      <c r="J487">
        <v>1</v>
      </c>
      <c r="K487" t="s">
        <v>720</v>
      </c>
      <c r="L487" t="s">
        <v>385</v>
      </c>
      <c r="M487">
        <v>0</v>
      </c>
      <c r="N487" s="3" t="s">
        <v>257</v>
      </c>
      <c r="O487" s="3"/>
    </row>
    <row r="488" spans="1:15" ht="27.6">
      <c r="A488" t="s">
        <v>1212</v>
      </c>
      <c r="B488" t="s">
        <v>476</v>
      </c>
      <c r="C488">
        <v>423913</v>
      </c>
      <c r="D488" s="16">
        <v>423.91300000000001</v>
      </c>
      <c r="E488" t="s">
        <v>727</v>
      </c>
      <c r="F488" s="16">
        <v>1</v>
      </c>
      <c r="G488" s="16">
        <v>1</v>
      </c>
      <c r="H488" s="16">
        <v>1</v>
      </c>
      <c r="I488" t="s">
        <v>728</v>
      </c>
      <c r="J488">
        <v>1</v>
      </c>
      <c r="K488" t="s">
        <v>720</v>
      </c>
      <c r="L488" t="s">
        <v>385</v>
      </c>
      <c r="M488">
        <v>0</v>
      </c>
      <c r="N488" s="3" t="s">
        <v>257</v>
      </c>
      <c r="O488" s="3"/>
    </row>
    <row r="489" spans="1:15" ht="27.6">
      <c r="A489" t="s">
        <v>1213</v>
      </c>
      <c r="B489" t="s">
        <v>476</v>
      </c>
      <c r="C489">
        <v>423913</v>
      </c>
      <c r="D489" s="16">
        <v>423.91300000000001</v>
      </c>
      <c r="E489" t="s">
        <v>730</v>
      </c>
      <c r="F489" s="16">
        <v>0</v>
      </c>
      <c r="G489" s="16">
        <v>0</v>
      </c>
      <c r="H489" s="16">
        <v>0</v>
      </c>
      <c r="I489" t="s">
        <v>107</v>
      </c>
      <c r="J489">
        <v>1</v>
      </c>
      <c r="K489" t="s">
        <v>720</v>
      </c>
      <c r="L489" t="s">
        <v>385</v>
      </c>
      <c r="M489">
        <v>0</v>
      </c>
      <c r="N489" s="3" t="s">
        <v>257</v>
      </c>
      <c r="O489" s="3"/>
    </row>
    <row r="490" spans="1:15" ht="27.6">
      <c r="A490" t="s">
        <v>1214</v>
      </c>
      <c r="B490" t="s">
        <v>477</v>
      </c>
      <c r="C490">
        <v>428932</v>
      </c>
      <c r="D490" s="16">
        <v>428.93200000000002</v>
      </c>
      <c r="E490" t="s">
        <v>719</v>
      </c>
      <c r="F490" s="16">
        <v>27.3</v>
      </c>
      <c r="G490" s="16">
        <v>27.3</v>
      </c>
      <c r="H490" s="16">
        <v>27.3</v>
      </c>
      <c r="I490" t="s">
        <v>98</v>
      </c>
      <c r="J490">
        <v>1</v>
      </c>
      <c r="K490" t="s">
        <v>720</v>
      </c>
      <c r="L490" t="s">
        <v>385</v>
      </c>
      <c r="M490">
        <v>0</v>
      </c>
      <c r="N490" s="3" t="s">
        <v>257</v>
      </c>
      <c r="O490" s="3"/>
    </row>
    <row r="491" spans="1:15" ht="27.6">
      <c r="A491" t="s">
        <v>1215</v>
      </c>
      <c r="B491" t="s">
        <v>477</v>
      </c>
      <c r="C491">
        <v>428932</v>
      </c>
      <c r="D491" s="16">
        <v>428.93200000000002</v>
      </c>
      <c r="E491" t="s">
        <v>722</v>
      </c>
      <c r="F491" s="16">
        <v>80.099999999999994</v>
      </c>
      <c r="G491" s="16">
        <v>80.099999999999994</v>
      </c>
      <c r="H491" s="16">
        <v>80.099999999999994</v>
      </c>
      <c r="I491" t="s">
        <v>140</v>
      </c>
      <c r="J491">
        <v>1</v>
      </c>
      <c r="K491" t="s">
        <v>720</v>
      </c>
      <c r="L491" t="s">
        <v>385</v>
      </c>
      <c r="M491">
        <v>0</v>
      </c>
      <c r="N491" s="3" t="s">
        <v>257</v>
      </c>
      <c r="O491" s="3"/>
    </row>
    <row r="492" spans="1:15" ht="27.6">
      <c r="A492" t="s">
        <v>1216</v>
      </c>
      <c r="B492" t="s">
        <v>477</v>
      </c>
      <c r="C492">
        <v>428932</v>
      </c>
      <c r="D492" s="16">
        <v>428.93200000000002</v>
      </c>
      <c r="E492" t="s">
        <v>724</v>
      </c>
      <c r="F492" s="16">
        <v>0.1</v>
      </c>
      <c r="G492" s="16">
        <v>0.1</v>
      </c>
      <c r="H492" s="16">
        <v>0.1</v>
      </c>
      <c r="I492" t="s">
        <v>125</v>
      </c>
      <c r="J492">
        <v>1</v>
      </c>
      <c r="K492" t="s">
        <v>720</v>
      </c>
      <c r="L492" t="s">
        <v>385</v>
      </c>
      <c r="M492">
        <v>0</v>
      </c>
      <c r="N492" s="3" t="s">
        <v>257</v>
      </c>
      <c r="O492" s="3"/>
    </row>
    <row r="493" spans="1:15" ht="27.6">
      <c r="A493" t="s">
        <v>1217</v>
      </c>
      <c r="B493" t="s">
        <v>477</v>
      </c>
      <c r="C493">
        <v>428932</v>
      </c>
      <c r="D493" s="16">
        <v>428.93200000000002</v>
      </c>
      <c r="E493" t="s">
        <v>727</v>
      </c>
      <c r="F493" s="16">
        <v>1</v>
      </c>
      <c r="G493" s="16">
        <v>1</v>
      </c>
      <c r="H493" s="16">
        <v>1</v>
      </c>
      <c r="I493" t="s">
        <v>728</v>
      </c>
      <c r="J493">
        <v>1</v>
      </c>
      <c r="K493" t="s">
        <v>720</v>
      </c>
      <c r="L493" t="s">
        <v>385</v>
      </c>
      <c r="M493">
        <v>0</v>
      </c>
      <c r="N493" s="3" t="s">
        <v>257</v>
      </c>
      <c r="O493" s="3"/>
    </row>
    <row r="494" spans="1:15" ht="27.6">
      <c r="A494" t="s">
        <v>1218</v>
      </c>
      <c r="B494" t="s">
        <v>477</v>
      </c>
      <c r="C494">
        <v>428932</v>
      </c>
      <c r="D494" s="16">
        <v>428.93200000000002</v>
      </c>
      <c r="E494" t="s">
        <v>730</v>
      </c>
      <c r="F494" s="16">
        <v>0</v>
      </c>
      <c r="G494" s="16">
        <v>0</v>
      </c>
      <c r="H494" s="16">
        <v>0</v>
      </c>
      <c r="I494" t="s">
        <v>107</v>
      </c>
      <c r="J494">
        <v>1</v>
      </c>
      <c r="K494" t="s">
        <v>720</v>
      </c>
      <c r="L494" t="s">
        <v>385</v>
      </c>
      <c r="M494">
        <v>0</v>
      </c>
      <c r="N494" s="3" t="s">
        <v>257</v>
      </c>
      <c r="O494" s="3"/>
    </row>
    <row r="495" spans="1:15" ht="27.6">
      <c r="A495" t="s">
        <v>1219</v>
      </c>
      <c r="B495" t="s">
        <v>478</v>
      </c>
      <c r="C495">
        <v>433951</v>
      </c>
      <c r="D495" s="16">
        <v>433.95100000000002</v>
      </c>
      <c r="E495" t="s">
        <v>719</v>
      </c>
      <c r="F495" s="16">
        <v>27.3</v>
      </c>
      <c r="G495" s="16">
        <v>27.3</v>
      </c>
      <c r="H495" s="16">
        <v>27.3</v>
      </c>
      <c r="I495" t="s">
        <v>98</v>
      </c>
      <c r="J495">
        <v>1</v>
      </c>
      <c r="K495" t="s">
        <v>720</v>
      </c>
      <c r="L495" t="s">
        <v>385</v>
      </c>
      <c r="M495">
        <v>0</v>
      </c>
      <c r="N495" s="3" t="s">
        <v>257</v>
      </c>
      <c r="O495" s="3"/>
    </row>
    <row r="496" spans="1:15" ht="27.6">
      <c r="A496" t="s">
        <v>1220</v>
      </c>
      <c r="B496" t="s">
        <v>478</v>
      </c>
      <c r="C496">
        <v>433951</v>
      </c>
      <c r="D496" s="16">
        <v>433.95100000000002</v>
      </c>
      <c r="E496" t="s">
        <v>722</v>
      </c>
      <c r="F496" s="16">
        <v>80.099999999999994</v>
      </c>
      <c r="G496" s="16">
        <v>80.099999999999994</v>
      </c>
      <c r="H496" s="16">
        <v>80.099999999999994</v>
      </c>
      <c r="I496" t="s">
        <v>140</v>
      </c>
      <c r="J496">
        <v>1</v>
      </c>
      <c r="K496" t="s">
        <v>720</v>
      </c>
      <c r="L496" t="s">
        <v>385</v>
      </c>
      <c r="M496">
        <v>0</v>
      </c>
      <c r="N496" s="3" t="s">
        <v>257</v>
      </c>
      <c r="O496" s="3"/>
    </row>
    <row r="497" spans="1:15" ht="27.6">
      <c r="A497" t="s">
        <v>1221</v>
      </c>
      <c r="B497" t="s">
        <v>478</v>
      </c>
      <c r="C497">
        <v>433951</v>
      </c>
      <c r="D497" s="16">
        <v>433.95100000000002</v>
      </c>
      <c r="E497" t="s">
        <v>724</v>
      </c>
      <c r="F497" s="16">
        <v>0</v>
      </c>
      <c r="G497" s="16">
        <v>0</v>
      </c>
      <c r="H497" s="16">
        <v>0</v>
      </c>
      <c r="I497" t="s">
        <v>125</v>
      </c>
      <c r="J497">
        <v>1</v>
      </c>
      <c r="K497" t="s">
        <v>720</v>
      </c>
      <c r="L497" t="s">
        <v>385</v>
      </c>
      <c r="M497">
        <v>0</v>
      </c>
      <c r="N497" s="3" t="s">
        <v>257</v>
      </c>
      <c r="O497" s="3"/>
    </row>
    <row r="498" spans="1:15" ht="27.6">
      <c r="A498" t="s">
        <v>1222</v>
      </c>
      <c r="B498" t="s">
        <v>478</v>
      </c>
      <c r="C498">
        <v>433951</v>
      </c>
      <c r="D498" s="16">
        <v>433.95100000000002</v>
      </c>
      <c r="E498" t="s">
        <v>727</v>
      </c>
      <c r="F498" s="16">
        <v>1</v>
      </c>
      <c r="G498" s="16">
        <v>1</v>
      </c>
      <c r="H498" s="16">
        <v>1</v>
      </c>
      <c r="I498" t="s">
        <v>728</v>
      </c>
      <c r="J498">
        <v>1</v>
      </c>
      <c r="K498" t="s">
        <v>720</v>
      </c>
      <c r="L498" t="s">
        <v>385</v>
      </c>
      <c r="M498">
        <v>0</v>
      </c>
      <c r="N498" s="3" t="s">
        <v>257</v>
      </c>
      <c r="O498" s="3"/>
    </row>
    <row r="499" spans="1:15" ht="27.6">
      <c r="A499" t="s">
        <v>1223</v>
      </c>
      <c r="B499" t="s">
        <v>478</v>
      </c>
      <c r="C499">
        <v>433951</v>
      </c>
      <c r="D499" s="16">
        <v>433.95100000000002</v>
      </c>
      <c r="E499" t="s">
        <v>730</v>
      </c>
      <c r="F499" s="16">
        <v>0</v>
      </c>
      <c r="G499" s="16">
        <v>0</v>
      </c>
      <c r="H499" s="16">
        <v>0</v>
      </c>
      <c r="I499" t="s">
        <v>107</v>
      </c>
      <c r="J499">
        <v>1</v>
      </c>
      <c r="K499" t="s">
        <v>720</v>
      </c>
      <c r="L499" t="s">
        <v>385</v>
      </c>
      <c r="M499">
        <v>0</v>
      </c>
      <c r="N499" s="3" t="s">
        <v>257</v>
      </c>
      <c r="O499" s="3"/>
    </row>
    <row r="500" spans="1:15" ht="27.6">
      <c r="A500" t="s">
        <v>1224</v>
      </c>
      <c r="B500" t="s">
        <v>479</v>
      </c>
      <c r="C500">
        <v>438969</v>
      </c>
      <c r="D500" s="16">
        <v>438.96899999999999</v>
      </c>
      <c r="E500" t="s">
        <v>719</v>
      </c>
      <c r="F500" s="16">
        <v>27.3</v>
      </c>
      <c r="G500" s="16">
        <v>27.3</v>
      </c>
      <c r="H500" s="16">
        <v>27.3</v>
      </c>
      <c r="I500" t="s">
        <v>98</v>
      </c>
      <c r="J500">
        <v>1</v>
      </c>
      <c r="K500" t="s">
        <v>720</v>
      </c>
      <c r="L500" t="s">
        <v>385</v>
      </c>
      <c r="M500">
        <v>0</v>
      </c>
      <c r="N500" s="3" t="s">
        <v>257</v>
      </c>
      <c r="O500" s="3"/>
    </row>
    <row r="501" spans="1:15" ht="27.6">
      <c r="A501" t="s">
        <v>1225</v>
      </c>
      <c r="B501" t="s">
        <v>479</v>
      </c>
      <c r="C501">
        <v>438969</v>
      </c>
      <c r="D501" s="16">
        <v>438.96899999999999</v>
      </c>
      <c r="E501" t="s">
        <v>722</v>
      </c>
      <c r="F501" s="16">
        <v>80</v>
      </c>
      <c r="G501" s="16">
        <v>80</v>
      </c>
      <c r="H501" s="16">
        <v>80</v>
      </c>
      <c r="I501" t="s">
        <v>140</v>
      </c>
      <c r="J501">
        <v>1</v>
      </c>
      <c r="K501" t="s">
        <v>720</v>
      </c>
      <c r="L501" t="s">
        <v>385</v>
      </c>
      <c r="M501">
        <v>0</v>
      </c>
      <c r="N501" s="3" t="s">
        <v>257</v>
      </c>
      <c r="O501" s="3"/>
    </row>
    <row r="502" spans="1:15" ht="27.6">
      <c r="A502" t="s">
        <v>1226</v>
      </c>
      <c r="B502" t="s">
        <v>479</v>
      </c>
      <c r="C502">
        <v>438969</v>
      </c>
      <c r="D502" s="16">
        <v>438.96899999999999</v>
      </c>
      <c r="E502" t="s">
        <v>724</v>
      </c>
      <c r="F502" s="16">
        <v>0</v>
      </c>
      <c r="G502" s="16">
        <v>0</v>
      </c>
      <c r="H502" s="16">
        <v>0</v>
      </c>
      <c r="I502" t="s">
        <v>125</v>
      </c>
      <c r="J502">
        <v>1</v>
      </c>
      <c r="K502" t="s">
        <v>720</v>
      </c>
      <c r="L502" t="s">
        <v>385</v>
      </c>
      <c r="M502">
        <v>0</v>
      </c>
      <c r="N502" s="3" t="s">
        <v>257</v>
      </c>
      <c r="O502" s="3"/>
    </row>
    <row r="503" spans="1:15" ht="27.6">
      <c r="A503" t="s">
        <v>1227</v>
      </c>
      <c r="B503" t="s">
        <v>479</v>
      </c>
      <c r="C503">
        <v>438969</v>
      </c>
      <c r="D503" s="16">
        <v>438.96899999999999</v>
      </c>
      <c r="E503" t="s">
        <v>727</v>
      </c>
      <c r="F503" s="16">
        <v>0</v>
      </c>
      <c r="G503" s="16">
        <v>0</v>
      </c>
      <c r="H503" s="16">
        <v>0</v>
      </c>
      <c r="I503" t="s">
        <v>728</v>
      </c>
      <c r="J503">
        <v>1</v>
      </c>
      <c r="K503" t="s">
        <v>720</v>
      </c>
      <c r="L503" t="s">
        <v>385</v>
      </c>
      <c r="M503">
        <v>0</v>
      </c>
      <c r="N503" s="3" t="s">
        <v>257</v>
      </c>
      <c r="O503" s="3"/>
    </row>
    <row r="504" spans="1:15" ht="27.6">
      <c r="A504" t="s">
        <v>1228</v>
      </c>
      <c r="B504" t="s">
        <v>479</v>
      </c>
      <c r="C504">
        <v>438969</v>
      </c>
      <c r="D504" s="16">
        <v>438.96899999999999</v>
      </c>
      <c r="E504" t="s">
        <v>730</v>
      </c>
      <c r="F504" s="16">
        <v>0</v>
      </c>
      <c r="G504" s="16">
        <v>0</v>
      </c>
      <c r="H504" s="16">
        <v>0</v>
      </c>
      <c r="I504" t="s">
        <v>107</v>
      </c>
      <c r="J504">
        <v>1</v>
      </c>
      <c r="K504" t="s">
        <v>720</v>
      </c>
      <c r="L504" t="s">
        <v>385</v>
      </c>
      <c r="M504">
        <v>0</v>
      </c>
      <c r="N504" s="3" t="s">
        <v>257</v>
      </c>
      <c r="O504" s="3"/>
    </row>
    <row r="505" spans="1:15">
      <c r="A505" t="s">
        <v>1229</v>
      </c>
      <c r="B505" t="s">
        <v>480</v>
      </c>
      <c r="C505">
        <v>443988</v>
      </c>
      <c r="D505" s="16">
        <v>443.988</v>
      </c>
      <c r="E505" t="s">
        <v>719</v>
      </c>
      <c r="F505" s="16">
        <v>27.3</v>
      </c>
      <c r="G505" s="16">
        <v>27.3</v>
      </c>
      <c r="H505" s="16">
        <v>27.3</v>
      </c>
      <c r="I505" t="s">
        <v>98</v>
      </c>
      <c r="J505">
        <v>1</v>
      </c>
      <c r="K505" t="s">
        <v>720</v>
      </c>
      <c r="L505" t="s">
        <v>385</v>
      </c>
      <c r="M505">
        <v>0</v>
      </c>
      <c r="N505" s="3" t="s">
        <v>238</v>
      </c>
      <c r="O505" s="3"/>
    </row>
    <row r="506" spans="1:15">
      <c r="A506" t="s">
        <v>1230</v>
      </c>
      <c r="B506" t="s">
        <v>480</v>
      </c>
      <c r="C506">
        <v>443988</v>
      </c>
      <c r="D506" s="16">
        <v>443.988</v>
      </c>
      <c r="E506" t="s">
        <v>722</v>
      </c>
      <c r="F506" s="16">
        <v>80</v>
      </c>
      <c r="G506" s="16">
        <v>80</v>
      </c>
      <c r="H506" s="16">
        <v>80</v>
      </c>
      <c r="I506" t="s">
        <v>140</v>
      </c>
      <c r="J506">
        <v>1</v>
      </c>
      <c r="K506" t="s">
        <v>720</v>
      </c>
      <c r="L506" t="s">
        <v>385</v>
      </c>
      <c r="M506">
        <v>0</v>
      </c>
      <c r="N506" s="3" t="s">
        <v>238</v>
      </c>
      <c r="O506" s="3"/>
    </row>
    <row r="507" spans="1:15">
      <c r="A507" t="s">
        <v>1231</v>
      </c>
      <c r="B507" t="s">
        <v>480</v>
      </c>
      <c r="C507">
        <v>443988</v>
      </c>
      <c r="D507" s="16">
        <v>443.988</v>
      </c>
      <c r="E507" t="s">
        <v>724</v>
      </c>
      <c r="F507" s="16">
        <v>-0.8</v>
      </c>
      <c r="G507" s="16">
        <v>0.8</v>
      </c>
      <c r="H507" s="16">
        <v>0.8</v>
      </c>
      <c r="I507" t="s">
        <v>125</v>
      </c>
      <c r="J507">
        <v>1</v>
      </c>
      <c r="K507" t="s">
        <v>725</v>
      </c>
      <c r="L507" t="s">
        <v>385</v>
      </c>
      <c r="M507">
        <v>0</v>
      </c>
      <c r="N507" s="3" t="s">
        <v>238</v>
      </c>
      <c r="O507" s="3"/>
    </row>
    <row r="508" spans="1:15">
      <c r="A508" t="s">
        <v>1232</v>
      </c>
      <c r="B508" t="s">
        <v>480</v>
      </c>
      <c r="C508">
        <v>443988</v>
      </c>
      <c r="D508" s="16">
        <v>443.988</v>
      </c>
      <c r="E508" t="s">
        <v>727</v>
      </c>
      <c r="F508" s="16">
        <v>1</v>
      </c>
      <c r="G508" s="16">
        <v>1</v>
      </c>
      <c r="H508" s="16">
        <v>1</v>
      </c>
      <c r="I508" t="s">
        <v>728</v>
      </c>
      <c r="J508">
        <v>1</v>
      </c>
      <c r="K508" t="s">
        <v>720</v>
      </c>
      <c r="L508" t="s">
        <v>385</v>
      </c>
      <c r="M508">
        <v>0</v>
      </c>
      <c r="N508" s="3" t="s">
        <v>238</v>
      </c>
      <c r="O508" s="3"/>
    </row>
    <row r="509" spans="1:15">
      <c r="A509" t="s">
        <v>1233</v>
      </c>
      <c r="B509" t="s">
        <v>480</v>
      </c>
      <c r="C509">
        <v>443988</v>
      </c>
      <c r="D509" s="16">
        <v>443.988</v>
      </c>
      <c r="E509" t="s">
        <v>730</v>
      </c>
      <c r="F509" s="16">
        <v>0</v>
      </c>
      <c r="G509" s="16">
        <v>0</v>
      </c>
      <c r="H509" s="16">
        <v>0</v>
      </c>
      <c r="I509" t="s">
        <v>107</v>
      </c>
      <c r="J509">
        <v>1</v>
      </c>
      <c r="K509" t="s">
        <v>720</v>
      </c>
      <c r="L509" t="s">
        <v>385</v>
      </c>
      <c r="M509">
        <v>0</v>
      </c>
      <c r="N509" s="3" t="s">
        <v>238</v>
      </c>
      <c r="O509" s="3"/>
    </row>
    <row r="510" spans="1:15">
      <c r="A510" t="s">
        <v>1234</v>
      </c>
      <c r="B510" t="s">
        <v>481</v>
      </c>
      <c r="C510">
        <v>449007</v>
      </c>
      <c r="D510" s="16">
        <v>449.00700000000001</v>
      </c>
      <c r="E510" t="s">
        <v>719</v>
      </c>
      <c r="F510" s="16">
        <v>27.3</v>
      </c>
      <c r="G510" s="16">
        <v>27.3</v>
      </c>
      <c r="H510" s="16">
        <v>27.3</v>
      </c>
      <c r="I510" t="s">
        <v>98</v>
      </c>
      <c r="J510">
        <v>1</v>
      </c>
      <c r="K510" t="s">
        <v>720</v>
      </c>
      <c r="L510" t="s">
        <v>385</v>
      </c>
      <c r="M510">
        <v>0</v>
      </c>
      <c r="N510" s="3" t="s">
        <v>238</v>
      </c>
      <c r="O510" s="3"/>
    </row>
    <row r="511" spans="1:15">
      <c r="A511" t="s">
        <v>1235</v>
      </c>
      <c r="B511" t="s">
        <v>481</v>
      </c>
      <c r="C511">
        <v>449007</v>
      </c>
      <c r="D511" s="16">
        <v>449.00700000000001</v>
      </c>
      <c r="E511" t="s">
        <v>722</v>
      </c>
      <c r="F511" s="16">
        <v>80.099999999999994</v>
      </c>
      <c r="G511" s="16">
        <v>80.099999999999994</v>
      </c>
      <c r="H511" s="16">
        <v>80.099999999999994</v>
      </c>
      <c r="I511" t="s">
        <v>140</v>
      </c>
      <c r="J511">
        <v>1</v>
      </c>
      <c r="K511" t="s">
        <v>720</v>
      </c>
      <c r="L511" t="s">
        <v>385</v>
      </c>
      <c r="M511">
        <v>0</v>
      </c>
      <c r="N511" s="3" t="s">
        <v>238</v>
      </c>
      <c r="O511" s="3"/>
    </row>
    <row r="512" spans="1:15">
      <c r="A512" t="s">
        <v>1236</v>
      </c>
      <c r="B512" t="s">
        <v>481</v>
      </c>
      <c r="C512">
        <v>449007</v>
      </c>
      <c r="D512" s="16">
        <v>449.00700000000001</v>
      </c>
      <c r="E512" t="s">
        <v>724</v>
      </c>
      <c r="F512" s="16">
        <v>-1.1000000000000001</v>
      </c>
      <c r="G512" s="16">
        <v>1.1000000000000001</v>
      </c>
      <c r="H512" s="16">
        <v>1.1000000000000001</v>
      </c>
      <c r="I512" t="s">
        <v>125</v>
      </c>
      <c r="J512">
        <v>1</v>
      </c>
      <c r="K512" t="s">
        <v>725</v>
      </c>
      <c r="L512" t="s">
        <v>385</v>
      </c>
      <c r="M512">
        <v>0</v>
      </c>
      <c r="N512" s="3" t="s">
        <v>238</v>
      </c>
      <c r="O512" s="3"/>
    </row>
    <row r="513" spans="1:15">
      <c r="A513" t="s">
        <v>1237</v>
      </c>
      <c r="B513" t="s">
        <v>481</v>
      </c>
      <c r="C513">
        <v>449007</v>
      </c>
      <c r="D513" s="16">
        <v>449.00700000000001</v>
      </c>
      <c r="E513" t="s">
        <v>727</v>
      </c>
      <c r="F513" s="16">
        <v>1</v>
      </c>
      <c r="G513" s="16">
        <v>1</v>
      </c>
      <c r="H513" s="16">
        <v>1</v>
      </c>
      <c r="I513" t="s">
        <v>728</v>
      </c>
      <c r="J513">
        <v>1</v>
      </c>
      <c r="K513" t="s">
        <v>720</v>
      </c>
      <c r="L513" t="s">
        <v>385</v>
      </c>
      <c r="M513">
        <v>0</v>
      </c>
      <c r="N513" s="3" t="s">
        <v>238</v>
      </c>
      <c r="O513" s="3"/>
    </row>
    <row r="514" spans="1:15">
      <c r="A514" t="s">
        <v>1238</v>
      </c>
      <c r="B514" t="s">
        <v>481</v>
      </c>
      <c r="C514">
        <v>449007</v>
      </c>
      <c r="D514" s="16">
        <v>449.00700000000001</v>
      </c>
      <c r="E514" t="s">
        <v>730</v>
      </c>
      <c r="F514" s="16">
        <v>0</v>
      </c>
      <c r="G514" s="16">
        <v>0</v>
      </c>
      <c r="H514" s="16">
        <v>0</v>
      </c>
      <c r="I514" t="s">
        <v>107</v>
      </c>
      <c r="J514">
        <v>1</v>
      </c>
      <c r="K514" t="s">
        <v>720</v>
      </c>
      <c r="L514" t="s">
        <v>385</v>
      </c>
      <c r="M514">
        <v>0</v>
      </c>
      <c r="N514" s="3" t="s">
        <v>238</v>
      </c>
      <c r="O514" s="3"/>
    </row>
    <row r="515" spans="1:15" ht="27.6">
      <c r="A515" t="s">
        <v>1239</v>
      </c>
      <c r="B515" t="s">
        <v>482</v>
      </c>
      <c r="C515">
        <v>454025</v>
      </c>
      <c r="D515" s="16">
        <v>454.02499999999998</v>
      </c>
      <c r="E515" t="s">
        <v>719</v>
      </c>
      <c r="F515" s="16">
        <v>27.3</v>
      </c>
      <c r="G515" s="16">
        <v>27.3</v>
      </c>
      <c r="H515" s="16">
        <v>27.3</v>
      </c>
      <c r="I515" t="s">
        <v>98</v>
      </c>
      <c r="J515">
        <v>1</v>
      </c>
      <c r="K515" t="s">
        <v>720</v>
      </c>
      <c r="L515" t="s">
        <v>385</v>
      </c>
      <c r="M515">
        <v>1</v>
      </c>
      <c r="N515" s="3" t="s">
        <v>238</v>
      </c>
      <c r="O515" s="3" t="s">
        <v>433</v>
      </c>
    </row>
    <row r="516" spans="1:15" ht="27.6">
      <c r="A516" t="s">
        <v>1240</v>
      </c>
      <c r="B516" t="s">
        <v>482</v>
      </c>
      <c r="C516">
        <v>454025</v>
      </c>
      <c r="D516" s="16">
        <v>454.02499999999998</v>
      </c>
      <c r="E516" t="s">
        <v>722</v>
      </c>
      <c r="F516" s="16">
        <v>80.099999999999994</v>
      </c>
      <c r="G516" s="16">
        <v>80.099999999999994</v>
      </c>
      <c r="H516" s="16">
        <v>80.099999999999994</v>
      </c>
      <c r="I516" t="s">
        <v>140</v>
      </c>
      <c r="J516">
        <v>1</v>
      </c>
      <c r="K516" t="s">
        <v>720</v>
      </c>
      <c r="L516" t="s">
        <v>385</v>
      </c>
      <c r="M516">
        <v>1</v>
      </c>
      <c r="N516" s="3" t="s">
        <v>238</v>
      </c>
      <c r="O516" s="3" t="s">
        <v>433</v>
      </c>
    </row>
    <row r="517" spans="1:15" ht="27.6">
      <c r="A517" t="s">
        <v>1241</v>
      </c>
      <c r="B517" t="s">
        <v>482</v>
      </c>
      <c r="C517">
        <v>454025</v>
      </c>
      <c r="D517" s="16">
        <v>454.02499999999998</v>
      </c>
      <c r="E517" t="s">
        <v>724</v>
      </c>
      <c r="F517" s="16">
        <v>-1.2</v>
      </c>
      <c r="G517" s="16">
        <v>1.2</v>
      </c>
      <c r="H517" s="16">
        <v>1.2</v>
      </c>
      <c r="I517" t="s">
        <v>125</v>
      </c>
      <c r="J517">
        <v>1</v>
      </c>
      <c r="K517" t="s">
        <v>725</v>
      </c>
      <c r="L517" t="s">
        <v>385</v>
      </c>
      <c r="M517">
        <v>1</v>
      </c>
      <c r="N517" s="3" t="s">
        <v>238</v>
      </c>
      <c r="O517" s="3" t="s">
        <v>433</v>
      </c>
    </row>
    <row r="518" spans="1:15" ht="27.6">
      <c r="A518" t="s">
        <v>1242</v>
      </c>
      <c r="B518" t="s">
        <v>482</v>
      </c>
      <c r="C518">
        <v>454025</v>
      </c>
      <c r="D518" s="16">
        <v>454.02499999999998</v>
      </c>
      <c r="E518" t="s">
        <v>727</v>
      </c>
      <c r="F518" s="16">
        <v>1</v>
      </c>
      <c r="G518" s="16">
        <v>1</v>
      </c>
      <c r="H518" s="16">
        <v>1</v>
      </c>
      <c r="I518" t="s">
        <v>728</v>
      </c>
      <c r="J518">
        <v>1</v>
      </c>
      <c r="K518" t="s">
        <v>720</v>
      </c>
      <c r="L518" t="s">
        <v>385</v>
      </c>
      <c r="M518">
        <v>1</v>
      </c>
      <c r="N518" s="3" t="s">
        <v>238</v>
      </c>
      <c r="O518" s="3" t="s">
        <v>433</v>
      </c>
    </row>
    <row r="519" spans="1:15" ht="27.6">
      <c r="A519" t="s">
        <v>1243</v>
      </c>
      <c r="B519" t="s">
        <v>482</v>
      </c>
      <c r="C519">
        <v>454025</v>
      </c>
      <c r="D519" s="16">
        <v>454.02499999999998</v>
      </c>
      <c r="E519" t="s">
        <v>730</v>
      </c>
      <c r="F519" s="16">
        <v>0</v>
      </c>
      <c r="G519" s="16">
        <v>0</v>
      </c>
      <c r="H519" s="16">
        <v>0</v>
      </c>
      <c r="I519" t="s">
        <v>107</v>
      </c>
      <c r="J519">
        <v>1</v>
      </c>
      <c r="K519" t="s">
        <v>720</v>
      </c>
      <c r="L519" t="s">
        <v>385</v>
      </c>
      <c r="M519">
        <v>1</v>
      </c>
      <c r="N519" s="3" t="s">
        <v>238</v>
      </c>
      <c r="O519" s="3" t="s">
        <v>433</v>
      </c>
    </row>
    <row r="520" spans="1:15" ht="27.6">
      <c r="A520" t="s">
        <v>1244</v>
      </c>
      <c r="B520" t="s">
        <v>485</v>
      </c>
      <c r="C520">
        <v>466339</v>
      </c>
      <c r="D520" s="16">
        <v>466.339</v>
      </c>
      <c r="E520" t="s">
        <v>719</v>
      </c>
      <c r="F520" s="16">
        <v>27.3</v>
      </c>
      <c r="G520" s="16">
        <v>27.3</v>
      </c>
      <c r="H520" s="16">
        <v>27.3</v>
      </c>
      <c r="I520" t="s">
        <v>98</v>
      </c>
      <c r="J520">
        <v>1</v>
      </c>
      <c r="K520" t="s">
        <v>720</v>
      </c>
      <c r="L520" t="s">
        <v>385</v>
      </c>
      <c r="M520">
        <v>1</v>
      </c>
      <c r="N520" s="3" t="s">
        <v>257</v>
      </c>
      <c r="O520" s="3"/>
    </row>
    <row r="521" spans="1:15" ht="27.6">
      <c r="A521" t="s">
        <v>1245</v>
      </c>
      <c r="B521" t="s">
        <v>485</v>
      </c>
      <c r="C521">
        <v>466339</v>
      </c>
      <c r="D521" s="16">
        <v>466.339</v>
      </c>
      <c r="E521" t="s">
        <v>722</v>
      </c>
      <c r="F521" s="16">
        <v>80.3</v>
      </c>
      <c r="G521" s="16">
        <v>80.3</v>
      </c>
      <c r="H521" s="16">
        <v>80.3</v>
      </c>
      <c r="I521" t="s">
        <v>140</v>
      </c>
      <c r="J521">
        <v>1</v>
      </c>
      <c r="K521" t="s">
        <v>720</v>
      </c>
      <c r="L521" t="s">
        <v>385</v>
      </c>
      <c r="M521">
        <v>1</v>
      </c>
      <c r="N521" s="3" t="s">
        <v>257</v>
      </c>
      <c r="O521" s="3"/>
    </row>
    <row r="522" spans="1:15" ht="27.6">
      <c r="A522" t="s">
        <v>1246</v>
      </c>
      <c r="B522" t="s">
        <v>485</v>
      </c>
      <c r="C522">
        <v>466339</v>
      </c>
      <c r="D522" s="16">
        <v>466.339</v>
      </c>
      <c r="E522" t="s">
        <v>724</v>
      </c>
      <c r="F522" s="16">
        <v>31.1</v>
      </c>
      <c r="G522" s="16">
        <v>31.1</v>
      </c>
      <c r="H522" s="16">
        <v>31.1</v>
      </c>
      <c r="I522" t="s">
        <v>125</v>
      </c>
      <c r="J522">
        <v>1</v>
      </c>
      <c r="K522" t="s">
        <v>720</v>
      </c>
      <c r="L522" t="s">
        <v>385</v>
      </c>
      <c r="M522">
        <v>1</v>
      </c>
      <c r="N522" s="3" t="s">
        <v>257</v>
      </c>
      <c r="O522" s="3"/>
    </row>
    <row r="523" spans="1:15" ht="27.6">
      <c r="A523" t="s">
        <v>1247</v>
      </c>
      <c r="B523" t="s">
        <v>485</v>
      </c>
      <c r="C523">
        <v>466339</v>
      </c>
      <c r="D523" s="16">
        <v>466.339</v>
      </c>
      <c r="E523" t="s">
        <v>727</v>
      </c>
      <c r="F523" s="16">
        <v>1</v>
      </c>
      <c r="G523" s="16">
        <v>1</v>
      </c>
      <c r="H523" s="16">
        <v>1</v>
      </c>
      <c r="I523" t="s">
        <v>728</v>
      </c>
      <c r="J523">
        <v>1</v>
      </c>
      <c r="K523" t="s">
        <v>720</v>
      </c>
      <c r="L523" t="s">
        <v>385</v>
      </c>
      <c r="M523">
        <v>1</v>
      </c>
      <c r="N523" s="3" t="s">
        <v>257</v>
      </c>
      <c r="O523" s="3"/>
    </row>
    <row r="524" spans="1:15" ht="27.6">
      <c r="A524" t="s">
        <v>1248</v>
      </c>
      <c r="B524" t="s">
        <v>485</v>
      </c>
      <c r="C524">
        <v>466339</v>
      </c>
      <c r="D524" s="16">
        <v>466.339</v>
      </c>
      <c r="E524" t="s">
        <v>730</v>
      </c>
      <c r="F524" s="16">
        <v>0</v>
      </c>
      <c r="G524" s="16">
        <v>0</v>
      </c>
      <c r="H524" s="16">
        <v>0</v>
      </c>
      <c r="I524" t="s">
        <v>107</v>
      </c>
      <c r="J524">
        <v>1</v>
      </c>
      <c r="K524" t="s">
        <v>720</v>
      </c>
      <c r="L524" t="s">
        <v>385</v>
      </c>
      <c r="M524">
        <v>1</v>
      </c>
      <c r="N524" s="3" t="s">
        <v>257</v>
      </c>
      <c r="O524" s="3"/>
    </row>
    <row r="525" spans="1:15">
      <c r="A525" t="s">
        <v>1249</v>
      </c>
      <c r="B525" t="s">
        <v>486</v>
      </c>
      <c r="C525">
        <v>471500</v>
      </c>
      <c r="D525" s="16">
        <v>471.5</v>
      </c>
      <c r="E525" t="s">
        <v>719</v>
      </c>
      <c r="F525" s="16">
        <v>27.3</v>
      </c>
      <c r="G525" s="16">
        <v>27.3</v>
      </c>
      <c r="H525" s="16">
        <v>27.3</v>
      </c>
      <c r="I525" t="s">
        <v>98</v>
      </c>
      <c r="J525">
        <v>1</v>
      </c>
      <c r="K525" t="s">
        <v>720</v>
      </c>
      <c r="L525" t="s">
        <v>385</v>
      </c>
      <c r="M525">
        <v>0</v>
      </c>
      <c r="N525" s="3" t="s">
        <v>238</v>
      </c>
      <c r="O525" s="3"/>
    </row>
    <row r="526" spans="1:15">
      <c r="A526" t="s">
        <v>1250</v>
      </c>
      <c r="B526" t="s">
        <v>486</v>
      </c>
      <c r="C526">
        <v>471500</v>
      </c>
      <c r="D526" s="16">
        <v>471.5</v>
      </c>
      <c r="E526" t="s">
        <v>722</v>
      </c>
      <c r="F526" s="16">
        <v>80.5</v>
      </c>
      <c r="G526" s="16">
        <v>80.5</v>
      </c>
      <c r="H526" s="16">
        <v>80.5</v>
      </c>
      <c r="I526" t="s">
        <v>140</v>
      </c>
      <c r="J526">
        <v>1</v>
      </c>
      <c r="K526" t="s">
        <v>720</v>
      </c>
      <c r="L526" t="s">
        <v>385</v>
      </c>
      <c r="M526">
        <v>0</v>
      </c>
      <c r="N526" s="3" t="s">
        <v>238</v>
      </c>
      <c r="O526" s="3"/>
    </row>
    <row r="527" spans="1:15">
      <c r="A527" t="s">
        <v>1251</v>
      </c>
      <c r="B527" t="s">
        <v>486</v>
      </c>
      <c r="C527">
        <v>471500</v>
      </c>
      <c r="D527" s="16">
        <v>471.5</v>
      </c>
      <c r="E527" t="s">
        <v>724</v>
      </c>
      <c r="F527" s="16">
        <v>-9.9</v>
      </c>
      <c r="G527" s="16">
        <v>9.9</v>
      </c>
      <c r="H527" s="16">
        <v>9.9</v>
      </c>
      <c r="I527" t="s">
        <v>125</v>
      </c>
      <c r="J527">
        <v>1</v>
      </c>
      <c r="K527" t="s">
        <v>725</v>
      </c>
      <c r="L527" t="s">
        <v>385</v>
      </c>
      <c r="M527">
        <v>0</v>
      </c>
      <c r="N527" s="3" t="s">
        <v>238</v>
      </c>
      <c r="O527" s="3"/>
    </row>
    <row r="528" spans="1:15">
      <c r="A528" t="s">
        <v>1252</v>
      </c>
      <c r="B528" t="s">
        <v>486</v>
      </c>
      <c r="C528">
        <v>471500</v>
      </c>
      <c r="D528" s="16">
        <v>471.5</v>
      </c>
      <c r="E528" t="s">
        <v>727</v>
      </c>
      <c r="F528" s="16">
        <v>1</v>
      </c>
      <c r="G528" s="16">
        <v>1</v>
      </c>
      <c r="H528" s="16">
        <v>1</v>
      </c>
      <c r="I528" t="s">
        <v>728</v>
      </c>
      <c r="J528">
        <v>1</v>
      </c>
      <c r="K528" t="s">
        <v>720</v>
      </c>
      <c r="L528" t="s">
        <v>385</v>
      </c>
      <c r="M528">
        <v>0</v>
      </c>
      <c r="N528" s="3" t="s">
        <v>238</v>
      </c>
      <c r="O528" s="3"/>
    </row>
    <row r="529" spans="1:15">
      <c r="A529" t="s">
        <v>1253</v>
      </c>
      <c r="B529" t="s">
        <v>486</v>
      </c>
      <c r="C529">
        <v>471500</v>
      </c>
      <c r="D529" s="16">
        <v>471.5</v>
      </c>
      <c r="E529" t="s">
        <v>730</v>
      </c>
      <c r="F529" s="16">
        <v>0</v>
      </c>
      <c r="G529" s="16">
        <v>0</v>
      </c>
      <c r="H529" s="16">
        <v>0</v>
      </c>
      <c r="I529" t="s">
        <v>107</v>
      </c>
      <c r="J529">
        <v>1</v>
      </c>
      <c r="K529" t="s">
        <v>720</v>
      </c>
      <c r="L529" t="s">
        <v>385</v>
      </c>
      <c r="M529">
        <v>0</v>
      </c>
      <c r="N529" s="3" t="s">
        <v>238</v>
      </c>
      <c r="O529" s="3"/>
    </row>
    <row r="530" spans="1:15">
      <c r="A530" t="s">
        <v>1254</v>
      </c>
      <c r="B530" t="s">
        <v>487</v>
      </c>
      <c r="C530">
        <v>476518</v>
      </c>
      <c r="D530" s="16">
        <v>476.51799999999997</v>
      </c>
      <c r="E530" t="s">
        <v>719</v>
      </c>
      <c r="F530" s="16">
        <v>27.3</v>
      </c>
      <c r="G530" s="16">
        <v>27.3</v>
      </c>
      <c r="H530" s="16">
        <v>27.3</v>
      </c>
      <c r="I530" t="s">
        <v>98</v>
      </c>
      <c r="J530">
        <v>1</v>
      </c>
      <c r="K530" t="s">
        <v>720</v>
      </c>
      <c r="L530" t="s">
        <v>385</v>
      </c>
      <c r="M530">
        <v>0</v>
      </c>
      <c r="N530" s="3" t="s">
        <v>238</v>
      </c>
      <c r="O530" s="3"/>
    </row>
    <row r="531" spans="1:15">
      <c r="A531" t="s">
        <v>1255</v>
      </c>
      <c r="B531" t="s">
        <v>487</v>
      </c>
      <c r="C531">
        <v>476518</v>
      </c>
      <c r="D531" s="16">
        <v>476.51799999999997</v>
      </c>
      <c r="E531" t="s">
        <v>722</v>
      </c>
      <c r="F531" s="16">
        <v>80.5</v>
      </c>
      <c r="G531" s="16">
        <v>80.5</v>
      </c>
      <c r="H531" s="16">
        <v>80.5</v>
      </c>
      <c r="I531" t="s">
        <v>140</v>
      </c>
      <c r="J531">
        <v>1</v>
      </c>
      <c r="K531" t="s">
        <v>720</v>
      </c>
      <c r="L531" t="s">
        <v>385</v>
      </c>
      <c r="M531">
        <v>0</v>
      </c>
      <c r="N531" s="3" t="s">
        <v>238</v>
      </c>
      <c r="O531" s="3"/>
    </row>
    <row r="532" spans="1:15">
      <c r="A532" t="s">
        <v>1256</v>
      </c>
      <c r="B532" t="s">
        <v>487</v>
      </c>
      <c r="C532">
        <v>476518</v>
      </c>
      <c r="D532" s="16">
        <v>476.51799999999997</v>
      </c>
      <c r="E532" t="s">
        <v>724</v>
      </c>
      <c r="F532" s="16">
        <v>-3.2</v>
      </c>
      <c r="G532" s="16">
        <v>3.2</v>
      </c>
      <c r="H532" s="16">
        <v>3.2</v>
      </c>
      <c r="I532" t="s">
        <v>125</v>
      </c>
      <c r="J532">
        <v>1</v>
      </c>
      <c r="K532" t="s">
        <v>725</v>
      </c>
      <c r="L532" t="s">
        <v>385</v>
      </c>
      <c r="M532">
        <v>0</v>
      </c>
      <c r="N532" s="3" t="s">
        <v>238</v>
      </c>
      <c r="O532" s="3"/>
    </row>
    <row r="533" spans="1:15">
      <c r="A533" t="s">
        <v>1257</v>
      </c>
      <c r="B533" t="s">
        <v>487</v>
      </c>
      <c r="C533">
        <v>476518</v>
      </c>
      <c r="D533" s="16">
        <v>476.51799999999997</v>
      </c>
      <c r="E533" t="s">
        <v>727</v>
      </c>
      <c r="F533" s="16">
        <v>1</v>
      </c>
      <c r="G533" s="16">
        <v>1</v>
      </c>
      <c r="H533" s="16">
        <v>1</v>
      </c>
      <c r="I533" t="s">
        <v>728</v>
      </c>
      <c r="J533">
        <v>1</v>
      </c>
      <c r="K533" t="s">
        <v>720</v>
      </c>
      <c r="L533" t="s">
        <v>385</v>
      </c>
      <c r="M533">
        <v>0</v>
      </c>
      <c r="N533" s="3" t="s">
        <v>238</v>
      </c>
      <c r="O533" s="3"/>
    </row>
    <row r="534" spans="1:15">
      <c r="A534" t="s">
        <v>1258</v>
      </c>
      <c r="B534" t="s">
        <v>487</v>
      </c>
      <c r="C534">
        <v>476518</v>
      </c>
      <c r="D534" s="16">
        <v>476.51799999999997</v>
      </c>
      <c r="E534" t="s">
        <v>730</v>
      </c>
      <c r="F534" s="16">
        <v>0</v>
      </c>
      <c r="G534" s="16">
        <v>0</v>
      </c>
      <c r="H534" s="16">
        <v>0</v>
      </c>
      <c r="I534" t="s">
        <v>107</v>
      </c>
      <c r="J534">
        <v>1</v>
      </c>
      <c r="K534" t="s">
        <v>720</v>
      </c>
      <c r="L534" t="s">
        <v>385</v>
      </c>
      <c r="M534">
        <v>0</v>
      </c>
      <c r="N534" s="3" t="s">
        <v>238</v>
      </c>
      <c r="O534" s="3"/>
    </row>
    <row r="535" spans="1:15">
      <c r="A535" t="s">
        <v>1259</v>
      </c>
      <c r="B535" t="s">
        <v>488</v>
      </c>
      <c r="C535">
        <v>481538</v>
      </c>
      <c r="D535" s="16">
        <v>481.53800000000001</v>
      </c>
      <c r="E535" t="s">
        <v>719</v>
      </c>
      <c r="F535" s="16">
        <v>27.2</v>
      </c>
      <c r="G535" s="16">
        <v>27.2</v>
      </c>
      <c r="H535" s="16">
        <v>27.2</v>
      </c>
      <c r="I535" t="s">
        <v>98</v>
      </c>
      <c r="J535">
        <v>1</v>
      </c>
      <c r="K535" t="s">
        <v>720</v>
      </c>
      <c r="L535" t="s">
        <v>385</v>
      </c>
      <c r="M535">
        <v>0</v>
      </c>
      <c r="N535" s="3" t="s">
        <v>238</v>
      </c>
      <c r="O535" s="3"/>
    </row>
    <row r="536" spans="1:15">
      <c r="A536" t="s">
        <v>1260</v>
      </c>
      <c r="B536" t="s">
        <v>488</v>
      </c>
      <c r="C536">
        <v>481538</v>
      </c>
      <c r="D536" s="16">
        <v>481.53800000000001</v>
      </c>
      <c r="E536" t="s">
        <v>722</v>
      </c>
      <c r="F536" s="16">
        <v>80.5</v>
      </c>
      <c r="G536" s="16">
        <v>80.5</v>
      </c>
      <c r="H536" s="16">
        <v>80.5</v>
      </c>
      <c r="I536" t="s">
        <v>140</v>
      </c>
      <c r="J536">
        <v>1</v>
      </c>
      <c r="K536" t="s">
        <v>720</v>
      </c>
      <c r="L536" t="s">
        <v>385</v>
      </c>
      <c r="M536">
        <v>0</v>
      </c>
      <c r="N536" s="3" t="s">
        <v>238</v>
      </c>
      <c r="O536" s="3"/>
    </row>
    <row r="537" spans="1:15">
      <c r="A537" t="s">
        <v>1261</v>
      </c>
      <c r="B537" t="s">
        <v>488</v>
      </c>
      <c r="C537">
        <v>481538</v>
      </c>
      <c r="D537" s="16">
        <v>481.53800000000001</v>
      </c>
      <c r="E537" t="s">
        <v>724</v>
      </c>
      <c r="F537" s="16">
        <v>-0.5</v>
      </c>
      <c r="G537" s="16">
        <v>0.5</v>
      </c>
      <c r="H537" s="16">
        <v>0.5</v>
      </c>
      <c r="I537" t="s">
        <v>125</v>
      </c>
      <c r="J537">
        <v>1</v>
      </c>
      <c r="K537" t="s">
        <v>725</v>
      </c>
      <c r="L537" t="s">
        <v>385</v>
      </c>
      <c r="M537">
        <v>0</v>
      </c>
      <c r="N537" s="3" t="s">
        <v>238</v>
      </c>
      <c r="O537" s="3"/>
    </row>
    <row r="538" spans="1:15">
      <c r="A538" t="s">
        <v>1262</v>
      </c>
      <c r="B538" t="s">
        <v>488</v>
      </c>
      <c r="C538">
        <v>481538</v>
      </c>
      <c r="D538" s="16">
        <v>481.53800000000001</v>
      </c>
      <c r="E538" t="s">
        <v>727</v>
      </c>
      <c r="F538" s="16">
        <v>1</v>
      </c>
      <c r="G538" s="16">
        <v>1</v>
      </c>
      <c r="H538" s="16">
        <v>1</v>
      </c>
      <c r="I538" t="s">
        <v>728</v>
      </c>
      <c r="J538">
        <v>1</v>
      </c>
      <c r="K538" t="s">
        <v>720</v>
      </c>
      <c r="L538" t="s">
        <v>385</v>
      </c>
      <c r="M538">
        <v>0</v>
      </c>
      <c r="N538" s="3" t="s">
        <v>238</v>
      </c>
      <c r="O538" s="3"/>
    </row>
    <row r="539" spans="1:15">
      <c r="A539" t="s">
        <v>1263</v>
      </c>
      <c r="B539" t="s">
        <v>488</v>
      </c>
      <c r="C539">
        <v>481538</v>
      </c>
      <c r="D539" s="16">
        <v>481.53800000000001</v>
      </c>
      <c r="E539" t="s">
        <v>730</v>
      </c>
      <c r="F539" s="16">
        <v>0</v>
      </c>
      <c r="G539" s="16">
        <v>0</v>
      </c>
      <c r="H539" s="16">
        <v>0</v>
      </c>
      <c r="I539" t="s">
        <v>107</v>
      </c>
      <c r="J539">
        <v>1</v>
      </c>
      <c r="K539" t="s">
        <v>720</v>
      </c>
      <c r="L539" t="s">
        <v>385</v>
      </c>
      <c r="M539">
        <v>0</v>
      </c>
      <c r="N539" s="3" t="s">
        <v>238</v>
      </c>
      <c r="O539" s="3"/>
    </row>
    <row r="540" spans="1:15" ht="27.6">
      <c r="A540" t="s">
        <v>1264</v>
      </c>
      <c r="B540" t="s">
        <v>489</v>
      </c>
      <c r="C540">
        <v>486555</v>
      </c>
      <c r="D540" s="16">
        <v>486.55500000000001</v>
      </c>
      <c r="E540" t="s">
        <v>719</v>
      </c>
      <c r="F540" s="16">
        <v>27.3</v>
      </c>
      <c r="G540" s="16">
        <v>27.3</v>
      </c>
      <c r="H540" s="16">
        <v>27.3</v>
      </c>
      <c r="I540" t="s">
        <v>98</v>
      </c>
      <c r="J540">
        <v>1</v>
      </c>
      <c r="K540" t="s">
        <v>720</v>
      </c>
      <c r="L540" t="s">
        <v>385</v>
      </c>
      <c r="M540">
        <v>1</v>
      </c>
      <c r="N540" s="3" t="s">
        <v>257</v>
      </c>
      <c r="O540" s="3" t="s">
        <v>433</v>
      </c>
    </row>
    <row r="541" spans="1:15" ht="27.6">
      <c r="A541" t="s">
        <v>1265</v>
      </c>
      <c r="B541" t="s">
        <v>489</v>
      </c>
      <c r="C541">
        <v>486555</v>
      </c>
      <c r="D541" s="16">
        <v>486.55500000000001</v>
      </c>
      <c r="E541" t="s">
        <v>722</v>
      </c>
      <c r="F541" s="16">
        <v>80.5</v>
      </c>
      <c r="G541" s="16">
        <v>80.5</v>
      </c>
      <c r="H541" s="16">
        <v>80.5</v>
      </c>
      <c r="I541" t="s">
        <v>140</v>
      </c>
      <c r="J541">
        <v>1</v>
      </c>
      <c r="K541" t="s">
        <v>720</v>
      </c>
      <c r="L541" t="s">
        <v>385</v>
      </c>
      <c r="M541">
        <v>1</v>
      </c>
      <c r="N541" s="3" t="s">
        <v>257</v>
      </c>
      <c r="O541" s="3" t="s">
        <v>433</v>
      </c>
    </row>
    <row r="542" spans="1:15" ht="27.6">
      <c r="A542" t="s">
        <v>1266</v>
      </c>
      <c r="B542" t="s">
        <v>489</v>
      </c>
      <c r="C542">
        <v>486555</v>
      </c>
      <c r="D542" s="16">
        <v>486.55500000000001</v>
      </c>
      <c r="E542" t="s">
        <v>724</v>
      </c>
      <c r="F542" s="16">
        <v>0</v>
      </c>
      <c r="G542" s="16">
        <v>0</v>
      </c>
      <c r="H542" s="16">
        <v>0</v>
      </c>
      <c r="I542" t="s">
        <v>125</v>
      </c>
      <c r="J542">
        <v>1</v>
      </c>
      <c r="K542" t="s">
        <v>720</v>
      </c>
      <c r="L542" t="s">
        <v>385</v>
      </c>
      <c r="M542">
        <v>1</v>
      </c>
      <c r="N542" s="3" t="s">
        <v>257</v>
      </c>
      <c r="O542" s="3" t="s">
        <v>433</v>
      </c>
    </row>
    <row r="543" spans="1:15" ht="27.6">
      <c r="A543" t="s">
        <v>1267</v>
      </c>
      <c r="B543" t="s">
        <v>489</v>
      </c>
      <c r="C543">
        <v>486555</v>
      </c>
      <c r="D543" s="16">
        <v>486.55500000000001</v>
      </c>
      <c r="E543" t="s">
        <v>727</v>
      </c>
      <c r="F543" s="16">
        <v>1</v>
      </c>
      <c r="G543" s="16">
        <v>1</v>
      </c>
      <c r="H543" s="16">
        <v>1</v>
      </c>
      <c r="I543" t="s">
        <v>728</v>
      </c>
      <c r="J543">
        <v>1</v>
      </c>
      <c r="K543" t="s">
        <v>720</v>
      </c>
      <c r="L543" t="s">
        <v>385</v>
      </c>
      <c r="M543">
        <v>1</v>
      </c>
      <c r="N543" s="3" t="s">
        <v>257</v>
      </c>
      <c r="O543" s="3" t="s">
        <v>433</v>
      </c>
    </row>
    <row r="544" spans="1:15" ht="27.6">
      <c r="A544" t="s">
        <v>1268</v>
      </c>
      <c r="B544" t="s">
        <v>489</v>
      </c>
      <c r="C544">
        <v>486555</v>
      </c>
      <c r="D544" s="16">
        <v>486.55500000000001</v>
      </c>
      <c r="E544" t="s">
        <v>730</v>
      </c>
      <c r="F544" s="16">
        <v>0</v>
      </c>
      <c r="G544" s="16">
        <v>0</v>
      </c>
      <c r="H544" s="16">
        <v>0</v>
      </c>
      <c r="I544" t="s">
        <v>107</v>
      </c>
      <c r="J544">
        <v>1</v>
      </c>
      <c r="K544" t="s">
        <v>720</v>
      </c>
      <c r="L544" t="s">
        <v>385</v>
      </c>
      <c r="M544">
        <v>1</v>
      </c>
      <c r="N544" s="3" t="s">
        <v>257</v>
      </c>
      <c r="O544" s="3" t="s">
        <v>433</v>
      </c>
    </row>
    <row r="545" spans="1:15" ht="27.6">
      <c r="A545" t="s">
        <v>1269</v>
      </c>
      <c r="B545" t="s">
        <v>492</v>
      </c>
      <c r="C545">
        <v>492331</v>
      </c>
      <c r="D545" s="16">
        <v>492.33100000000002</v>
      </c>
      <c r="E545" t="s">
        <v>719</v>
      </c>
      <c r="F545" s="16">
        <v>27.3</v>
      </c>
      <c r="G545" s="16">
        <v>27.3</v>
      </c>
      <c r="H545" s="16">
        <v>27.3</v>
      </c>
      <c r="I545" t="s">
        <v>98</v>
      </c>
      <c r="J545">
        <v>1</v>
      </c>
      <c r="K545" t="s">
        <v>720</v>
      </c>
      <c r="L545" t="s">
        <v>385</v>
      </c>
      <c r="M545">
        <v>1</v>
      </c>
      <c r="N545" s="3" t="s">
        <v>257</v>
      </c>
      <c r="O545" s="3"/>
    </row>
    <row r="546" spans="1:15" ht="27.6">
      <c r="A546" t="s">
        <v>1270</v>
      </c>
      <c r="B546" t="s">
        <v>492</v>
      </c>
      <c r="C546">
        <v>492331</v>
      </c>
      <c r="D546" s="16">
        <v>492.33100000000002</v>
      </c>
      <c r="E546" t="s">
        <v>722</v>
      </c>
      <c r="F546" s="16">
        <v>80.7</v>
      </c>
      <c r="G546" s="16">
        <v>80.7</v>
      </c>
      <c r="H546" s="16">
        <v>80.7</v>
      </c>
      <c r="I546" t="s">
        <v>140</v>
      </c>
      <c r="J546">
        <v>1</v>
      </c>
      <c r="K546" t="s">
        <v>720</v>
      </c>
      <c r="L546" t="s">
        <v>385</v>
      </c>
      <c r="M546">
        <v>1</v>
      </c>
      <c r="N546" s="3" t="s">
        <v>257</v>
      </c>
      <c r="O546" s="3"/>
    </row>
    <row r="547" spans="1:15" ht="27.6">
      <c r="A547" t="s">
        <v>1271</v>
      </c>
      <c r="B547" t="s">
        <v>492</v>
      </c>
      <c r="C547">
        <v>492331</v>
      </c>
      <c r="D547" s="16">
        <v>492.33100000000002</v>
      </c>
      <c r="E547" t="s">
        <v>724</v>
      </c>
      <c r="F547" s="16">
        <v>41.2</v>
      </c>
      <c r="G547" s="16">
        <v>41.2</v>
      </c>
      <c r="H547" s="16">
        <v>41.2</v>
      </c>
      <c r="I547" t="s">
        <v>125</v>
      </c>
      <c r="J547">
        <v>1</v>
      </c>
      <c r="K547" t="s">
        <v>720</v>
      </c>
      <c r="L547" t="s">
        <v>385</v>
      </c>
      <c r="M547">
        <v>1</v>
      </c>
      <c r="N547" s="3" t="s">
        <v>257</v>
      </c>
      <c r="O547" s="3"/>
    </row>
    <row r="548" spans="1:15" ht="27.6">
      <c r="A548" t="s">
        <v>1272</v>
      </c>
      <c r="B548" t="s">
        <v>492</v>
      </c>
      <c r="C548">
        <v>492331</v>
      </c>
      <c r="D548" s="16">
        <v>492.33100000000002</v>
      </c>
      <c r="E548" t="s">
        <v>727</v>
      </c>
      <c r="F548" s="16">
        <v>1</v>
      </c>
      <c r="G548" s="16">
        <v>1</v>
      </c>
      <c r="H548" s="16">
        <v>1</v>
      </c>
      <c r="I548" t="s">
        <v>728</v>
      </c>
      <c r="J548">
        <v>1</v>
      </c>
      <c r="K548" t="s">
        <v>720</v>
      </c>
      <c r="L548" t="s">
        <v>385</v>
      </c>
      <c r="M548">
        <v>1</v>
      </c>
      <c r="N548" s="3" t="s">
        <v>257</v>
      </c>
      <c r="O548" s="3"/>
    </row>
    <row r="549" spans="1:15" ht="27.6">
      <c r="A549" t="s">
        <v>1273</v>
      </c>
      <c r="B549" t="s">
        <v>492</v>
      </c>
      <c r="C549">
        <v>492331</v>
      </c>
      <c r="D549" s="16">
        <v>492.33100000000002</v>
      </c>
      <c r="E549" t="s">
        <v>730</v>
      </c>
      <c r="F549" s="16">
        <v>0</v>
      </c>
      <c r="G549" s="16">
        <v>0</v>
      </c>
      <c r="H549" s="16">
        <v>0</v>
      </c>
      <c r="I549" t="s">
        <v>107</v>
      </c>
      <c r="J549">
        <v>1</v>
      </c>
      <c r="K549" t="s">
        <v>720</v>
      </c>
      <c r="L549" t="s">
        <v>385</v>
      </c>
      <c r="M549">
        <v>1</v>
      </c>
      <c r="N549" s="3" t="s">
        <v>257</v>
      </c>
      <c r="O549" s="3"/>
    </row>
    <row r="550" spans="1:15" ht="27.6">
      <c r="A550" t="s">
        <v>1274</v>
      </c>
      <c r="B550" t="s">
        <v>493</v>
      </c>
      <c r="C550">
        <v>497330</v>
      </c>
      <c r="D550" s="16">
        <v>497.33</v>
      </c>
      <c r="E550" t="s">
        <v>719</v>
      </c>
      <c r="F550" s="16">
        <v>27.3</v>
      </c>
      <c r="G550" s="16">
        <v>27.3</v>
      </c>
      <c r="H550" s="16">
        <v>27.3</v>
      </c>
      <c r="I550" t="s">
        <v>98</v>
      </c>
      <c r="J550">
        <v>1</v>
      </c>
      <c r="K550" t="s">
        <v>720</v>
      </c>
      <c r="L550" t="s">
        <v>385</v>
      </c>
      <c r="M550">
        <v>1</v>
      </c>
      <c r="N550" s="3" t="s">
        <v>238</v>
      </c>
      <c r="O550" s="3" t="s">
        <v>433</v>
      </c>
    </row>
    <row r="551" spans="1:15" ht="27.6">
      <c r="A551" t="s">
        <v>1275</v>
      </c>
      <c r="B551" t="s">
        <v>493</v>
      </c>
      <c r="C551">
        <v>497330</v>
      </c>
      <c r="D551" s="16">
        <v>497.33</v>
      </c>
      <c r="E551" t="s">
        <v>722</v>
      </c>
      <c r="F551" s="16">
        <v>80.8</v>
      </c>
      <c r="G551" s="16">
        <v>80.8</v>
      </c>
      <c r="H551" s="16">
        <v>80.8</v>
      </c>
      <c r="I551" t="s">
        <v>140</v>
      </c>
      <c r="J551">
        <v>1</v>
      </c>
      <c r="K551" t="s">
        <v>720</v>
      </c>
      <c r="L551" t="s">
        <v>385</v>
      </c>
      <c r="M551">
        <v>1</v>
      </c>
      <c r="N551" s="3" t="s">
        <v>238</v>
      </c>
      <c r="O551" s="3" t="s">
        <v>433</v>
      </c>
    </row>
    <row r="552" spans="1:15" ht="27.6">
      <c r="A552" t="s">
        <v>1276</v>
      </c>
      <c r="B552" t="s">
        <v>493</v>
      </c>
      <c r="C552">
        <v>497330</v>
      </c>
      <c r="D552" s="16">
        <v>497.33</v>
      </c>
      <c r="E552" t="s">
        <v>724</v>
      </c>
      <c r="F552" s="16">
        <v>-2.1</v>
      </c>
      <c r="G552" s="16">
        <v>2.1</v>
      </c>
      <c r="H552" s="16">
        <v>2.1</v>
      </c>
      <c r="I552" t="s">
        <v>125</v>
      </c>
      <c r="J552">
        <v>1</v>
      </c>
      <c r="K552" t="s">
        <v>725</v>
      </c>
      <c r="L552" t="s">
        <v>385</v>
      </c>
      <c r="M552">
        <v>1</v>
      </c>
      <c r="N552" s="3" t="s">
        <v>238</v>
      </c>
      <c r="O552" s="3" t="s">
        <v>433</v>
      </c>
    </row>
    <row r="553" spans="1:15" ht="27.6">
      <c r="A553" t="s">
        <v>1277</v>
      </c>
      <c r="B553" t="s">
        <v>493</v>
      </c>
      <c r="C553">
        <v>497330</v>
      </c>
      <c r="D553" s="16">
        <v>497.33</v>
      </c>
      <c r="E553" t="s">
        <v>727</v>
      </c>
      <c r="F553" s="16">
        <v>1</v>
      </c>
      <c r="G553" s="16">
        <v>1</v>
      </c>
      <c r="H553" s="16">
        <v>1</v>
      </c>
      <c r="I553" t="s">
        <v>728</v>
      </c>
      <c r="J553">
        <v>1</v>
      </c>
      <c r="K553" t="s">
        <v>720</v>
      </c>
      <c r="L553" t="s">
        <v>385</v>
      </c>
      <c r="M553">
        <v>1</v>
      </c>
      <c r="N553" s="3" t="s">
        <v>238</v>
      </c>
      <c r="O553" s="3" t="s">
        <v>433</v>
      </c>
    </row>
    <row r="554" spans="1:15" ht="27.6">
      <c r="A554" t="s">
        <v>1278</v>
      </c>
      <c r="B554" t="s">
        <v>493</v>
      </c>
      <c r="C554">
        <v>497330</v>
      </c>
      <c r="D554" s="16">
        <v>497.33</v>
      </c>
      <c r="E554" t="s">
        <v>730</v>
      </c>
      <c r="F554" s="16">
        <v>0</v>
      </c>
      <c r="G554" s="16">
        <v>0</v>
      </c>
      <c r="H554" s="16">
        <v>0</v>
      </c>
      <c r="I554" t="s">
        <v>107</v>
      </c>
      <c r="J554">
        <v>1</v>
      </c>
      <c r="K554" t="s">
        <v>720</v>
      </c>
      <c r="L554" t="s">
        <v>385</v>
      </c>
      <c r="M554">
        <v>1</v>
      </c>
      <c r="N554" s="3" t="s">
        <v>238</v>
      </c>
      <c r="O554" s="3" t="s">
        <v>433</v>
      </c>
    </row>
    <row r="555" spans="1:15" ht="27.6">
      <c r="A555" t="s">
        <v>1279</v>
      </c>
      <c r="B555" t="s">
        <v>497</v>
      </c>
      <c r="C555">
        <v>502942</v>
      </c>
      <c r="D555" s="16">
        <v>502.94200000000001</v>
      </c>
      <c r="E555" t="s">
        <v>719</v>
      </c>
      <c r="F555" s="16">
        <v>27.3</v>
      </c>
      <c r="G555" s="16">
        <v>27.3</v>
      </c>
      <c r="H555" s="16">
        <v>27.3</v>
      </c>
      <c r="I555" t="s">
        <v>98</v>
      </c>
      <c r="J555">
        <v>1</v>
      </c>
      <c r="K555" t="s">
        <v>720</v>
      </c>
      <c r="L555" t="s">
        <v>385</v>
      </c>
      <c r="M555">
        <v>1</v>
      </c>
      <c r="N555" s="3" t="s">
        <v>257</v>
      </c>
      <c r="O555" s="3"/>
    </row>
    <row r="556" spans="1:15" ht="27.6">
      <c r="A556" t="s">
        <v>1280</v>
      </c>
      <c r="B556" t="s">
        <v>497</v>
      </c>
      <c r="C556">
        <v>502942</v>
      </c>
      <c r="D556" s="16">
        <v>502.94200000000001</v>
      </c>
      <c r="E556" t="s">
        <v>722</v>
      </c>
      <c r="F556" s="16">
        <v>80.8</v>
      </c>
      <c r="G556" s="16">
        <v>80.8</v>
      </c>
      <c r="H556" s="16">
        <v>80.8</v>
      </c>
      <c r="I556" t="s">
        <v>140</v>
      </c>
      <c r="J556">
        <v>1</v>
      </c>
      <c r="K556" t="s">
        <v>720</v>
      </c>
      <c r="L556" t="s">
        <v>385</v>
      </c>
      <c r="M556">
        <v>1</v>
      </c>
      <c r="N556" s="3" t="s">
        <v>257</v>
      </c>
      <c r="O556" s="3"/>
    </row>
    <row r="557" spans="1:15" ht="27.6">
      <c r="A557" t="s">
        <v>1281</v>
      </c>
      <c r="B557" t="s">
        <v>497</v>
      </c>
      <c r="C557">
        <v>502942</v>
      </c>
      <c r="D557" s="16">
        <v>502.94200000000001</v>
      </c>
      <c r="E557" t="s">
        <v>724</v>
      </c>
      <c r="F557" s="16">
        <v>35.299999999999997</v>
      </c>
      <c r="G557" s="16">
        <v>35.299999999999997</v>
      </c>
      <c r="H557" s="16">
        <v>35.299999999999997</v>
      </c>
      <c r="I557" t="s">
        <v>125</v>
      </c>
      <c r="J557">
        <v>1</v>
      </c>
      <c r="K557" t="s">
        <v>720</v>
      </c>
      <c r="L557" t="s">
        <v>385</v>
      </c>
      <c r="M557">
        <v>1</v>
      </c>
      <c r="N557" s="3" t="s">
        <v>257</v>
      </c>
      <c r="O557" s="3"/>
    </row>
    <row r="558" spans="1:15" ht="27.6">
      <c r="A558" t="s">
        <v>1282</v>
      </c>
      <c r="B558" t="s">
        <v>497</v>
      </c>
      <c r="C558">
        <v>502942</v>
      </c>
      <c r="D558" s="16">
        <v>502.94200000000001</v>
      </c>
      <c r="E558" t="s">
        <v>727</v>
      </c>
      <c r="F558" s="16">
        <v>1</v>
      </c>
      <c r="G558" s="16">
        <v>1</v>
      </c>
      <c r="H558" s="16">
        <v>1</v>
      </c>
      <c r="I558" t="s">
        <v>728</v>
      </c>
      <c r="J558">
        <v>1</v>
      </c>
      <c r="K558" t="s">
        <v>720</v>
      </c>
      <c r="L558" t="s">
        <v>385</v>
      </c>
      <c r="M558">
        <v>1</v>
      </c>
      <c r="N558" s="3" t="s">
        <v>257</v>
      </c>
      <c r="O558" s="3"/>
    </row>
    <row r="559" spans="1:15" ht="27.6">
      <c r="A559" t="s">
        <v>1283</v>
      </c>
      <c r="B559" t="s">
        <v>497</v>
      </c>
      <c r="C559">
        <v>502942</v>
      </c>
      <c r="D559" s="16">
        <v>502.94200000000001</v>
      </c>
      <c r="E559" t="s">
        <v>730</v>
      </c>
      <c r="F559" s="16">
        <v>0</v>
      </c>
      <c r="G559" s="16">
        <v>0</v>
      </c>
      <c r="H559" s="16">
        <v>0</v>
      </c>
      <c r="I559" t="s">
        <v>107</v>
      </c>
      <c r="J559">
        <v>1</v>
      </c>
      <c r="K559" t="s">
        <v>720</v>
      </c>
      <c r="L559" t="s">
        <v>385</v>
      </c>
      <c r="M559">
        <v>1</v>
      </c>
      <c r="N559" s="3" t="s">
        <v>257</v>
      </c>
      <c r="O559" s="3"/>
    </row>
    <row r="560" spans="1:15">
      <c r="A560" t="s">
        <v>1284</v>
      </c>
      <c r="B560" t="s">
        <v>498</v>
      </c>
      <c r="C560">
        <v>508116</v>
      </c>
      <c r="D560" s="16">
        <v>508.11599999999999</v>
      </c>
      <c r="E560" t="s">
        <v>719</v>
      </c>
      <c r="F560" s="16">
        <v>27.3</v>
      </c>
      <c r="G560" s="16">
        <v>27.3</v>
      </c>
      <c r="H560" s="16">
        <v>27.3</v>
      </c>
      <c r="I560" t="s">
        <v>98</v>
      </c>
      <c r="J560">
        <v>1</v>
      </c>
      <c r="K560" t="s">
        <v>720</v>
      </c>
      <c r="L560" t="s">
        <v>385</v>
      </c>
      <c r="M560">
        <v>0</v>
      </c>
      <c r="N560" s="3" t="s">
        <v>238</v>
      </c>
      <c r="O560" s="3"/>
    </row>
    <row r="561" spans="1:15">
      <c r="A561" t="s">
        <v>1285</v>
      </c>
      <c r="B561" t="s">
        <v>498</v>
      </c>
      <c r="C561">
        <v>508116</v>
      </c>
      <c r="D561" s="16">
        <v>508.11599999999999</v>
      </c>
      <c r="E561" t="s">
        <v>722</v>
      </c>
      <c r="F561" s="16">
        <v>80.8</v>
      </c>
      <c r="G561" s="16">
        <v>80.8</v>
      </c>
      <c r="H561" s="16">
        <v>80.8</v>
      </c>
      <c r="I561" t="s">
        <v>140</v>
      </c>
      <c r="J561">
        <v>1</v>
      </c>
      <c r="K561" t="s">
        <v>720</v>
      </c>
      <c r="L561" t="s">
        <v>385</v>
      </c>
      <c r="M561">
        <v>0</v>
      </c>
      <c r="N561" s="3" t="s">
        <v>238</v>
      </c>
      <c r="O561" s="3"/>
    </row>
    <row r="562" spans="1:15">
      <c r="A562" t="s">
        <v>1286</v>
      </c>
      <c r="B562" t="s">
        <v>498</v>
      </c>
      <c r="C562">
        <v>508116</v>
      </c>
      <c r="D562" s="16">
        <v>508.11599999999999</v>
      </c>
      <c r="E562" t="s">
        <v>724</v>
      </c>
      <c r="F562" s="16">
        <v>-1.4</v>
      </c>
      <c r="G562" s="16">
        <v>1.4</v>
      </c>
      <c r="H562" s="16">
        <v>1.4</v>
      </c>
      <c r="I562" t="s">
        <v>125</v>
      </c>
      <c r="J562">
        <v>1</v>
      </c>
      <c r="K562" t="s">
        <v>725</v>
      </c>
      <c r="L562" t="s">
        <v>385</v>
      </c>
      <c r="M562">
        <v>0</v>
      </c>
      <c r="N562" s="3" t="s">
        <v>238</v>
      </c>
      <c r="O562" s="3"/>
    </row>
    <row r="563" spans="1:15">
      <c r="A563" t="s">
        <v>1287</v>
      </c>
      <c r="B563" t="s">
        <v>498</v>
      </c>
      <c r="C563">
        <v>508116</v>
      </c>
      <c r="D563" s="16">
        <v>508.11599999999999</v>
      </c>
      <c r="E563" t="s">
        <v>727</v>
      </c>
      <c r="F563" s="16">
        <v>1</v>
      </c>
      <c r="G563" s="16">
        <v>1</v>
      </c>
      <c r="H563" s="16">
        <v>1</v>
      </c>
      <c r="I563" t="s">
        <v>728</v>
      </c>
      <c r="J563">
        <v>1</v>
      </c>
      <c r="K563" t="s">
        <v>720</v>
      </c>
      <c r="L563" t="s">
        <v>385</v>
      </c>
      <c r="M563">
        <v>0</v>
      </c>
      <c r="N563" s="3" t="s">
        <v>238</v>
      </c>
      <c r="O563" s="3"/>
    </row>
    <row r="564" spans="1:15">
      <c r="A564" t="s">
        <v>1288</v>
      </c>
      <c r="B564" t="s">
        <v>498</v>
      </c>
      <c r="C564">
        <v>508116</v>
      </c>
      <c r="D564" s="16">
        <v>508.11599999999999</v>
      </c>
      <c r="E564" t="s">
        <v>730</v>
      </c>
      <c r="F564" s="16">
        <v>0</v>
      </c>
      <c r="G564" s="16">
        <v>0</v>
      </c>
      <c r="H564" s="16">
        <v>0</v>
      </c>
      <c r="I564" t="s">
        <v>107</v>
      </c>
      <c r="J564">
        <v>1</v>
      </c>
      <c r="K564" t="s">
        <v>720</v>
      </c>
      <c r="L564" t="s">
        <v>385</v>
      </c>
      <c r="M564">
        <v>0</v>
      </c>
      <c r="N564" s="3" t="s">
        <v>238</v>
      </c>
      <c r="O564" s="3"/>
    </row>
    <row r="565" spans="1:15">
      <c r="A565" t="s">
        <v>1289</v>
      </c>
      <c r="B565" t="s">
        <v>499</v>
      </c>
      <c r="C565">
        <v>513134</v>
      </c>
      <c r="D565" s="16">
        <v>513.13400000000001</v>
      </c>
      <c r="E565" t="s">
        <v>719</v>
      </c>
      <c r="F565" s="16">
        <v>27.3</v>
      </c>
      <c r="G565" s="16">
        <v>27.3</v>
      </c>
      <c r="H565" s="16">
        <v>27.3</v>
      </c>
      <c r="I565" t="s">
        <v>98</v>
      </c>
      <c r="J565">
        <v>1</v>
      </c>
      <c r="K565" t="s">
        <v>720</v>
      </c>
      <c r="L565" t="s">
        <v>385</v>
      </c>
      <c r="M565">
        <v>1</v>
      </c>
      <c r="N565" s="3" t="s">
        <v>238</v>
      </c>
      <c r="O565" s="3"/>
    </row>
    <row r="566" spans="1:15">
      <c r="A566" t="s">
        <v>1290</v>
      </c>
      <c r="B566" t="s">
        <v>499</v>
      </c>
      <c r="C566">
        <v>513134</v>
      </c>
      <c r="D566" s="16">
        <v>513.13400000000001</v>
      </c>
      <c r="E566" t="s">
        <v>722</v>
      </c>
      <c r="F566" s="16">
        <v>80.8</v>
      </c>
      <c r="G566" s="16">
        <v>80.8</v>
      </c>
      <c r="H566" s="16">
        <v>80.8</v>
      </c>
      <c r="I566" t="s">
        <v>140</v>
      </c>
      <c r="J566">
        <v>1</v>
      </c>
      <c r="K566" t="s">
        <v>720</v>
      </c>
      <c r="L566" t="s">
        <v>385</v>
      </c>
      <c r="M566">
        <v>1</v>
      </c>
      <c r="N566" s="3" t="s">
        <v>238</v>
      </c>
      <c r="O566" s="3"/>
    </row>
    <row r="567" spans="1:15">
      <c r="A567" t="s">
        <v>1291</v>
      </c>
      <c r="B567" t="s">
        <v>499</v>
      </c>
      <c r="C567">
        <v>513134</v>
      </c>
      <c r="D567" s="16">
        <v>513.13400000000001</v>
      </c>
      <c r="E567" t="s">
        <v>724</v>
      </c>
      <c r="F567" s="16">
        <v>-11.1</v>
      </c>
      <c r="G567" s="16">
        <v>11.1</v>
      </c>
      <c r="H567" s="16">
        <v>11.1</v>
      </c>
      <c r="I567" t="s">
        <v>125</v>
      </c>
      <c r="J567">
        <v>1</v>
      </c>
      <c r="K567" t="s">
        <v>725</v>
      </c>
      <c r="L567" t="s">
        <v>385</v>
      </c>
      <c r="M567">
        <v>1</v>
      </c>
      <c r="N567" s="3" t="s">
        <v>238</v>
      </c>
      <c r="O567" s="3"/>
    </row>
    <row r="568" spans="1:15">
      <c r="A568" t="s">
        <v>1292</v>
      </c>
      <c r="B568" t="s">
        <v>499</v>
      </c>
      <c r="C568">
        <v>513134</v>
      </c>
      <c r="D568" s="16">
        <v>513.13400000000001</v>
      </c>
      <c r="E568" t="s">
        <v>727</v>
      </c>
      <c r="F568" s="16">
        <v>1</v>
      </c>
      <c r="G568" s="16">
        <v>1</v>
      </c>
      <c r="H568" s="16">
        <v>1</v>
      </c>
      <c r="I568" t="s">
        <v>728</v>
      </c>
      <c r="J568">
        <v>1</v>
      </c>
      <c r="K568" t="s">
        <v>720</v>
      </c>
      <c r="L568" t="s">
        <v>385</v>
      </c>
      <c r="M568">
        <v>1</v>
      </c>
      <c r="N568" s="3" t="s">
        <v>238</v>
      </c>
      <c r="O568" s="3"/>
    </row>
    <row r="569" spans="1:15">
      <c r="A569" t="s">
        <v>1293</v>
      </c>
      <c r="B569" t="s">
        <v>499</v>
      </c>
      <c r="C569">
        <v>513134</v>
      </c>
      <c r="D569" s="16">
        <v>513.13400000000001</v>
      </c>
      <c r="E569" t="s">
        <v>730</v>
      </c>
      <c r="F569" s="16">
        <v>0</v>
      </c>
      <c r="G569" s="16">
        <v>0</v>
      </c>
      <c r="H569" s="16">
        <v>0</v>
      </c>
      <c r="I569" t="s">
        <v>107</v>
      </c>
      <c r="J569">
        <v>1</v>
      </c>
      <c r="K569" t="s">
        <v>720</v>
      </c>
      <c r="L569" t="s">
        <v>385</v>
      </c>
      <c r="M569">
        <v>1</v>
      </c>
      <c r="N569" s="3" t="s">
        <v>238</v>
      </c>
      <c r="O569" s="3"/>
    </row>
    <row r="570" spans="1:15">
      <c r="A570" t="s">
        <v>1294</v>
      </c>
      <c r="B570" t="s">
        <v>500</v>
      </c>
      <c r="C570">
        <v>518154</v>
      </c>
      <c r="D570" s="16">
        <v>518.154</v>
      </c>
      <c r="E570" t="s">
        <v>719</v>
      </c>
      <c r="F570" s="16">
        <v>27.3</v>
      </c>
      <c r="G570" s="16">
        <v>27.3</v>
      </c>
      <c r="H570" s="16">
        <v>27.3</v>
      </c>
      <c r="I570" t="s">
        <v>98</v>
      </c>
      <c r="J570">
        <v>1</v>
      </c>
      <c r="K570" t="s">
        <v>720</v>
      </c>
      <c r="L570" t="s">
        <v>385</v>
      </c>
      <c r="M570">
        <v>0</v>
      </c>
      <c r="N570" s="3" t="s">
        <v>238</v>
      </c>
      <c r="O570" s="3"/>
    </row>
    <row r="571" spans="1:15">
      <c r="A571" t="s">
        <v>1295</v>
      </c>
      <c r="B571" t="s">
        <v>500</v>
      </c>
      <c r="C571">
        <v>518154</v>
      </c>
      <c r="D571" s="16">
        <v>518.154</v>
      </c>
      <c r="E571" t="s">
        <v>722</v>
      </c>
      <c r="F571" s="16">
        <v>80.900000000000006</v>
      </c>
      <c r="G571" s="16">
        <v>80.900000000000006</v>
      </c>
      <c r="H571" s="16">
        <v>80.900000000000006</v>
      </c>
      <c r="I571" t="s">
        <v>140</v>
      </c>
      <c r="J571">
        <v>1</v>
      </c>
      <c r="K571" t="s">
        <v>720</v>
      </c>
      <c r="L571" t="s">
        <v>385</v>
      </c>
      <c r="M571">
        <v>0</v>
      </c>
      <c r="N571" s="3" t="s">
        <v>238</v>
      </c>
      <c r="O571" s="3"/>
    </row>
    <row r="572" spans="1:15">
      <c r="A572" t="s">
        <v>1296</v>
      </c>
      <c r="B572" t="s">
        <v>500</v>
      </c>
      <c r="C572">
        <v>518154</v>
      </c>
      <c r="D572" s="16">
        <v>518.154</v>
      </c>
      <c r="E572" t="s">
        <v>724</v>
      </c>
      <c r="F572" s="16">
        <v>-4.0999999999999996</v>
      </c>
      <c r="G572" s="16">
        <v>4.0999999999999996</v>
      </c>
      <c r="H572" s="16">
        <v>4.0999999999999996</v>
      </c>
      <c r="I572" t="s">
        <v>125</v>
      </c>
      <c r="J572">
        <v>1</v>
      </c>
      <c r="K572" t="s">
        <v>725</v>
      </c>
      <c r="L572" t="s">
        <v>385</v>
      </c>
      <c r="M572">
        <v>0</v>
      </c>
      <c r="N572" s="3" t="s">
        <v>238</v>
      </c>
      <c r="O572" s="3"/>
    </row>
    <row r="573" spans="1:15">
      <c r="A573" t="s">
        <v>1297</v>
      </c>
      <c r="B573" t="s">
        <v>500</v>
      </c>
      <c r="C573">
        <v>518154</v>
      </c>
      <c r="D573" s="16">
        <v>518.154</v>
      </c>
      <c r="E573" t="s">
        <v>727</v>
      </c>
      <c r="F573" s="16">
        <v>1</v>
      </c>
      <c r="G573" s="16">
        <v>1</v>
      </c>
      <c r="H573" s="16">
        <v>1</v>
      </c>
      <c r="I573" t="s">
        <v>728</v>
      </c>
      <c r="J573">
        <v>1</v>
      </c>
      <c r="K573" t="s">
        <v>720</v>
      </c>
      <c r="L573" t="s">
        <v>385</v>
      </c>
      <c r="M573">
        <v>0</v>
      </c>
      <c r="N573" s="3" t="s">
        <v>238</v>
      </c>
      <c r="O573" s="3"/>
    </row>
    <row r="574" spans="1:15">
      <c r="A574" t="s">
        <v>1298</v>
      </c>
      <c r="B574" t="s">
        <v>500</v>
      </c>
      <c r="C574">
        <v>518154</v>
      </c>
      <c r="D574" s="16">
        <v>518.154</v>
      </c>
      <c r="E574" t="s">
        <v>730</v>
      </c>
      <c r="F574" s="16">
        <v>0</v>
      </c>
      <c r="G574" s="16">
        <v>0</v>
      </c>
      <c r="H574" s="16">
        <v>0</v>
      </c>
      <c r="I574" t="s">
        <v>107</v>
      </c>
      <c r="J574">
        <v>1</v>
      </c>
      <c r="K574" t="s">
        <v>720</v>
      </c>
      <c r="L574" t="s">
        <v>385</v>
      </c>
      <c r="M574">
        <v>0</v>
      </c>
      <c r="N574" s="3" t="s">
        <v>238</v>
      </c>
      <c r="O574" s="3"/>
    </row>
    <row r="575" spans="1:15">
      <c r="A575" t="s">
        <v>1299</v>
      </c>
      <c r="B575" t="s">
        <v>501</v>
      </c>
      <c r="C575">
        <v>523171</v>
      </c>
      <c r="D575" s="16">
        <v>523.17100000000005</v>
      </c>
      <c r="E575" t="s">
        <v>719</v>
      </c>
      <c r="F575" s="16">
        <v>27.3</v>
      </c>
      <c r="G575" s="16">
        <v>27.3</v>
      </c>
      <c r="H575" s="16">
        <v>27.3</v>
      </c>
      <c r="I575" t="s">
        <v>98</v>
      </c>
      <c r="J575">
        <v>1</v>
      </c>
      <c r="K575" t="s">
        <v>720</v>
      </c>
      <c r="L575" t="s">
        <v>385</v>
      </c>
      <c r="M575">
        <v>0</v>
      </c>
      <c r="N575" s="3" t="s">
        <v>238</v>
      </c>
      <c r="O575" s="3"/>
    </row>
    <row r="576" spans="1:15">
      <c r="A576" t="s">
        <v>1300</v>
      </c>
      <c r="B576" t="s">
        <v>501</v>
      </c>
      <c r="C576">
        <v>523171</v>
      </c>
      <c r="D576" s="16">
        <v>523.17100000000005</v>
      </c>
      <c r="E576" t="s">
        <v>722</v>
      </c>
      <c r="F576" s="16">
        <v>81</v>
      </c>
      <c r="G576" s="16">
        <v>81</v>
      </c>
      <c r="H576" s="16">
        <v>81</v>
      </c>
      <c r="I576" t="s">
        <v>140</v>
      </c>
      <c r="J576">
        <v>1</v>
      </c>
      <c r="K576" t="s">
        <v>720</v>
      </c>
      <c r="L576" t="s">
        <v>385</v>
      </c>
      <c r="M576">
        <v>0</v>
      </c>
      <c r="N576" s="3" t="s">
        <v>238</v>
      </c>
      <c r="O576" s="3"/>
    </row>
    <row r="577" spans="1:15">
      <c r="A577" t="s">
        <v>1301</v>
      </c>
      <c r="B577" t="s">
        <v>501</v>
      </c>
      <c r="C577">
        <v>523171</v>
      </c>
      <c r="D577" s="16">
        <v>523.17100000000005</v>
      </c>
      <c r="E577" t="s">
        <v>724</v>
      </c>
      <c r="F577" s="16">
        <v>-3.2</v>
      </c>
      <c r="G577" s="16">
        <v>3.2</v>
      </c>
      <c r="H577" s="16">
        <v>3.2</v>
      </c>
      <c r="I577" t="s">
        <v>125</v>
      </c>
      <c r="J577">
        <v>1</v>
      </c>
      <c r="K577" t="s">
        <v>725</v>
      </c>
      <c r="L577" t="s">
        <v>385</v>
      </c>
      <c r="M577">
        <v>0</v>
      </c>
      <c r="N577" s="3" t="s">
        <v>238</v>
      </c>
      <c r="O577" s="3"/>
    </row>
    <row r="578" spans="1:15">
      <c r="A578" t="s">
        <v>1302</v>
      </c>
      <c r="B578" t="s">
        <v>501</v>
      </c>
      <c r="C578">
        <v>523171</v>
      </c>
      <c r="D578" s="16">
        <v>523.17100000000005</v>
      </c>
      <c r="E578" t="s">
        <v>727</v>
      </c>
      <c r="F578" s="16">
        <v>1</v>
      </c>
      <c r="G578" s="16">
        <v>1</v>
      </c>
      <c r="H578" s="16">
        <v>1</v>
      </c>
      <c r="I578" t="s">
        <v>728</v>
      </c>
      <c r="J578">
        <v>1</v>
      </c>
      <c r="K578" t="s">
        <v>720</v>
      </c>
      <c r="L578" t="s">
        <v>385</v>
      </c>
      <c r="M578">
        <v>0</v>
      </c>
      <c r="N578" s="3" t="s">
        <v>238</v>
      </c>
      <c r="O578" s="3"/>
    </row>
    <row r="579" spans="1:15">
      <c r="A579" t="s">
        <v>1303</v>
      </c>
      <c r="B579" t="s">
        <v>501</v>
      </c>
      <c r="C579">
        <v>523171</v>
      </c>
      <c r="D579" s="16">
        <v>523.17100000000005</v>
      </c>
      <c r="E579" t="s">
        <v>730</v>
      </c>
      <c r="F579" s="16">
        <v>0</v>
      </c>
      <c r="G579" s="16">
        <v>0</v>
      </c>
      <c r="H579" s="16">
        <v>0</v>
      </c>
      <c r="I579" t="s">
        <v>107</v>
      </c>
      <c r="J579">
        <v>1</v>
      </c>
      <c r="K579" t="s">
        <v>720</v>
      </c>
      <c r="L579" t="s">
        <v>385</v>
      </c>
      <c r="M579">
        <v>0</v>
      </c>
      <c r="N579" s="3" t="s">
        <v>238</v>
      </c>
      <c r="O579" s="3"/>
    </row>
    <row r="580" spans="1:15">
      <c r="A580" t="s">
        <v>1304</v>
      </c>
      <c r="B580" t="s">
        <v>502</v>
      </c>
      <c r="C580">
        <v>528190</v>
      </c>
      <c r="D580" s="16">
        <v>528.19000000000005</v>
      </c>
      <c r="E580" t="s">
        <v>719</v>
      </c>
      <c r="F580" s="16">
        <v>27.3</v>
      </c>
      <c r="G580" s="16">
        <v>27.3</v>
      </c>
      <c r="H580" s="16">
        <v>27.3</v>
      </c>
      <c r="I580" t="s">
        <v>98</v>
      </c>
      <c r="J580">
        <v>1</v>
      </c>
      <c r="K580" t="s">
        <v>720</v>
      </c>
      <c r="L580" t="s">
        <v>385</v>
      </c>
      <c r="M580">
        <v>0</v>
      </c>
      <c r="N580" s="3" t="s">
        <v>238</v>
      </c>
      <c r="O580" s="3"/>
    </row>
    <row r="581" spans="1:15">
      <c r="A581" t="s">
        <v>1305</v>
      </c>
      <c r="B581" t="s">
        <v>502</v>
      </c>
      <c r="C581">
        <v>528190</v>
      </c>
      <c r="D581" s="16">
        <v>528.19000000000005</v>
      </c>
      <c r="E581" t="s">
        <v>722</v>
      </c>
      <c r="F581" s="16">
        <v>81</v>
      </c>
      <c r="G581" s="16">
        <v>81</v>
      </c>
      <c r="H581" s="16">
        <v>81</v>
      </c>
      <c r="I581" t="s">
        <v>140</v>
      </c>
      <c r="J581">
        <v>1</v>
      </c>
      <c r="K581" t="s">
        <v>720</v>
      </c>
      <c r="L581" t="s">
        <v>385</v>
      </c>
      <c r="M581">
        <v>0</v>
      </c>
      <c r="N581" s="3" t="s">
        <v>238</v>
      </c>
      <c r="O581" s="3"/>
    </row>
    <row r="582" spans="1:15">
      <c r="A582" t="s">
        <v>1306</v>
      </c>
      <c r="B582" t="s">
        <v>502</v>
      </c>
      <c r="C582">
        <v>528190</v>
      </c>
      <c r="D582" s="16">
        <v>528.19000000000005</v>
      </c>
      <c r="E582" t="s">
        <v>724</v>
      </c>
      <c r="F582" s="16">
        <v>-2.5</v>
      </c>
      <c r="G582" s="16">
        <v>2.5</v>
      </c>
      <c r="H582" s="16">
        <v>2.5</v>
      </c>
      <c r="I582" t="s">
        <v>125</v>
      </c>
      <c r="J582">
        <v>1</v>
      </c>
      <c r="K582" t="s">
        <v>725</v>
      </c>
      <c r="L582" t="s">
        <v>385</v>
      </c>
      <c r="M582">
        <v>0</v>
      </c>
      <c r="N582" s="3" t="s">
        <v>238</v>
      </c>
      <c r="O582" s="3"/>
    </row>
    <row r="583" spans="1:15">
      <c r="A583" t="s">
        <v>1307</v>
      </c>
      <c r="B583" t="s">
        <v>502</v>
      </c>
      <c r="C583">
        <v>528190</v>
      </c>
      <c r="D583" s="16">
        <v>528.19000000000005</v>
      </c>
      <c r="E583" t="s">
        <v>727</v>
      </c>
      <c r="F583" s="16">
        <v>1</v>
      </c>
      <c r="G583" s="16">
        <v>1</v>
      </c>
      <c r="H583" s="16">
        <v>1</v>
      </c>
      <c r="I583" t="s">
        <v>728</v>
      </c>
      <c r="J583">
        <v>1</v>
      </c>
      <c r="K583" t="s">
        <v>720</v>
      </c>
      <c r="L583" t="s">
        <v>385</v>
      </c>
      <c r="M583">
        <v>0</v>
      </c>
      <c r="N583" s="3" t="s">
        <v>238</v>
      </c>
      <c r="O583" s="3"/>
    </row>
    <row r="584" spans="1:15">
      <c r="A584" t="s">
        <v>1308</v>
      </c>
      <c r="B584" t="s">
        <v>502</v>
      </c>
      <c r="C584">
        <v>528190</v>
      </c>
      <c r="D584" s="16">
        <v>528.19000000000005</v>
      </c>
      <c r="E584" t="s">
        <v>730</v>
      </c>
      <c r="F584" s="16">
        <v>0</v>
      </c>
      <c r="G584" s="16">
        <v>0</v>
      </c>
      <c r="H584" s="16">
        <v>0</v>
      </c>
      <c r="I584" t="s">
        <v>107</v>
      </c>
      <c r="J584">
        <v>1</v>
      </c>
      <c r="K584" t="s">
        <v>720</v>
      </c>
      <c r="L584" t="s">
        <v>385</v>
      </c>
      <c r="M584">
        <v>0</v>
      </c>
      <c r="N584" s="3" t="s">
        <v>238</v>
      </c>
      <c r="O584" s="3"/>
    </row>
    <row r="585" spans="1:15">
      <c r="A585" t="s">
        <v>1309</v>
      </c>
      <c r="B585" t="s">
        <v>503</v>
      </c>
      <c r="C585">
        <v>533209</v>
      </c>
      <c r="D585" s="16">
        <v>533.20899999999995</v>
      </c>
      <c r="E585" t="s">
        <v>719</v>
      </c>
      <c r="F585" s="16">
        <v>27.3</v>
      </c>
      <c r="G585" s="16">
        <v>27.3</v>
      </c>
      <c r="H585" s="16">
        <v>27.3</v>
      </c>
      <c r="I585" t="s">
        <v>98</v>
      </c>
      <c r="J585">
        <v>1</v>
      </c>
      <c r="K585" t="s">
        <v>720</v>
      </c>
      <c r="L585" t="s">
        <v>385</v>
      </c>
      <c r="M585">
        <v>1</v>
      </c>
      <c r="N585" s="3" t="s">
        <v>238</v>
      </c>
      <c r="O585" s="3"/>
    </row>
    <row r="586" spans="1:15">
      <c r="A586" t="s">
        <v>1310</v>
      </c>
      <c r="B586" t="s">
        <v>503</v>
      </c>
      <c r="C586">
        <v>533209</v>
      </c>
      <c r="D586" s="16">
        <v>533.20899999999995</v>
      </c>
      <c r="E586" t="s">
        <v>722</v>
      </c>
      <c r="F586" s="16">
        <v>81.099999999999994</v>
      </c>
      <c r="G586" s="16">
        <v>81.099999999999994</v>
      </c>
      <c r="H586" s="16">
        <v>81.099999999999994</v>
      </c>
      <c r="I586" t="s">
        <v>140</v>
      </c>
      <c r="J586">
        <v>1</v>
      </c>
      <c r="K586" t="s">
        <v>720</v>
      </c>
      <c r="L586" t="s">
        <v>385</v>
      </c>
      <c r="M586">
        <v>1</v>
      </c>
      <c r="N586" s="3" t="s">
        <v>238</v>
      </c>
      <c r="O586" s="3"/>
    </row>
    <row r="587" spans="1:15">
      <c r="A587" t="s">
        <v>1311</v>
      </c>
      <c r="B587" t="s">
        <v>503</v>
      </c>
      <c r="C587">
        <v>533209</v>
      </c>
      <c r="D587" s="16">
        <v>533.20899999999995</v>
      </c>
      <c r="E587" t="s">
        <v>724</v>
      </c>
      <c r="F587" s="16">
        <v>-11.8</v>
      </c>
      <c r="G587" s="16">
        <v>11.8</v>
      </c>
      <c r="H587" s="16">
        <v>11.8</v>
      </c>
      <c r="I587" t="s">
        <v>125</v>
      </c>
      <c r="J587">
        <v>1</v>
      </c>
      <c r="K587" t="s">
        <v>725</v>
      </c>
      <c r="L587" t="s">
        <v>385</v>
      </c>
      <c r="M587">
        <v>1</v>
      </c>
      <c r="N587" s="3" t="s">
        <v>238</v>
      </c>
      <c r="O587" s="3"/>
    </row>
    <row r="588" spans="1:15">
      <c r="A588" t="s">
        <v>1312</v>
      </c>
      <c r="B588" t="s">
        <v>503</v>
      </c>
      <c r="C588">
        <v>533209</v>
      </c>
      <c r="D588" s="16">
        <v>533.20899999999995</v>
      </c>
      <c r="E588" t="s">
        <v>727</v>
      </c>
      <c r="F588" s="16">
        <v>1</v>
      </c>
      <c r="G588" s="16">
        <v>1</v>
      </c>
      <c r="H588" s="16">
        <v>1</v>
      </c>
      <c r="I588" t="s">
        <v>728</v>
      </c>
      <c r="J588">
        <v>1</v>
      </c>
      <c r="K588" t="s">
        <v>720</v>
      </c>
      <c r="L588" t="s">
        <v>385</v>
      </c>
      <c r="M588">
        <v>1</v>
      </c>
      <c r="N588" s="3" t="s">
        <v>238</v>
      </c>
      <c r="O588" s="3"/>
    </row>
    <row r="589" spans="1:15">
      <c r="A589" t="s">
        <v>1313</v>
      </c>
      <c r="B589" t="s">
        <v>503</v>
      </c>
      <c r="C589">
        <v>533209</v>
      </c>
      <c r="D589" s="16">
        <v>533.20899999999995</v>
      </c>
      <c r="E589" t="s">
        <v>730</v>
      </c>
      <c r="F589" s="16">
        <v>0</v>
      </c>
      <c r="G589" s="16">
        <v>0</v>
      </c>
      <c r="H589" s="16">
        <v>0</v>
      </c>
      <c r="I589" t="s">
        <v>107</v>
      </c>
      <c r="J589">
        <v>1</v>
      </c>
      <c r="K589" t="s">
        <v>720</v>
      </c>
      <c r="L589" t="s">
        <v>385</v>
      </c>
      <c r="M589">
        <v>1</v>
      </c>
      <c r="N589" s="3" t="s">
        <v>238</v>
      </c>
      <c r="O589" s="3"/>
    </row>
    <row r="590" spans="1:15">
      <c r="A590" t="s">
        <v>1314</v>
      </c>
      <c r="B590" t="s">
        <v>504</v>
      </c>
      <c r="C590">
        <v>538226</v>
      </c>
      <c r="D590" s="16">
        <v>538.226</v>
      </c>
      <c r="E590" t="s">
        <v>719</v>
      </c>
      <c r="F590" s="16">
        <v>27.3</v>
      </c>
      <c r="G590" s="16">
        <v>27.3</v>
      </c>
      <c r="H590" s="16">
        <v>27.3</v>
      </c>
      <c r="I590" t="s">
        <v>98</v>
      </c>
      <c r="J590">
        <v>1</v>
      </c>
      <c r="K590" t="s">
        <v>720</v>
      </c>
      <c r="L590" t="s">
        <v>385</v>
      </c>
      <c r="M590">
        <v>0</v>
      </c>
      <c r="N590" s="3" t="s">
        <v>238</v>
      </c>
      <c r="O590" s="3"/>
    </row>
    <row r="591" spans="1:15">
      <c r="A591" t="s">
        <v>1315</v>
      </c>
      <c r="B591" t="s">
        <v>504</v>
      </c>
      <c r="C591">
        <v>538226</v>
      </c>
      <c r="D591" s="16">
        <v>538.226</v>
      </c>
      <c r="E591" t="s">
        <v>722</v>
      </c>
      <c r="F591" s="16">
        <v>81</v>
      </c>
      <c r="G591" s="16">
        <v>81</v>
      </c>
      <c r="H591" s="16">
        <v>81</v>
      </c>
      <c r="I591" t="s">
        <v>140</v>
      </c>
      <c r="J591">
        <v>1</v>
      </c>
      <c r="K591" t="s">
        <v>720</v>
      </c>
      <c r="L591" t="s">
        <v>385</v>
      </c>
      <c r="M591">
        <v>0</v>
      </c>
      <c r="N591" s="3" t="s">
        <v>238</v>
      </c>
      <c r="O591" s="3"/>
    </row>
    <row r="592" spans="1:15">
      <c r="A592" t="s">
        <v>1316</v>
      </c>
      <c r="B592" t="s">
        <v>504</v>
      </c>
      <c r="C592">
        <v>538226</v>
      </c>
      <c r="D592" s="16">
        <v>538.226</v>
      </c>
      <c r="E592" t="s">
        <v>724</v>
      </c>
      <c r="F592" s="16">
        <v>-5.9</v>
      </c>
      <c r="G592" s="16">
        <v>5.9</v>
      </c>
      <c r="H592" s="16">
        <v>5.9</v>
      </c>
      <c r="I592" t="s">
        <v>125</v>
      </c>
      <c r="J592">
        <v>1</v>
      </c>
      <c r="K592" t="s">
        <v>725</v>
      </c>
      <c r="L592" t="s">
        <v>385</v>
      </c>
      <c r="M592">
        <v>0</v>
      </c>
      <c r="N592" s="3" t="s">
        <v>238</v>
      </c>
      <c r="O592" s="3"/>
    </row>
    <row r="593" spans="1:15">
      <c r="A593" t="s">
        <v>1317</v>
      </c>
      <c r="B593" t="s">
        <v>504</v>
      </c>
      <c r="C593">
        <v>538226</v>
      </c>
      <c r="D593" s="16">
        <v>538.226</v>
      </c>
      <c r="E593" t="s">
        <v>727</v>
      </c>
      <c r="F593" s="16">
        <v>1</v>
      </c>
      <c r="G593" s="16">
        <v>1</v>
      </c>
      <c r="H593" s="16">
        <v>1</v>
      </c>
      <c r="I593" t="s">
        <v>728</v>
      </c>
      <c r="J593">
        <v>1</v>
      </c>
      <c r="K593" t="s">
        <v>720</v>
      </c>
      <c r="L593" t="s">
        <v>385</v>
      </c>
      <c r="M593">
        <v>0</v>
      </c>
      <c r="N593" s="3" t="s">
        <v>238</v>
      </c>
      <c r="O593" s="3"/>
    </row>
    <row r="594" spans="1:15">
      <c r="A594" t="s">
        <v>1318</v>
      </c>
      <c r="B594" t="s">
        <v>504</v>
      </c>
      <c r="C594">
        <v>538226</v>
      </c>
      <c r="D594" s="16">
        <v>538.226</v>
      </c>
      <c r="E594" t="s">
        <v>730</v>
      </c>
      <c r="F594" s="16">
        <v>0</v>
      </c>
      <c r="G594" s="16">
        <v>0</v>
      </c>
      <c r="H594" s="16">
        <v>0</v>
      </c>
      <c r="I594" t="s">
        <v>107</v>
      </c>
      <c r="J594">
        <v>1</v>
      </c>
      <c r="K594" t="s">
        <v>720</v>
      </c>
      <c r="L594" t="s">
        <v>385</v>
      </c>
      <c r="M594">
        <v>0</v>
      </c>
      <c r="N594" s="3" t="s">
        <v>238</v>
      </c>
      <c r="O594" s="3"/>
    </row>
    <row r="595" spans="1:15">
      <c r="A595" t="s">
        <v>1319</v>
      </c>
      <c r="B595" t="s">
        <v>505</v>
      </c>
      <c r="C595">
        <v>543245</v>
      </c>
      <c r="D595" s="16">
        <v>543.245</v>
      </c>
      <c r="E595" t="s">
        <v>719</v>
      </c>
      <c r="F595" s="16">
        <v>27.3</v>
      </c>
      <c r="G595" s="16">
        <v>27.3</v>
      </c>
      <c r="H595" s="16">
        <v>27.3</v>
      </c>
      <c r="I595" t="s">
        <v>98</v>
      </c>
      <c r="J595">
        <v>1</v>
      </c>
      <c r="K595" t="s">
        <v>720</v>
      </c>
      <c r="L595" t="s">
        <v>385</v>
      </c>
      <c r="M595">
        <v>0</v>
      </c>
      <c r="N595" s="3" t="s">
        <v>238</v>
      </c>
      <c r="O595" s="3"/>
    </row>
    <row r="596" spans="1:15">
      <c r="A596" t="s">
        <v>1320</v>
      </c>
      <c r="B596" t="s">
        <v>505</v>
      </c>
      <c r="C596">
        <v>543245</v>
      </c>
      <c r="D596" s="16">
        <v>543.245</v>
      </c>
      <c r="E596" t="s">
        <v>722</v>
      </c>
      <c r="F596" s="16">
        <v>81</v>
      </c>
      <c r="G596" s="16">
        <v>81</v>
      </c>
      <c r="H596" s="16">
        <v>81</v>
      </c>
      <c r="I596" t="s">
        <v>140</v>
      </c>
      <c r="J596">
        <v>1</v>
      </c>
      <c r="K596" t="s">
        <v>720</v>
      </c>
      <c r="L596" t="s">
        <v>385</v>
      </c>
      <c r="M596">
        <v>0</v>
      </c>
      <c r="N596" s="3" t="s">
        <v>238</v>
      </c>
      <c r="O596" s="3"/>
    </row>
    <row r="597" spans="1:15">
      <c r="A597" t="s">
        <v>1321</v>
      </c>
      <c r="B597" t="s">
        <v>505</v>
      </c>
      <c r="C597">
        <v>543245</v>
      </c>
      <c r="D597" s="16">
        <v>543.245</v>
      </c>
      <c r="E597" t="s">
        <v>724</v>
      </c>
      <c r="F597" s="16">
        <v>-4.7</v>
      </c>
      <c r="G597" s="16">
        <v>4.7</v>
      </c>
      <c r="H597" s="16">
        <v>4.7</v>
      </c>
      <c r="I597" t="s">
        <v>125</v>
      </c>
      <c r="J597">
        <v>1</v>
      </c>
      <c r="K597" t="s">
        <v>725</v>
      </c>
      <c r="L597" t="s">
        <v>385</v>
      </c>
      <c r="M597">
        <v>0</v>
      </c>
      <c r="N597" s="3" t="s">
        <v>238</v>
      </c>
      <c r="O597" s="3"/>
    </row>
    <row r="598" spans="1:15">
      <c r="A598" t="s">
        <v>1322</v>
      </c>
      <c r="B598" t="s">
        <v>505</v>
      </c>
      <c r="C598">
        <v>543245</v>
      </c>
      <c r="D598" s="16">
        <v>543.245</v>
      </c>
      <c r="E598" t="s">
        <v>727</v>
      </c>
      <c r="F598" s="16">
        <v>1</v>
      </c>
      <c r="G598" s="16">
        <v>1</v>
      </c>
      <c r="H598" s="16">
        <v>1</v>
      </c>
      <c r="I598" t="s">
        <v>728</v>
      </c>
      <c r="J598">
        <v>1</v>
      </c>
      <c r="K598" t="s">
        <v>720</v>
      </c>
      <c r="L598" t="s">
        <v>385</v>
      </c>
      <c r="M598">
        <v>0</v>
      </c>
      <c r="N598" s="3" t="s">
        <v>238</v>
      </c>
      <c r="O598" s="3"/>
    </row>
    <row r="599" spans="1:15">
      <c r="A599" t="s">
        <v>1323</v>
      </c>
      <c r="B599" t="s">
        <v>505</v>
      </c>
      <c r="C599">
        <v>543245</v>
      </c>
      <c r="D599" s="16">
        <v>543.245</v>
      </c>
      <c r="E599" t="s">
        <v>730</v>
      </c>
      <c r="F599" s="16">
        <v>0</v>
      </c>
      <c r="G599" s="16">
        <v>0</v>
      </c>
      <c r="H599" s="16">
        <v>0</v>
      </c>
      <c r="I599" t="s">
        <v>107</v>
      </c>
      <c r="J599">
        <v>1</v>
      </c>
      <c r="K599" t="s">
        <v>720</v>
      </c>
      <c r="L599" t="s">
        <v>385</v>
      </c>
      <c r="M599">
        <v>0</v>
      </c>
      <c r="N599" s="3" t="s">
        <v>238</v>
      </c>
      <c r="O599" s="3"/>
    </row>
    <row r="600" spans="1:15" ht="27.6">
      <c r="A600" t="s">
        <v>1324</v>
      </c>
      <c r="B600" t="s">
        <v>506</v>
      </c>
      <c r="C600">
        <v>548264</v>
      </c>
      <c r="D600" s="16">
        <v>548.26400000000001</v>
      </c>
      <c r="E600" t="s">
        <v>719</v>
      </c>
      <c r="F600" s="16">
        <v>27.3</v>
      </c>
      <c r="G600" s="16">
        <v>27.3</v>
      </c>
      <c r="H600" s="16">
        <v>27.3</v>
      </c>
      <c r="I600" t="s">
        <v>98</v>
      </c>
      <c r="J600">
        <v>1</v>
      </c>
      <c r="K600" t="s">
        <v>720</v>
      </c>
      <c r="L600" t="s">
        <v>385</v>
      </c>
      <c r="M600">
        <v>1</v>
      </c>
      <c r="N600" s="3" t="s">
        <v>238</v>
      </c>
      <c r="O600" s="3" t="s">
        <v>433</v>
      </c>
    </row>
    <row r="601" spans="1:15" ht="27.6">
      <c r="A601" t="s">
        <v>1325</v>
      </c>
      <c r="B601" t="s">
        <v>506</v>
      </c>
      <c r="C601">
        <v>548264</v>
      </c>
      <c r="D601" s="16">
        <v>548.26400000000001</v>
      </c>
      <c r="E601" t="s">
        <v>722</v>
      </c>
      <c r="F601" s="16">
        <v>81</v>
      </c>
      <c r="G601" s="16">
        <v>81</v>
      </c>
      <c r="H601" s="16">
        <v>81</v>
      </c>
      <c r="I601" t="s">
        <v>140</v>
      </c>
      <c r="J601">
        <v>1</v>
      </c>
      <c r="K601" t="s">
        <v>720</v>
      </c>
      <c r="L601" t="s">
        <v>385</v>
      </c>
      <c r="M601">
        <v>1</v>
      </c>
      <c r="N601" s="3" t="s">
        <v>238</v>
      </c>
      <c r="O601" s="3" t="s">
        <v>433</v>
      </c>
    </row>
    <row r="602" spans="1:15" ht="27.6">
      <c r="A602" t="s">
        <v>1326</v>
      </c>
      <c r="B602" t="s">
        <v>506</v>
      </c>
      <c r="C602">
        <v>548264</v>
      </c>
      <c r="D602" s="16">
        <v>548.26400000000001</v>
      </c>
      <c r="E602" t="s">
        <v>724</v>
      </c>
      <c r="F602" s="16">
        <v>-4.0999999999999996</v>
      </c>
      <c r="G602" s="16">
        <v>4.0999999999999996</v>
      </c>
      <c r="H602" s="16">
        <v>4.0999999999999996</v>
      </c>
      <c r="I602" t="s">
        <v>125</v>
      </c>
      <c r="J602">
        <v>1</v>
      </c>
      <c r="K602" t="s">
        <v>725</v>
      </c>
      <c r="L602" t="s">
        <v>385</v>
      </c>
      <c r="M602">
        <v>1</v>
      </c>
      <c r="N602" s="3" t="s">
        <v>238</v>
      </c>
      <c r="O602" s="3" t="s">
        <v>433</v>
      </c>
    </row>
    <row r="603" spans="1:15" ht="27.6">
      <c r="A603" t="s">
        <v>1327</v>
      </c>
      <c r="B603" t="s">
        <v>506</v>
      </c>
      <c r="C603">
        <v>548264</v>
      </c>
      <c r="D603" s="16">
        <v>548.26400000000001</v>
      </c>
      <c r="E603" t="s">
        <v>727</v>
      </c>
      <c r="F603" s="16">
        <v>1</v>
      </c>
      <c r="G603" s="16">
        <v>1</v>
      </c>
      <c r="H603" s="16">
        <v>1</v>
      </c>
      <c r="I603" t="s">
        <v>728</v>
      </c>
      <c r="J603">
        <v>1</v>
      </c>
      <c r="K603" t="s">
        <v>720</v>
      </c>
      <c r="L603" t="s">
        <v>385</v>
      </c>
      <c r="M603">
        <v>1</v>
      </c>
      <c r="N603" s="3" t="s">
        <v>238</v>
      </c>
      <c r="O603" s="3" t="s">
        <v>433</v>
      </c>
    </row>
    <row r="604" spans="1:15" ht="27.6">
      <c r="A604" t="s">
        <v>1328</v>
      </c>
      <c r="B604" t="s">
        <v>506</v>
      </c>
      <c r="C604">
        <v>548264</v>
      </c>
      <c r="D604" s="16">
        <v>548.26400000000001</v>
      </c>
      <c r="E604" t="s">
        <v>730</v>
      </c>
      <c r="F604" s="16">
        <v>0</v>
      </c>
      <c r="G604" s="16">
        <v>0</v>
      </c>
      <c r="H604" s="16">
        <v>0</v>
      </c>
      <c r="I604" t="s">
        <v>107</v>
      </c>
      <c r="J604">
        <v>1</v>
      </c>
      <c r="K604" t="s">
        <v>720</v>
      </c>
      <c r="L604" t="s">
        <v>385</v>
      </c>
      <c r="M604">
        <v>1</v>
      </c>
      <c r="N604" s="3" t="s">
        <v>238</v>
      </c>
      <c r="O604" s="3" t="s">
        <v>433</v>
      </c>
    </row>
    <row r="605" spans="1:15" ht="27.6">
      <c r="A605" t="s">
        <v>1329</v>
      </c>
      <c r="B605" t="s">
        <v>509</v>
      </c>
      <c r="C605">
        <v>564671</v>
      </c>
      <c r="D605" s="16">
        <v>564.67100000000005</v>
      </c>
      <c r="E605" t="s">
        <v>719</v>
      </c>
      <c r="F605" s="16">
        <v>27.3</v>
      </c>
      <c r="G605" s="16">
        <v>27.3</v>
      </c>
      <c r="H605" s="16">
        <v>27.3</v>
      </c>
      <c r="I605" t="s">
        <v>98</v>
      </c>
      <c r="J605">
        <v>1</v>
      </c>
      <c r="K605" t="s">
        <v>720</v>
      </c>
      <c r="L605" t="s">
        <v>385</v>
      </c>
      <c r="M605">
        <v>1</v>
      </c>
      <c r="N605" s="3" t="s">
        <v>257</v>
      </c>
      <c r="O605" s="3"/>
    </row>
    <row r="606" spans="1:15" ht="27.6">
      <c r="A606" t="s">
        <v>1330</v>
      </c>
      <c r="B606" t="s">
        <v>509</v>
      </c>
      <c r="C606">
        <v>564671</v>
      </c>
      <c r="D606" s="16">
        <v>564.67100000000005</v>
      </c>
      <c r="E606" t="s">
        <v>722</v>
      </c>
      <c r="F606" s="16">
        <v>81.099999999999994</v>
      </c>
      <c r="G606" s="16">
        <v>81.099999999999994</v>
      </c>
      <c r="H606" s="16">
        <v>81.099999999999994</v>
      </c>
      <c r="I606" t="s">
        <v>140</v>
      </c>
      <c r="J606">
        <v>1</v>
      </c>
      <c r="K606" t="s">
        <v>720</v>
      </c>
      <c r="L606" t="s">
        <v>385</v>
      </c>
      <c r="M606">
        <v>1</v>
      </c>
      <c r="N606" s="3" t="s">
        <v>257</v>
      </c>
      <c r="O606" s="3"/>
    </row>
    <row r="607" spans="1:15" ht="27.6">
      <c r="A607" t="s">
        <v>1331</v>
      </c>
      <c r="B607" t="s">
        <v>509</v>
      </c>
      <c r="C607">
        <v>564671</v>
      </c>
      <c r="D607" s="16">
        <v>564.67100000000005</v>
      </c>
      <c r="E607" t="s">
        <v>724</v>
      </c>
      <c r="F607" s="16">
        <v>11</v>
      </c>
      <c r="G607" s="16">
        <v>11</v>
      </c>
      <c r="H607" s="16">
        <v>11</v>
      </c>
      <c r="I607" t="s">
        <v>125</v>
      </c>
      <c r="J607">
        <v>1</v>
      </c>
      <c r="K607" t="s">
        <v>720</v>
      </c>
      <c r="L607" t="s">
        <v>385</v>
      </c>
      <c r="M607">
        <v>1</v>
      </c>
      <c r="N607" s="3" t="s">
        <v>257</v>
      </c>
      <c r="O607" s="3"/>
    </row>
    <row r="608" spans="1:15" ht="27.6">
      <c r="A608" t="s">
        <v>1332</v>
      </c>
      <c r="B608" t="s">
        <v>509</v>
      </c>
      <c r="C608">
        <v>564671</v>
      </c>
      <c r="D608" s="16">
        <v>564.67100000000005</v>
      </c>
      <c r="E608" t="s">
        <v>727</v>
      </c>
      <c r="F608" s="16">
        <v>1</v>
      </c>
      <c r="G608" s="16">
        <v>1</v>
      </c>
      <c r="H608" s="16">
        <v>1</v>
      </c>
      <c r="I608" t="s">
        <v>728</v>
      </c>
      <c r="J608">
        <v>1</v>
      </c>
      <c r="K608" t="s">
        <v>720</v>
      </c>
      <c r="L608" t="s">
        <v>385</v>
      </c>
      <c r="M608">
        <v>1</v>
      </c>
      <c r="N608" s="3" t="s">
        <v>257</v>
      </c>
      <c r="O608" s="3"/>
    </row>
    <row r="609" spans="1:15" ht="27.6">
      <c r="A609" t="s">
        <v>1333</v>
      </c>
      <c r="B609" t="s">
        <v>509</v>
      </c>
      <c r="C609">
        <v>564671</v>
      </c>
      <c r="D609" s="16">
        <v>564.67100000000005</v>
      </c>
      <c r="E609" t="s">
        <v>730</v>
      </c>
      <c r="F609" s="16">
        <v>0</v>
      </c>
      <c r="G609" s="16">
        <v>0</v>
      </c>
      <c r="H609" s="16">
        <v>0</v>
      </c>
      <c r="I609" t="s">
        <v>107</v>
      </c>
      <c r="J609">
        <v>1</v>
      </c>
      <c r="K609" t="s">
        <v>720</v>
      </c>
      <c r="L609" t="s">
        <v>385</v>
      </c>
      <c r="M609">
        <v>1</v>
      </c>
      <c r="N609" s="3" t="s">
        <v>257</v>
      </c>
      <c r="O609" s="3"/>
    </row>
    <row r="610" spans="1:15">
      <c r="A610" t="s">
        <v>1334</v>
      </c>
      <c r="B610" t="s">
        <v>510</v>
      </c>
      <c r="C610">
        <v>569830</v>
      </c>
      <c r="D610" s="16">
        <v>569.83000000000004</v>
      </c>
      <c r="E610" t="s">
        <v>719</v>
      </c>
      <c r="F610" s="16">
        <v>27.3</v>
      </c>
      <c r="G610" s="16">
        <v>27.3</v>
      </c>
      <c r="H610" s="16">
        <v>27.3</v>
      </c>
      <c r="I610" t="s">
        <v>98</v>
      </c>
      <c r="J610">
        <v>1</v>
      </c>
      <c r="K610" t="s">
        <v>720</v>
      </c>
      <c r="L610" t="s">
        <v>385</v>
      </c>
      <c r="M610">
        <v>0</v>
      </c>
      <c r="N610" s="3" t="s">
        <v>238</v>
      </c>
      <c r="O610" s="3"/>
    </row>
    <row r="611" spans="1:15">
      <c r="A611" t="s">
        <v>1335</v>
      </c>
      <c r="B611" t="s">
        <v>510</v>
      </c>
      <c r="C611">
        <v>569830</v>
      </c>
      <c r="D611" s="16">
        <v>569.83000000000004</v>
      </c>
      <c r="E611" t="s">
        <v>722</v>
      </c>
      <c r="F611" s="16">
        <v>81.3</v>
      </c>
      <c r="G611" s="16">
        <v>81.3</v>
      </c>
      <c r="H611" s="16">
        <v>81.3</v>
      </c>
      <c r="I611" t="s">
        <v>140</v>
      </c>
      <c r="J611">
        <v>1</v>
      </c>
      <c r="K611" t="s">
        <v>720</v>
      </c>
      <c r="L611" t="s">
        <v>385</v>
      </c>
      <c r="M611">
        <v>0</v>
      </c>
      <c r="N611" s="3" t="s">
        <v>238</v>
      </c>
      <c r="O611" s="3"/>
    </row>
    <row r="612" spans="1:15">
      <c r="A612" t="s">
        <v>1336</v>
      </c>
      <c r="B612" t="s">
        <v>510</v>
      </c>
      <c r="C612">
        <v>569830</v>
      </c>
      <c r="D612" s="16">
        <v>569.83000000000004</v>
      </c>
      <c r="E612" t="s">
        <v>724</v>
      </c>
      <c r="F612" s="16">
        <v>-3.9</v>
      </c>
      <c r="G612" s="16">
        <v>3.9</v>
      </c>
      <c r="H612" s="16">
        <v>3.9</v>
      </c>
      <c r="I612" t="s">
        <v>125</v>
      </c>
      <c r="J612">
        <v>1</v>
      </c>
      <c r="K612" t="s">
        <v>725</v>
      </c>
      <c r="L612" t="s">
        <v>385</v>
      </c>
      <c r="M612">
        <v>0</v>
      </c>
      <c r="N612" s="3" t="s">
        <v>238</v>
      </c>
      <c r="O612" s="3"/>
    </row>
    <row r="613" spans="1:15">
      <c r="A613" t="s">
        <v>1337</v>
      </c>
      <c r="B613" t="s">
        <v>510</v>
      </c>
      <c r="C613">
        <v>569830</v>
      </c>
      <c r="D613" s="16">
        <v>569.83000000000004</v>
      </c>
      <c r="E613" t="s">
        <v>727</v>
      </c>
      <c r="F613" s="16">
        <v>1</v>
      </c>
      <c r="G613" s="16">
        <v>1</v>
      </c>
      <c r="H613" s="16">
        <v>1</v>
      </c>
      <c r="I613" t="s">
        <v>728</v>
      </c>
      <c r="J613">
        <v>1</v>
      </c>
      <c r="K613" t="s">
        <v>720</v>
      </c>
      <c r="L613" t="s">
        <v>385</v>
      </c>
      <c r="M613">
        <v>0</v>
      </c>
      <c r="N613" s="3" t="s">
        <v>238</v>
      </c>
      <c r="O613" s="3"/>
    </row>
    <row r="614" spans="1:15">
      <c r="A614" t="s">
        <v>1338</v>
      </c>
      <c r="B614" t="s">
        <v>510</v>
      </c>
      <c r="C614">
        <v>569830</v>
      </c>
      <c r="D614" s="16">
        <v>569.83000000000004</v>
      </c>
      <c r="E614" t="s">
        <v>730</v>
      </c>
      <c r="F614" s="16">
        <v>0</v>
      </c>
      <c r="G614" s="16">
        <v>0</v>
      </c>
      <c r="H614" s="16">
        <v>0</v>
      </c>
      <c r="I614" t="s">
        <v>107</v>
      </c>
      <c r="J614">
        <v>1</v>
      </c>
      <c r="K614" t="s">
        <v>720</v>
      </c>
      <c r="L614" t="s">
        <v>385</v>
      </c>
      <c r="M614">
        <v>0</v>
      </c>
      <c r="N614" s="3" t="s">
        <v>238</v>
      </c>
      <c r="O614" s="3"/>
    </row>
    <row r="615" spans="1:15">
      <c r="A615" t="s">
        <v>1339</v>
      </c>
      <c r="B615" t="s">
        <v>511</v>
      </c>
      <c r="C615">
        <v>574849</v>
      </c>
      <c r="D615" s="16">
        <v>574.84900000000005</v>
      </c>
      <c r="E615" t="s">
        <v>719</v>
      </c>
      <c r="F615" s="16">
        <v>27.3</v>
      </c>
      <c r="G615" s="16">
        <v>27.3</v>
      </c>
      <c r="H615" s="16">
        <v>27.3</v>
      </c>
      <c r="I615" t="s">
        <v>98</v>
      </c>
      <c r="J615">
        <v>1</v>
      </c>
      <c r="K615" t="s">
        <v>720</v>
      </c>
      <c r="L615" t="s">
        <v>385</v>
      </c>
      <c r="M615">
        <v>0</v>
      </c>
      <c r="N615" s="3" t="s">
        <v>238</v>
      </c>
      <c r="O615" s="3"/>
    </row>
    <row r="616" spans="1:15">
      <c r="A616" t="s">
        <v>1340</v>
      </c>
      <c r="B616" t="s">
        <v>511</v>
      </c>
      <c r="C616">
        <v>574849</v>
      </c>
      <c r="D616" s="16">
        <v>574.84900000000005</v>
      </c>
      <c r="E616" t="s">
        <v>722</v>
      </c>
      <c r="F616" s="16">
        <v>81.3</v>
      </c>
      <c r="G616" s="16">
        <v>81.3</v>
      </c>
      <c r="H616" s="16">
        <v>81.3</v>
      </c>
      <c r="I616" t="s">
        <v>140</v>
      </c>
      <c r="J616">
        <v>1</v>
      </c>
      <c r="K616" t="s">
        <v>720</v>
      </c>
      <c r="L616" t="s">
        <v>385</v>
      </c>
      <c r="M616">
        <v>0</v>
      </c>
      <c r="N616" s="3" t="s">
        <v>238</v>
      </c>
      <c r="O616" s="3"/>
    </row>
    <row r="617" spans="1:15">
      <c r="A617" t="s">
        <v>1341</v>
      </c>
      <c r="B617" t="s">
        <v>511</v>
      </c>
      <c r="C617">
        <v>574849</v>
      </c>
      <c r="D617" s="16">
        <v>574.84900000000005</v>
      </c>
      <c r="E617" t="s">
        <v>724</v>
      </c>
      <c r="F617" s="16">
        <v>-3.7</v>
      </c>
      <c r="G617" s="16">
        <v>3.7</v>
      </c>
      <c r="H617" s="16">
        <v>3.7</v>
      </c>
      <c r="I617" t="s">
        <v>125</v>
      </c>
      <c r="J617">
        <v>1</v>
      </c>
      <c r="K617" t="s">
        <v>725</v>
      </c>
      <c r="L617" t="s">
        <v>385</v>
      </c>
      <c r="M617">
        <v>0</v>
      </c>
      <c r="N617" s="3" t="s">
        <v>238</v>
      </c>
      <c r="O617" s="3"/>
    </row>
    <row r="618" spans="1:15">
      <c r="A618" t="s">
        <v>1342</v>
      </c>
      <c r="B618" t="s">
        <v>511</v>
      </c>
      <c r="C618">
        <v>574849</v>
      </c>
      <c r="D618" s="16">
        <v>574.84900000000005</v>
      </c>
      <c r="E618" t="s">
        <v>727</v>
      </c>
      <c r="F618" s="16">
        <v>1</v>
      </c>
      <c r="G618" s="16">
        <v>1</v>
      </c>
      <c r="H618" s="16">
        <v>1</v>
      </c>
      <c r="I618" t="s">
        <v>728</v>
      </c>
      <c r="J618">
        <v>1</v>
      </c>
      <c r="K618" t="s">
        <v>720</v>
      </c>
      <c r="L618" t="s">
        <v>385</v>
      </c>
      <c r="M618">
        <v>0</v>
      </c>
      <c r="N618" s="3" t="s">
        <v>238</v>
      </c>
      <c r="O618" s="3"/>
    </row>
    <row r="619" spans="1:15">
      <c r="A619" t="s">
        <v>1343</v>
      </c>
      <c r="B619" t="s">
        <v>511</v>
      </c>
      <c r="C619">
        <v>574849</v>
      </c>
      <c r="D619" s="16">
        <v>574.84900000000005</v>
      </c>
      <c r="E619" t="s">
        <v>730</v>
      </c>
      <c r="F619" s="16">
        <v>0</v>
      </c>
      <c r="G619" s="16">
        <v>0</v>
      </c>
      <c r="H619" s="16">
        <v>0</v>
      </c>
      <c r="I619" t="s">
        <v>107</v>
      </c>
      <c r="J619">
        <v>1</v>
      </c>
      <c r="K619" t="s">
        <v>720</v>
      </c>
      <c r="L619" t="s">
        <v>385</v>
      </c>
      <c r="M619">
        <v>0</v>
      </c>
      <c r="N619" s="3" t="s">
        <v>238</v>
      </c>
      <c r="O619" s="3"/>
    </row>
    <row r="620" spans="1:15">
      <c r="A620" t="s">
        <v>1344</v>
      </c>
      <c r="B620" t="s">
        <v>512</v>
      </c>
      <c r="C620">
        <v>579867</v>
      </c>
      <c r="D620" s="16">
        <v>579.86699999999996</v>
      </c>
      <c r="E620" t="s">
        <v>719</v>
      </c>
      <c r="F620" s="16">
        <v>27.3</v>
      </c>
      <c r="G620" s="16">
        <v>27.3</v>
      </c>
      <c r="H620" s="16">
        <v>27.3</v>
      </c>
      <c r="I620" t="s">
        <v>98</v>
      </c>
      <c r="J620">
        <v>1</v>
      </c>
      <c r="K620" t="s">
        <v>720</v>
      </c>
      <c r="L620" t="s">
        <v>385</v>
      </c>
      <c r="M620">
        <v>0</v>
      </c>
      <c r="N620" s="3" t="s">
        <v>238</v>
      </c>
      <c r="O620" s="3"/>
    </row>
    <row r="621" spans="1:15">
      <c r="A621" t="s">
        <v>1345</v>
      </c>
      <c r="B621" t="s">
        <v>512</v>
      </c>
      <c r="C621">
        <v>579867</v>
      </c>
      <c r="D621" s="16">
        <v>579.86699999999996</v>
      </c>
      <c r="E621" t="s">
        <v>722</v>
      </c>
      <c r="F621" s="16">
        <v>81</v>
      </c>
      <c r="G621" s="16">
        <v>81</v>
      </c>
      <c r="H621" s="16">
        <v>81</v>
      </c>
      <c r="I621" t="s">
        <v>140</v>
      </c>
      <c r="J621">
        <v>1</v>
      </c>
      <c r="K621" t="s">
        <v>720</v>
      </c>
      <c r="L621" t="s">
        <v>385</v>
      </c>
      <c r="M621">
        <v>0</v>
      </c>
      <c r="N621" s="3" t="s">
        <v>238</v>
      </c>
      <c r="O621" s="3"/>
    </row>
    <row r="622" spans="1:15">
      <c r="A622" t="s">
        <v>1346</v>
      </c>
      <c r="B622" t="s">
        <v>512</v>
      </c>
      <c r="C622">
        <v>579867</v>
      </c>
      <c r="D622" s="16">
        <v>579.86699999999996</v>
      </c>
      <c r="E622" t="s">
        <v>724</v>
      </c>
      <c r="F622" s="16">
        <v>-3.5</v>
      </c>
      <c r="G622" s="16">
        <v>3.5</v>
      </c>
      <c r="H622" s="16">
        <v>3.5</v>
      </c>
      <c r="I622" t="s">
        <v>125</v>
      </c>
      <c r="J622">
        <v>1</v>
      </c>
      <c r="K622" t="s">
        <v>725</v>
      </c>
      <c r="L622" t="s">
        <v>385</v>
      </c>
      <c r="M622">
        <v>0</v>
      </c>
      <c r="N622" s="3" t="s">
        <v>238</v>
      </c>
      <c r="O622" s="3"/>
    </row>
    <row r="623" spans="1:15">
      <c r="A623" t="s">
        <v>1347</v>
      </c>
      <c r="B623" t="s">
        <v>512</v>
      </c>
      <c r="C623">
        <v>579867</v>
      </c>
      <c r="D623" s="16">
        <v>579.86699999999996</v>
      </c>
      <c r="E623" t="s">
        <v>727</v>
      </c>
      <c r="F623" s="16">
        <v>1</v>
      </c>
      <c r="G623" s="16">
        <v>1</v>
      </c>
      <c r="H623" s="16">
        <v>1</v>
      </c>
      <c r="I623" t="s">
        <v>728</v>
      </c>
      <c r="J623">
        <v>1</v>
      </c>
      <c r="K623" t="s">
        <v>720</v>
      </c>
      <c r="L623" t="s">
        <v>385</v>
      </c>
      <c r="M623">
        <v>0</v>
      </c>
      <c r="N623" s="3" t="s">
        <v>238</v>
      </c>
      <c r="O623" s="3"/>
    </row>
    <row r="624" spans="1:15">
      <c r="A624" t="s">
        <v>1348</v>
      </c>
      <c r="B624" t="s">
        <v>512</v>
      </c>
      <c r="C624">
        <v>579867</v>
      </c>
      <c r="D624" s="16">
        <v>579.86699999999996</v>
      </c>
      <c r="E624" t="s">
        <v>730</v>
      </c>
      <c r="F624" s="16">
        <v>0</v>
      </c>
      <c r="G624" s="16">
        <v>0</v>
      </c>
      <c r="H624" s="16">
        <v>0</v>
      </c>
      <c r="I624" t="s">
        <v>107</v>
      </c>
      <c r="J624">
        <v>1</v>
      </c>
      <c r="K624" t="s">
        <v>720</v>
      </c>
      <c r="L624" t="s">
        <v>385</v>
      </c>
      <c r="M624">
        <v>0</v>
      </c>
      <c r="N624" s="3" t="s">
        <v>238</v>
      </c>
      <c r="O624" s="3"/>
    </row>
    <row r="625" spans="1:15">
      <c r="A625" t="s">
        <v>1349</v>
      </c>
      <c r="B625" t="s">
        <v>513</v>
      </c>
      <c r="C625">
        <v>584886</v>
      </c>
      <c r="D625" s="16">
        <v>584.88599999999997</v>
      </c>
      <c r="E625" t="s">
        <v>719</v>
      </c>
      <c r="F625" s="16">
        <v>27.3</v>
      </c>
      <c r="G625" s="16">
        <v>27.3</v>
      </c>
      <c r="H625" s="16">
        <v>27.3</v>
      </c>
      <c r="I625" t="s">
        <v>98</v>
      </c>
      <c r="J625">
        <v>1</v>
      </c>
      <c r="K625" t="s">
        <v>720</v>
      </c>
      <c r="L625" t="s">
        <v>385</v>
      </c>
      <c r="M625">
        <v>0</v>
      </c>
      <c r="N625" s="3" t="s">
        <v>238</v>
      </c>
      <c r="O625" s="3"/>
    </row>
    <row r="626" spans="1:15">
      <c r="A626" t="s">
        <v>1350</v>
      </c>
      <c r="B626" t="s">
        <v>513</v>
      </c>
      <c r="C626">
        <v>584886</v>
      </c>
      <c r="D626" s="16">
        <v>584.88599999999997</v>
      </c>
      <c r="E626" t="s">
        <v>722</v>
      </c>
      <c r="F626" s="16">
        <v>81</v>
      </c>
      <c r="G626" s="16">
        <v>81</v>
      </c>
      <c r="H626" s="16">
        <v>81</v>
      </c>
      <c r="I626" t="s">
        <v>140</v>
      </c>
      <c r="J626">
        <v>1</v>
      </c>
      <c r="K626" t="s">
        <v>720</v>
      </c>
      <c r="L626" t="s">
        <v>385</v>
      </c>
      <c r="M626">
        <v>0</v>
      </c>
      <c r="N626" s="3" t="s">
        <v>238</v>
      </c>
      <c r="O626" s="3"/>
    </row>
    <row r="627" spans="1:15">
      <c r="A627" t="s">
        <v>1351</v>
      </c>
      <c r="B627" t="s">
        <v>513</v>
      </c>
      <c r="C627">
        <v>584886</v>
      </c>
      <c r="D627" s="16">
        <v>584.88599999999997</v>
      </c>
      <c r="E627" t="s">
        <v>724</v>
      </c>
      <c r="F627" s="16">
        <v>-3.4</v>
      </c>
      <c r="G627" s="16">
        <v>3.4</v>
      </c>
      <c r="H627" s="16">
        <v>3.4</v>
      </c>
      <c r="I627" t="s">
        <v>125</v>
      </c>
      <c r="J627">
        <v>1</v>
      </c>
      <c r="K627" t="s">
        <v>725</v>
      </c>
      <c r="L627" t="s">
        <v>385</v>
      </c>
      <c r="M627">
        <v>0</v>
      </c>
      <c r="N627" s="3" t="s">
        <v>238</v>
      </c>
      <c r="O627" s="3"/>
    </row>
    <row r="628" spans="1:15">
      <c r="A628" t="s">
        <v>1352</v>
      </c>
      <c r="B628" t="s">
        <v>513</v>
      </c>
      <c r="C628">
        <v>584886</v>
      </c>
      <c r="D628" s="16">
        <v>584.88599999999997</v>
      </c>
      <c r="E628" t="s">
        <v>727</v>
      </c>
      <c r="F628" s="16">
        <v>1</v>
      </c>
      <c r="G628" s="16">
        <v>1</v>
      </c>
      <c r="H628" s="16">
        <v>1</v>
      </c>
      <c r="I628" t="s">
        <v>728</v>
      </c>
      <c r="J628">
        <v>1</v>
      </c>
      <c r="K628" t="s">
        <v>720</v>
      </c>
      <c r="L628" t="s">
        <v>385</v>
      </c>
      <c r="M628">
        <v>0</v>
      </c>
      <c r="N628" s="3" t="s">
        <v>238</v>
      </c>
      <c r="O628" s="3"/>
    </row>
    <row r="629" spans="1:15">
      <c r="A629" t="s">
        <v>1353</v>
      </c>
      <c r="B629" t="s">
        <v>513</v>
      </c>
      <c r="C629">
        <v>584886</v>
      </c>
      <c r="D629" s="16">
        <v>584.88599999999997</v>
      </c>
      <c r="E629" t="s">
        <v>730</v>
      </c>
      <c r="F629" s="16">
        <v>0</v>
      </c>
      <c r="G629" s="16">
        <v>0</v>
      </c>
      <c r="H629" s="16">
        <v>0</v>
      </c>
      <c r="I629" t="s">
        <v>107</v>
      </c>
      <c r="J629">
        <v>1</v>
      </c>
      <c r="K629" t="s">
        <v>720</v>
      </c>
      <c r="L629" t="s">
        <v>385</v>
      </c>
      <c r="M629">
        <v>0</v>
      </c>
      <c r="N629" s="3" t="s">
        <v>238</v>
      </c>
      <c r="O629" s="3"/>
    </row>
    <row r="630" spans="1:15">
      <c r="A630" t="s">
        <v>1354</v>
      </c>
      <c r="B630" t="s">
        <v>514</v>
      </c>
      <c r="C630">
        <v>589903</v>
      </c>
      <c r="D630" s="16">
        <v>589.90300000000002</v>
      </c>
      <c r="E630" t="s">
        <v>719</v>
      </c>
      <c r="F630" s="16">
        <v>27.3</v>
      </c>
      <c r="G630" s="16">
        <v>27.3</v>
      </c>
      <c r="H630" s="16">
        <v>27.3</v>
      </c>
      <c r="I630" t="s">
        <v>98</v>
      </c>
      <c r="J630">
        <v>1</v>
      </c>
      <c r="K630" t="s">
        <v>720</v>
      </c>
      <c r="L630" t="s">
        <v>385</v>
      </c>
      <c r="M630">
        <v>0</v>
      </c>
      <c r="N630" s="3" t="s">
        <v>238</v>
      </c>
      <c r="O630" s="3"/>
    </row>
    <row r="631" spans="1:15">
      <c r="A631" t="s">
        <v>1355</v>
      </c>
      <c r="B631" t="s">
        <v>514</v>
      </c>
      <c r="C631">
        <v>589903</v>
      </c>
      <c r="D631" s="16">
        <v>589.90300000000002</v>
      </c>
      <c r="E631" t="s">
        <v>722</v>
      </c>
      <c r="F631" s="16">
        <v>81</v>
      </c>
      <c r="G631" s="16">
        <v>81</v>
      </c>
      <c r="H631" s="16">
        <v>81</v>
      </c>
      <c r="I631" t="s">
        <v>140</v>
      </c>
      <c r="J631">
        <v>1</v>
      </c>
      <c r="K631" t="s">
        <v>720</v>
      </c>
      <c r="L631" t="s">
        <v>385</v>
      </c>
      <c r="M631">
        <v>0</v>
      </c>
      <c r="N631" s="3" t="s">
        <v>238</v>
      </c>
      <c r="O631" s="3"/>
    </row>
    <row r="632" spans="1:15">
      <c r="A632" t="s">
        <v>1356</v>
      </c>
      <c r="B632" t="s">
        <v>514</v>
      </c>
      <c r="C632">
        <v>589903</v>
      </c>
      <c r="D632" s="16">
        <v>589.90300000000002</v>
      </c>
      <c r="E632" t="s">
        <v>724</v>
      </c>
      <c r="F632" s="16">
        <v>-3.3</v>
      </c>
      <c r="G632" s="16">
        <v>3.3</v>
      </c>
      <c r="H632" s="16">
        <v>3.3</v>
      </c>
      <c r="I632" t="s">
        <v>125</v>
      </c>
      <c r="J632">
        <v>1</v>
      </c>
      <c r="K632" t="s">
        <v>725</v>
      </c>
      <c r="L632" t="s">
        <v>385</v>
      </c>
      <c r="M632">
        <v>0</v>
      </c>
      <c r="N632" s="3" t="s">
        <v>238</v>
      </c>
      <c r="O632" s="3"/>
    </row>
    <row r="633" spans="1:15">
      <c r="A633" t="s">
        <v>1357</v>
      </c>
      <c r="B633" t="s">
        <v>514</v>
      </c>
      <c r="C633">
        <v>589903</v>
      </c>
      <c r="D633" s="16">
        <v>589.90300000000002</v>
      </c>
      <c r="E633" t="s">
        <v>727</v>
      </c>
      <c r="F633" s="16">
        <v>1</v>
      </c>
      <c r="G633" s="16">
        <v>1</v>
      </c>
      <c r="H633" s="16">
        <v>1</v>
      </c>
      <c r="I633" t="s">
        <v>728</v>
      </c>
      <c r="J633">
        <v>1</v>
      </c>
      <c r="K633" t="s">
        <v>720</v>
      </c>
      <c r="L633" t="s">
        <v>385</v>
      </c>
      <c r="M633">
        <v>0</v>
      </c>
      <c r="N633" s="3" t="s">
        <v>238</v>
      </c>
      <c r="O633" s="3"/>
    </row>
    <row r="634" spans="1:15">
      <c r="A634" t="s">
        <v>1358</v>
      </c>
      <c r="B634" t="s">
        <v>514</v>
      </c>
      <c r="C634">
        <v>589903</v>
      </c>
      <c r="D634" s="16">
        <v>589.90300000000002</v>
      </c>
      <c r="E634" t="s">
        <v>730</v>
      </c>
      <c r="F634" s="16">
        <v>0</v>
      </c>
      <c r="G634" s="16">
        <v>0</v>
      </c>
      <c r="H634" s="16">
        <v>0</v>
      </c>
      <c r="I634" t="s">
        <v>107</v>
      </c>
      <c r="J634">
        <v>1</v>
      </c>
      <c r="K634" t="s">
        <v>720</v>
      </c>
      <c r="L634" t="s">
        <v>385</v>
      </c>
      <c r="M634">
        <v>0</v>
      </c>
      <c r="N634" s="3" t="s">
        <v>238</v>
      </c>
      <c r="O634" s="3"/>
    </row>
    <row r="635" spans="1:15">
      <c r="A635" t="s">
        <v>1359</v>
      </c>
      <c r="B635" t="s">
        <v>515</v>
      </c>
      <c r="C635">
        <v>594921</v>
      </c>
      <c r="D635" s="16">
        <v>594.92100000000005</v>
      </c>
      <c r="E635" t="s">
        <v>719</v>
      </c>
      <c r="F635" s="16">
        <v>27.3</v>
      </c>
      <c r="G635" s="16">
        <v>27.3</v>
      </c>
      <c r="H635" s="16">
        <v>27.3</v>
      </c>
      <c r="I635" t="s">
        <v>98</v>
      </c>
      <c r="J635">
        <v>1</v>
      </c>
      <c r="K635" t="s">
        <v>720</v>
      </c>
      <c r="L635" t="s">
        <v>385</v>
      </c>
      <c r="M635">
        <v>0</v>
      </c>
      <c r="N635" s="3" t="s">
        <v>238</v>
      </c>
      <c r="O635" s="3"/>
    </row>
    <row r="636" spans="1:15">
      <c r="A636" t="s">
        <v>1360</v>
      </c>
      <c r="B636" t="s">
        <v>515</v>
      </c>
      <c r="C636">
        <v>594921</v>
      </c>
      <c r="D636" s="16">
        <v>594.92100000000005</v>
      </c>
      <c r="E636" t="s">
        <v>722</v>
      </c>
      <c r="F636" s="16">
        <v>81.099999999999994</v>
      </c>
      <c r="G636" s="16">
        <v>81.099999999999994</v>
      </c>
      <c r="H636" s="16">
        <v>81.099999999999994</v>
      </c>
      <c r="I636" t="s">
        <v>140</v>
      </c>
      <c r="J636">
        <v>1</v>
      </c>
      <c r="K636" t="s">
        <v>720</v>
      </c>
      <c r="L636" t="s">
        <v>385</v>
      </c>
      <c r="M636">
        <v>0</v>
      </c>
      <c r="N636" s="3" t="s">
        <v>238</v>
      </c>
      <c r="O636" s="3"/>
    </row>
    <row r="637" spans="1:15">
      <c r="A637" t="s">
        <v>1361</v>
      </c>
      <c r="B637" t="s">
        <v>515</v>
      </c>
      <c r="C637">
        <v>594921</v>
      </c>
      <c r="D637" s="16">
        <v>594.92100000000005</v>
      </c>
      <c r="E637" t="s">
        <v>724</v>
      </c>
      <c r="F637" s="16">
        <v>-3.3</v>
      </c>
      <c r="G637" s="16">
        <v>3.3</v>
      </c>
      <c r="H637" s="16">
        <v>3.3</v>
      </c>
      <c r="I637" t="s">
        <v>125</v>
      </c>
      <c r="J637">
        <v>1</v>
      </c>
      <c r="K637" t="s">
        <v>725</v>
      </c>
      <c r="L637" t="s">
        <v>385</v>
      </c>
      <c r="M637">
        <v>0</v>
      </c>
      <c r="N637" s="3" t="s">
        <v>238</v>
      </c>
      <c r="O637" s="3"/>
    </row>
    <row r="638" spans="1:15">
      <c r="A638" t="s">
        <v>1362</v>
      </c>
      <c r="B638" t="s">
        <v>515</v>
      </c>
      <c r="C638">
        <v>594921</v>
      </c>
      <c r="D638" s="16">
        <v>594.92100000000005</v>
      </c>
      <c r="E638" t="s">
        <v>727</v>
      </c>
      <c r="F638" s="16">
        <v>1</v>
      </c>
      <c r="G638" s="16">
        <v>1</v>
      </c>
      <c r="H638" s="16">
        <v>1</v>
      </c>
      <c r="I638" t="s">
        <v>728</v>
      </c>
      <c r="J638">
        <v>1</v>
      </c>
      <c r="K638" t="s">
        <v>720</v>
      </c>
      <c r="L638" t="s">
        <v>385</v>
      </c>
      <c r="M638">
        <v>0</v>
      </c>
      <c r="N638" s="3" t="s">
        <v>238</v>
      </c>
      <c r="O638" s="3"/>
    </row>
    <row r="639" spans="1:15">
      <c r="A639" t="s">
        <v>1363</v>
      </c>
      <c r="B639" t="s">
        <v>515</v>
      </c>
      <c r="C639">
        <v>594921</v>
      </c>
      <c r="D639" s="16">
        <v>594.92100000000005</v>
      </c>
      <c r="E639" t="s">
        <v>730</v>
      </c>
      <c r="F639" s="16">
        <v>0</v>
      </c>
      <c r="G639" s="16">
        <v>0</v>
      </c>
      <c r="H639" s="16">
        <v>0</v>
      </c>
      <c r="I639" t="s">
        <v>107</v>
      </c>
      <c r="J639">
        <v>1</v>
      </c>
      <c r="K639" t="s">
        <v>720</v>
      </c>
      <c r="L639" t="s">
        <v>385</v>
      </c>
      <c r="M639">
        <v>0</v>
      </c>
      <c r="N639" s="3" t="s">
        <v>238</v>
      </c>
      <c r="O639" s="3"/>
    </row>
    <row r="640" spans="1:15">
      <c r="A640" t="s">
        <v>1364</v>
      </c>
      <c r="B640" t="s">
        <v>516</v>
      </c>
      <c r="C640">
        <v>599941</v>
      </c>
      <c r="D640" s="16">
        <v>599.94100000000003</v>
      </c>
      <c r="E640" t="s">
        <v>719</v>
      </c>
      <c r="F640" s="16">
        <v>27.3</v>
      </c>
      <c r="G640" s="16">
        <v>27.3</v>
      </c>
      <c r="H640" s="16">
        <v>27.3</v>
      </c>
      <c r="I640" t="s">
        <v>98</v>
      </c>
      <c r="J640">
        <v>1</v>
      </c>
      <c r="K640" t="s">
        <v>720</v>
      </c>
      <c r="L640" t="s">
        <v>385</v>
      </c>
      <c r="M640">
        <v>0</v>
      </c>
      <c r="N640" s="3" t="s">
        <v>238</v>
      </c>
      <c r="O640" s="3"/>
    </row>
    <row r="641" spans="1:15">
      <c r="A641" t="s">
        <v>1365</v>
      </c>
      <c r="B641" t="s">
        <v>516</v>
      </c>
      <c r="C641">
        <v>599941</v>
      </c>
      <c r="D641" s="16">
        <v>599.94100000000003</v>
      </c>
      <c r="E641" t="s">
        <v>722</v>
      </c>
      <c r="F641" s="16">
        <v>81.099999999999994</v>
      </c>
      <c r="G641" s="16">
        <v>81.099999999999994</v>
      </c>
      <c r="H641" s="16">
        <v>81.099999999999994</v>
      </c>
      <c r="I641" t="s">
        <v>140</v>
      </c>
      <c r="J641">
        <v>1</v>
      </c>
      <c r="K641" t="s">
        <v>720</v>
      </c>
      <c r="L641" t="s">
        <v>385</v>
      </c>
      <c r="M641">
        <v>0</v>
      </c>
      <c r="N641" s="3" t="s">
        <v>238</v>
      </c>
      <c r="O641" s="3"/>
    </row>
    <row r="642" spans="1:15">
      <c r="A642" t="s">
        <v>1366</v>
      </c>
      <c r="B642" t="s">
        <v>516</v>
      </c>
      <c r="C642">
        <v>599941</v>
      </c>
      <c r="D642" s="16">
        <v>599.94100000000003</v>
      </c>
      <c r="E642" t="s">
        <v>724</v>
      </c>
      <c r="F642" s="16">
        <v>-3.3</v>
      </c>
      <c r="G642" s="16">
        <v>3.3</v>
      </c>
      <c r="H642" s="16">
        <v>3.3</v>
      </c>
      <c r="I642" t="s">
        <v>125</v>
      </c>
      <c r="J642">
        <v>1</v>
      </c>
      <c r="K642" t="s">
        <v>725</v>
      </c>
      <c r="L642" t="s">
        <v>385</v>
      </c>
      <c r="M642">
        <v>0</v>
      </c>
      <c r="N642" s="3" t="s">
        <v>238</v>
      </c>
      <c r="O642" s="3"/>
    </row>
    <row r="643" spans="1:15">
      <c r="A643" t="s">
        <v>1367</v>
      </c>
      <c r="B643" t="s">
        <v>516</v>
      </c>
      <c r="C643">
        <v>599941</v>
      </c>
      <c r="D643" s="16">
        <v>599.94100000000003</v>
      </c>
      <c r="E643" t="s">
        <v>727</v>
      </c>
      <c r="F643" s="16">
        <v>1</v>
      </c>
      <c r="G643" s="16">
        <v>1</v>
      </c>
      <c r="H643" s="16">
        <v>1</v>
      </c>
      <c r="I643" t="s">
        <v>728</v>
      </c>
      <c r="J643">
        <v>1</v>
      </c>
      <c r="K643" t="s">
        <v>720</v>
      </c>
      <c r="L643" t="s">
        <v>385</v>
      </c>
      <c r="M643">
        <v>0</v>
      </c>
      <c r="N643" s="3" t="s">
        <v>238</v>
      </c>
      <c r="O643" s="3"/>
    </row>
    <row r="644" spans="1:15">
      <c r="A644" t="s">
        <v>1368</v>
      </c>
      <c r="B644" t="s">
        <v>516</v>
      </c>
      <c r="C644">
        <v>599941</v>
      </c>
      <c r="D644" s="16">
        <v>599.94100000000003</v>
      </c>
      <c r="E644" t="s">
        <v>730</v>
      </c>
      <c r="F644" s="16">
        <v>0</v>
      </c>
      <c r="G644" s="16">
        <v>0</v>
      </c>
      <c r="H644" s="16">
        <v>0</v>
      </c>
      <c r="I644" t="s">
        <v>107</v>
      </c>
      <c r="J644">
        <v>1</v>
      </c>
      <c r="K644" t="s">
        <v>720</v>
      </c>
      <c r="L644" t="s">
        <v>385</v>
      </c>
      <c r="M644">
        <v>0</v>
      </c>
      <c r="N644" s="3" t="s">
        <v>238</v>
      </c>
      <c r="O644" s="3"/>
    </row>
    <row r="645" spans="1:15">
      <c r="A645" t="s">
        <v>1369</v>
      </c>
      <c r="B645" t="s">
        <v>517</v>
      </c>
      <c r="C645">
        <v>604958</v>
      </c>
      <c r="D645" s="16">
        <v>604.95799999999997</v>
      </c>
      <c r="E645" t="s">
        <v>719</v>
      </c>
      <c r="F645" s="16">
        <v>27.3</v>
      </c>
      <c r="G645" s="16">
        <v>27.3</v>
      </c>
      <c r="H645" s="16">
        <v>27.3</v>
      </c>
      <c r="I645" t="s">
        <v>98</v>
      </c>
      <c r="J645">
        <v>1</v>
      </c>
      <c r="K645" t="s">
        <v>720</v>
      </c>
      <c r="L645" t="s">
        <v>385</v>
      </c>
      <c r="M645">
        <v>0</v>
      </c>
      <c r="N645" s="3" t="s">
        <v>238</v>
      </c>
      <c r="O645" s="3"/>
    </row>
    <row r="646" spans="1:15">
      <c r="A646" t="s">
        <v>1370</v>
      </c>
      <c r="B646" t="s">
        <v>517</v>
      </c>
      <c r="C646">
        <v>604958</v>
      </c>
      <c r="D646" s="16">
        <v>604.95799999999997</v>
      </c>
      <c r="E646" t="s">
        <v>722</v>
      </c>
      <c r="F646" s="16">
        <v>81.099999999999994</v>
      </c>
      <c r="G646" s="16">
        <v>81.099999999999994</v>
      </c>
      <c r="H646" s="16">
        <v>81.099999999999994</v>
      </c>
      <c r="I646" t="s">
        <v>140</v>
      </c>
      <c r="J646">
        <v>1</v>
      </c>
      <c r="K646" t="s">
        <v>720</v>
      </c>
      <c r="L646" t="s">
        <v>385</v>
      </c>
      <c r="M646">
        <v>0</v>
      </c>
      <c r="N646" s="3" t="s">
        <v>238</v>
      </c>
      <c r="O646" s="3"/>
    </row>
    <row r="647" spans="1:15">
      <c r="A647" t="s">
        <v>1371</v>
      </c>
      <c r="B647" t="s">
        <v>517</v>
      </c>
      <c r="C647">
        <v>604958</v>
      </c>
      <c r="D647" s="16">
        <v>604.95799999999997</v>
      </c>
      <c r="E647" t="s">
        <v>724</v>
      </c>
      <c r="F647" s="16">
        <v>-3.3</v>
      </c>
      <c r="G647" s="16">
        <v>3.3</v>
      </c>
      <c r="H647" s="16">
        <v>3.3</v>
      </c>
      <c r="I647" t="s">
        <v>125</v>
      </c>
      <c r="J647">
        <v>1</v>
      </c>
      <c r="K647" t="s">
        <v>725</v>
      </c>
      <c r="L647" t="s">
        <v>385</v>
      </c>
      <c r="M647">
        <v>0</v>
      </c>
      <c r="N647" s="3" t="s">
        <v>238</v>
      </c>
      <c r="O647" s="3"/>
    </row>
    <row r="648" spans="1:15">
      <c r="A648" t="s">
        <v>1372</v>
      </c>
      <c r="B648" t="s">
        <v>517</v>
      </c>
      <c r="C648">
        <v>604958</v>
      </c>
      <c r="D648" s="16">
        <v>604.95799999999997</v>
      </c>
      <c r="E648" t="s">
        <v>727</v>
      </c>
      <c r="F648" s="16">
        <v>1</v>
      </c>
      <c r="G648" s="16">
        <v>1</v>
      </c>
      <c r="H648" s="16">
        <v>1</v>
      </c>
      <c r="I648" t="s">
        <v>728</v>
      </c>
      <c r="J648">
        <v>1</v>
      </c>
      <c r="K648" t="s">
        <v>720</v>
      </c>
      <c r="L648" t="s">
        <v>385</v>
      </c>
      <c r="M648">
        <v>0</v>
      </c>
      <c r="N648" s="3" t="s">
        <v>238</v>
      </c>
      <c r="O648" s="3"/>
    </row>
    <row r="649" spans="1:15">
      <c r="A649" t="s">
        <v>1373</v>
      </c>
      <c r="B649" t="s">
        <v>517</v>
      </c>
      <c r="C649">
        <v>604958</v>
      </c>
      <c r="D649" s="16">
        <v>604.95799999999997</v>
      </c>
      <c r="E649" t="s">
        <v>730</v>
      </c>
      <c r="F649" s="16">
        <v>0</v>
      </c>
      <c r="G649" s="16">
        <v>0</v>
      </c>
      <c r="H649" s="16">
        <v>0</v>
      </c>
      <c r="I649" t="s">
        <v>107</v>
      </c>
      <c r="J649">
        <v>1</v>
      </c>
      <c r="K649" t="s">
        <v>720</v>
      </c>
      <c r="L649" t="s">
        <v>385</v>
      </c>
      <c r="M649">
        <v>0</v>
      </c>
      <c r="N649" s="3" t="s">
        <v>238</v>
      </c>
      <c r="O649" s="3"/>
    </row>
    <row r="650" spans="1:15">
      <c r="A650" t="s">
        <v>1374</v>
      </c>
      <c r="B650" t="s">
        <v>518</v>
      </c>
      <c r="C650">
        <v>609978</v>
      </c>
      <c r="D650" s="16">
        <v>609.97799999999995</v>
      </c>
      <c r="E650" t="s">
        <v>719</v>
      </c>
      <c r="F650" s="16">
        <v>27.3</v>
      </c>
      <c r="G650" s="16">
        <v>27.3</v>
      </c>
      <c r="H650" s="16">
        <v>27.3</v>
      </c>
      <c r="I650" t="s">
        <v>98</v>
      </c>
      <c r="J650">
        <v>1</v>
      </c>
      <c r="K650" t="s">
        <v>720</v>
      </c>
      <c r="L650" t="s">
        <v>385</v>
      </c>
      <c r="M650">
        <v>0</v>
      </c>
      <c r="N650" s="3" t="s">
        <v>238</v>
      </c>
      <c r="O650" s="3"/>
    </row>
    <row r="651" spans="1:15">
      <c r="A651" t="s">
        <v>1375</v>
      </c>
      <c r="B651" t="s">
        <v>518</v>
      </c>
      <c r="C651">
        <v>609978</v>
      </c>
      <c r="D651" s="16">
        <v>609.97799999999995</v>
      </c>
      <c r="E651" t="s">
        <v>722</v>
      </c>
      <c r="F651" s="16">
        <v>81.3</v>
      </c>
      <c r="G651" s="16">
        <v>81.3</v>
      </c>
      <c r="H651" s="16">
        <v>81.3</v>
      </c>
      <c r="I651" t="s">
        <v>140</v>
      </c>
      <c r="J651">
        <v>1</v>
      </c>
      <c r="K651" t="s">
        <v>720</v>
      </c>
      <c r="L651" t="s">
        <v>385</v>
      </c>
      <c r="M651">
        <v>0</v>
      </c>
      <c r="N651" s="3" t="s">
        <v>238</v>
      </c>
      <c r="O651" s="3"/>
    </row>
    <row r="652" spans="1:15">
      <c r="A652" t="s">
        <v>1376</v>
      </c>
      <c r="B652" t="s">
        <v>518</v>
      </c>
      <c r="C652">
        <v>609978</v>
      </c>
      <c r="D652" s="16">
        <v>609.97799999999995</v>
      </c>
      <c r="E652" t="s">
        <v>724</v>
      </c>
      <c r="F652" s="16">
        <v>-3.2</v>
      </c>
      <c r="G652" s="16">
        <v>3.2</v>
      </c>
      <c r="H652" s="16">
        <v>3.2</v>
      </c>
      <c r="I652" t="s">
        <v>125</v>
      </c>
      <c r="J652">
        <v>1</v>
      </c>
      <c r="K652" t="s">
        <v>725</v>
      </c>
      <c r="L652" t="s">
        <v>385</v>
      </c>
      <c r="M652">
        <v>0</v>
      </c>
      <c r="N652" s="3" t="s">
        <v>238</v>
      </c>
      <c r="O652" s="3"/>
    </row>
    <row r="653" spans="1:15">
      <c r="A653" t="s">
        <v>1377</v>
      </c>
      <c r="B653" t="s">
        <v>518</v>
      </c>
      <c r="C653">
        <v>609978</v>
      </c>
      <c r="D653" s="16">
        <v>609.97799999999995</v>
      </c>
      <c r="E653" t="s">
        <v>727</v>
      </c>
      <c r="F653" s="16">
        <v>1</v>
      </c>
      <c r="G653" s="16">
        <v>1</v>
      </c>
      <c r="H653" s="16">
        <v>1</v>
      </c>
      <c r="I653" t="s">
        <v>728</v>
      </c>
      <c r="J653">
        <v>1</v>
      </c>
      <c r="K653" t="s">
        <v>720</v>
      </c>
      <c r="L653" t="s">
        <v>385</v>
      </c>
      <c r="M653">
        <v>0</v>
      </c>
      <c r="N653" s="3" t="s">
        <v>238</v>
      </c>
      <c r="O653" s="3"/>
    </row>
    <row r="654" spans="1:15">
      <c r="A654" t="s">
        <v>1378</v>
      </c>
      <c r="B654" t="s">
        <v>518</v>
      </c>
      <c r="C654">
        <v>609978</v>
      </c>
      <c r="D654" s="16">
        <v>609.97799999999995</v>
      </c>
      <c r="E654" t="s">
        <v>730</v>
      </c>
      <c r="F654" s="16">
        <v>0</v>
      </c>
      <c r="G654" s="16">
        <v>0</v>
      </c>
      <c r="H654" s="16">
        <v>0</v>
      </c>
      <c r="I654" t="s">
        <v>107</v>
      </c>
      <c r="J654">
        <v>1</v>
      </c>
      <c r="K654" t="s">
        <v>720</v>
      </c>
      <c r="L654" t="s">
        <v>385</v>
      </c>
      <c r="M654">
        <v>0</v>
      </c>
      <c r="N654" s="3" t="s">
        <v>238</v>
      </c>
      <c r="O654" s="3"/>
    </row>
    <row r="655" spans="1:15">
      <c r="A655" t="s">
        <v>1379</v>
      </c>
      <c r="B655" t="s">
        <v>519</v>
      </c>
      <c r="C655">
        <v>614995</v>
      </c>
      <c r="D655" s="16">
        <v>614.995</v>
      </c>
      <c r="E655" t="s">
        <v>719</v>
      </c>
      <c r="F655" s="16">
        <v>27.3</v>
      </c>
      <c r="G655" s="16">
        <v>27.3</v>
      </c>
      <c r="H655" s="16">
        <v>27.3</v>
      </c>
      <c r="I655" t="s">
        <v>98</v>
      </c>
      <c r="J655">
        <v>1</v>
      </c>
      <c r="K655" t="s">
        <v>720</v>
      </c>
      <c r="L655" t="s">
        <v>385</v>
      </c>
      <c r="M655">
        <v>0</v>
      </c>
      <c r="N655" s="3" t="s">
        <v>238</v>
      </c>
      <c r="O655" s="3"/>
    </row>
    <row r="656" spans="1:15">
      <c r="A656" t="s">
        <v>1380</v>
      </c>
      <c r="B656" t="s">
        <v>519</v>
      </c>
      <c r="C656">
        <v>614995</v>
      </c>
      <c r="D656" s="16">
        <v>614.995</v>
      </c>
      <c r="E656" t="s">
        <v>722</v>
      </c>
      <c r="F656" s="16">
        <v>81.099999999999994</v>
      </c>
      <c r="G656" s="16">
        <v>81.099999999999994</v>
      </c>
      <c r="H656" s="16">
        <v>81.099999999999994</v>
      </c>
      <c r="I656" t="s">
        <v>140</v>
      </c>
      <c r="J656">
        <v>1</v>
      </c>
      <c r="K656" t="s">
        <v>720</v>
      </c>
      <c r="L656" t="s">
        <v>385</v>
      </c>
      <c r="M656">
        <v>0</v>
      </c>
      <c r="N656" s="3" t="s">
        <v>238</v>
      </c>
      <c r="O656" s="3"/>
    </row>
    <row r="657" spans="1:15">
      <c r="A657" t="s">
        <v>1381</v>
      </c>
      <c r="B657" t="s">
        <v>519</v>
      </c>
      <c r="C657">
        <v>614995</v>
      </c>
      <c r="D657" s="16">
        <v>614.995</v>
      </c>
      <c r="E657" t="s">
        <v>724</v>
      </c>
      <c r="F657" s="16">
        <v>-3.2</v>
      </c>
      <c r="G657" s="16">
        <v>3.2</v>
      </c>
      <c r="H657" s="16">
        <v>3.2</v>
      </c>
      <c r="I657" t="s">
        <v>125</v>
      </c>
      <c r="J657">
        <v>1</v>
      </c>
      <c r="K657" t="s">
        <v>725</v>
      </c>
      <c r="L657" t="s">
        <v>385</v>
      </c>
      <c r="M657">
        <v>0</v>
      </c>
      <c r="N657" s="3" t="s">
        <v>238</v>
      </c>
      <c r="O657" s="3"/>
    </row>
    <row r="658" spans="1:15">
      <c r="A658" t="s">
        <v>1382</v>
      </c>
      <c r="B658" t="s">
        <v>519</v>
      </c>
      <c r="C658">
        <v>614995</v>
      </c>
      <c r="D658" s="16">
        <v>614.995</v>
      </c>
      <c r="E658" t="s">
        <v>727</v>
      </c>
      <c r="F658" s="16">
        <v>1</v>
      </c>
      <c r="G658" s="16">
        <v>1</v>
      </c>
      <c r="H658" s="16">
        <v>1</v>
      </c>
      <c r="I658" t="s">
        <v>728</v>
      </c>
      <c r="J658">
        <v>1</v>
      </c>
      <c r="K658" t="s">
        <v>720</v>
      </c>
      <c r="L658" t="s">
        <v>385</v>
      </c>
      <c r="M658">
        <v>0</v>
      </c>
      <c r="N658" s="3" t="s">
        <v>238</v>
      </c>
      <c r="O658" s="3"/>
    </row>
    <row r="659" spans="1:15">
      <c r="A659" t="s">
        <v>1383</v>
      </c>
      <c r="B659" t="s">
        <v>519</v>
      </c>
      <c r="C659">
        <v>614995</v>
      </c>
      <c r="D659" s="16">
        <v>614.995</v>
      </c>
      <c r="E659" t="s">
        <v>730</v>
      </c>
      <c r="F659" s="16">
        <v>0</v>
      </c>
      <c r="G659" s="16">
        <v>0</v>
      </c>
      <c r="H659" s="16">
        <v>0</v>
      </c>
      <c r="I659" t="s">
        <v>107</v>
      </c>
      <c r="J659">
        <v>1</v>
      </c>
      <c r="K659" t="s">
        <v>720</v>
      </c>
      <c r="L659" t="s">
        <v>385</v>
      </c>
      <c r="M659">
        <v>0</v>
      </c>
      <c r="N659" s="3" t="s">
        <v>238</v>
      </c>
      <c r="O659" s="3"/>
    </row>
    <row r="660" spans="1:15">
      <c r="A660" t="s">
        <v>1384</v>
      </c>
      <c r="B660" t="s">
        <v>520</v>
      </c>
      <c r="C660">
        <v>620015</v>
      </c>
      <c r="D660" s="16">
        <v>620.01499999999999</v>
      </c>
      <c r="E660" t="s">
        <v>719</v>
      </c>
      <c r="F660" s="16">
        <v>27.3</v>
      </c>
      <c r="G660" s="16">
        <v>27.3</v>
      </c>
      <c r="H660" s="16">
        <v>27.3</v>
      </c>
      <c r="I660" t="s">
        <v>98</v>
      </c>
      <c r="J660">
        <v>1</v>
      </c>
      <c r="K660" t="s">
        <v>720</v>
      </c>
      <c r="L660" t="s">
        <v>385</v>
      </c>
      <c r="M660">
        <v>0</v>
      </c>
      <c r="N660" s="3" t="s">
        <v>238</v>
      </c>
      <c r="O660" s="3"/>
    </row>
    <row r="661" spans="1:15">
      <c r="A661" t="s">
        <v>1385</v>
      </c>
      <c r="B661" t="s">
        <v>520</v>
      </c>
      <c r="C661">
        <v>620015</v>
      </c>
      <c r="D661" s="16">
        <v>620.01499999999999</v>
      </c>
      <c r="E661" t="s">
        <v>722</v>
      </c>
      <c r="F661" s="16">
        <v>81</v>
      </c>
      <c r="G661" s="16">
        <v>81</v>
      </c>
      <c r="H661" s="16">
        <v>81</v>
      </c>
      <c r="I661" t="s">
        <v>140</v>
      </c>
      <c r="J661">
        <v>1</v>
      </c>
      <c r="K661" t="s">
        <v>720</v>
      </c>
      <c r="L661" t="s">
        <v>385</v>
      </c>
      <c r="M661">
        <v>0</v>
      </c>
      <c r="N661" s="3" t="s">
        <v>238</v>
      </c>
      <c r="O661" s="3"/>
    </row>
    <row r="662" spans="1:15">
      <c r="A662" t="s">
        <v>1386</v>
      </c>
      <c r="B662" t="s">
        <v>520</v>
      </c>
      <c r="C662">
        <v>620015</v>
      </c>
      <c r="D662" s="16">
        <v>620.01499999999999</v>
      </c>
      <c r="E662" t="s">
        <v>724</v>
      </c>
      <c r="F662" s="16">
        <v>-3.2</v>
      </c>
      <c r="G662" s="16">
        <v>3.2</v>
      </c>
      <c r="H662" s="16">
        <v>3.2</v>
      </c>
      <c r="I662" t="s">
        <v>125</v>
      </c>
      <c r="J662">
        <v>1</v>
      </c>
      <c r="K662" t="s">
        <v>725</v>
      </c>
      <c r="L662" t="s">
        <v>385</v>
      </c>
      <c r="M662">
        <v>0</v>
      </c>
      <c r="N662" s="3" t="s">
        <v>238</v>
      </c>
      <c r="O662" s="3"/>
    </row>
    <row r="663" spans="1:15">
      <c r="A663" t="s">
        <v>1387</v>
      </c>
      <c r="B663" t="s">
        <v>520</v>
      </c>
      <c r="C663">
        <v>620015</v>
      </c>
      <c r="D663" s="16">
        <v>620.01499999999999</v>
      </c>
      <c r="E663" t="s">
        <v>727</v>
      </c>
      <c r="F663" s="16">
        <v>1</v>
      </c>
      <c r="G663" s="16">
        <v>1</v>
      </c>
      <c r="H663" s="16">
        <v>1</v>
      </c>
      <c r="I663" t="s">
        <v>728</v>
      </c>
      <c r="J663">
        <v>1</v>
      </c>
      <c r="K663" t="s">
        <v>720</v>
      </c>
      <c r="L663" t="s">
        <v>385</v>
      </c>
      <c r="M663">
        <v>0</v>
      </c>
      <c r="N663" s="3" t="s">
        <v>238</v>
      </c>
      <c r="O663" s="3"/>
    </row>
    <row r="664" spans="1:15">
      <c r="A664" t="s">
        <v>1388</v>
      </c>
      <c r="B664" t="s">
        <v>520</v>
      </c>
      <c r="C664">
        <v>620015</v>
      </c>
      <c r="D664" s="16">
        <v>620.01499999999999</v>
      </c>
      <c r="E664" t="s">
        <v>730</v>
      </c>
      <c r="F664" s="16">
        <v>0</v>
      </c>
      <c r="G664" s="16">
        <v>0</v>
      </c>
      <c r="H664" s="16">
        <v>0</v>
      </c>
      <c r="I664" t="s">
        <v>107</v>
      </c>
      <c r="J664">
        <v>1</v>
      </c>
      <c r="K664" t="s">
        <v>720</v>
      </c>
      <c r="L664" t="s">
        <v>385</v>
      </c>
      <c r="M664">
        <v>0</v>
      </c>
      <c r="N664" s="3" t="s">
        <v>238</v>
      </c>
      <c r="O664" s="3"/>
    </row>
    <row r="665" spans="1:15">
      <c r="A665" t="s">
        <v>1389</v>
      </c>
      <c r="B665" t="s">
        <v>521</v>
      </c>
      <c r="C665">
        <v>625033</v>
      </c>
      <c r="D665" s="16">
        <v>625.03300000000002</v>
      </c>
      <c r="E665" t="s">
        <v>719</v>
      </c>
      <c r="F665" s="16">
        <v>27.3</v>
      </c>
      <c r="G665" s="16">
        <v>27.3</v>
      </c>
      <c r="H665" s="16">
        <v>27.3</v>
      </c>
      <c r="I665" t="s">
        <v>98</v>
      </c>
      <c r="J665">
        <v>1</v>
      </c>
      <c r="K665" t="s">
        <v>720</v>
      </c>
      <c r="L665" t="s">
        <v>385</v>
      </c>
      <c r="M665">
        <v>0</v>
      </c>
      <c r="N665" s="3" t="s">
        <v>238</v>
      </c>
      <c r="O665" s="3"/>
    </row>
    <row r="666" spans="1:15">
      <c r="A666" t="s">
        <v>1390</v>
      </c>
      <c r="B666" t="s">
        <v>521</v>
      </c>
      <c r="C666">
        <v>625033</v>
      </c>
      <c r="D666" s="16">
        <v>625.03300000000002</v>
      </c>
      <c r="E666" t="s">
        <v>722</v>
      </c>
      <c r="F666" s="16">
        <v>81</v>
      </c>
      <c r="G666" s="16">
        <v>81</v>
      </c>
      <c r="H666" s="16">
        <v>81</v>
      </c>
      <c r="I666" t="s">
        <v>140</v>
      </c>
      <c r="J666">
        <v>1</v>
      </c>
      <c r="K666" t="s">
        <v>720</v>
      </c>
      <c r="L666" t="s">
        <v>385</v>
      </c>
      <c r="M666">
        <v>0</v>
      </c>
      <c r="N666" s="3" t="s">
        <v>238</v>
      </c>
      <c r="O666" s="3"/>
    </row>
    <row r="667" spans="1:15">
      <c r="A667" t="s">
        <v>1391</v>
      </c>
      <c r="B667" t="s">
        <v>521</v>
      </c>
      <c r="C667">
        <v>625033</v>
      </c>
      <c r="D667" s="16">
        <v>625.03300000000002</v>
      </c>
      <c r="E667" t="s">
        <v>724</v>
      </c>
      <c r="F667" s="16">
        <v>-3.2</v>
      </c>
      <c r="G667" s="16">
        <v>3.2</v>
      </c>
      <c r="H667" s="16">
        <v>3.2</v>
      </c>
      <c r="I667" t="s">
        <v>125</v>
      </c>
      <c r="J667">
        <v>1</v>
      </c>
      <c r="K667" t="s">
        <v>725</v>
      </c>
      <c r="L667" t="s">
        <v>385</v>
      </c>
      <c r="M667">
        <v>0</v>
      </c>
      <c r="N667" s="3" t="s">
        <v>238</v>
      </c>
      <c r="O667" s="3"/>
    </row>
    <row r="668" spans="1:15">
      <c r="A668" t="s">
        <v>1392</v>
      </c>
      <c r="B668" t="s">
        <v>521</v>
      </c>
      <c r="C668">
        <v>625033</v>
      </c>
      <c r="D668" s="16">
        <v>625.03300000000002</v>
      </c>
      <c r="E668" t="s">
        <v>727</v>
      </c>
      <c r="F668" s="16">
        <v>1</v>
      </c>
      <c r="G668" s="16">
        <v>1</v>
      </c>
      <c r="H668" s="16">
        <v>1</v>
      </c>
      <c r="I668" t="s">
        <v>728</v>
      </c>
      <c r="J668">
        <v>1</v>
      </c>
      <c r="K668" t="s">
        <v>720</v>
      </c>
      <c r="L668" t="s">
        <v>385</v>
      </c>
      <c r="M668">
        <v>0</v>
      </c>
      <c r="N668" s="3" t="s">
        <v>238</v>
      </c>
      <c r="O668" s="3"/>
    </row>
    <row r="669" spans="1:15">
      <c r="A669" t="s">
        <v>1393</v>
      </c>
      <c r="B669" t="s">
        <v>521</v>
      </c>
      <c r="C669">
        <v>625033</v>
      </c>
      <c r="D669" s="16">
        <v>625.03300000000002</v>
      </c>
      <c r="E669" t="s">
        <v>730</v>
      </c>
      <c r="F669" s="16">
        <v>0</v>
      </c>
      <c r="G669" s="16">
        <v>0</v>
      </c>
      <c r="H669" s="16">
        <v>0</v>
      </c>
      <c r="I669" t="s">
        <v>107</v>
      </c>
      <c r="J669">
        <v>1</v>
      </c>
      <c r="K669" t="s">
        <v>720</v>
      </c>
      <c r="L669" t="s">
        <v>385</v>
      </c>
      <c r="M669">
        <v>0</v>
      </c>
      <c r="N669" s="3" t="s">
        <v>238</v>
      </c>
      <c r="O669" s="3"/>
    </row>
    <row r="670" spans="1:15">
      <c r="A670" t="s">
        <v>1394</v>
      </c>
      <c r="B670" t="s">
        <v>522</v>
      </c>
      <c r="C670">
        <v>630050</v>
      </c>
      <c r="D670" s="16">
        <v>630.04999999999995</v>
      </c>
      <c r="E670" t="s">
        <v>719</v>
      </c>
      <c r="F670" s="16">
        <v>27.3</v>
      </c>
      <c r="G670" s="16">
        <v>27.3</v>
      </c>
      <c r="H670" s="16">
        <v>27.3</v>
      </c>
      <c r="I670" t="s">
        <v>98</v>
      </c>
      <c r="J670">
        <v>1</v>
      </c>
      <c r="K670" t="s">
        <v>720</v>
      </c>
      <c r="L670" t="s">
        <v>385</v>
      </c>
      <c r="M670">
        <v>0</v>
      </c>
      <c r="N670" s="3" t="s">
        <v>238</v>
      </c>
      <c r="O670" s="3"/>
    </row>
    <row r="671" spans="1:15">
      <c r="A671" t="s">
        <v>1395</v>
      </c>
      <c r="B671" t="s">
        <v>522</v>
      </c>
      <c r="C671">
        <v>630050</v>
      </c>
      <c r="D671" s="16">
        <v>630.04999999999995</v>
      </c>
      <c r="E671" t="s">
        <v>722</v>
      </c>
      <c r="F671" s="16">
        <v>81.099999999999994</v>
      </c>
      <c r="G671" s="16">
        <v>81.099999999999994</v>
      </c>
      <c r="H671" s="16">
        <v>81.099999999999994</v>
      </c>
      <c r="I671" t="s">
        <v>140</v>
      </c>
      <c r="J671">
        <v>1</v>
      </c>
      <c r="K671" t="s">
        <v>720</v>
      </c>
      <c r="L671" t="s">
        <v>385</v>
      </c>
      <c r="M671">
        <v>0</v>
      </c>
      <c r="N671" s="3" t="s">
        <v>238</v>
      </c>
      <c r="O671" s="3"/>
    </row>
    <row r="672" spans="1:15">
      <c r="A672" t="s">
        <v>1396</v>
      </c>
      <c r="B672" t="s">
        <v>522</v>
      </c>
      <c r="C672">
        <v>630050</v>
      </c>
      <c r="D672" s="16">
        <v>630.04999999999995</v>
      </c>
      <c r="E672" t="s">
        <v>724</v>
      </c>
      <c r="F672" s="16">
        <v>-3</v>
      </c>
      <c r="G672" s="16">
        <v>3</v>
      </c>
      <c r="H672" s="16">
        <v>3</v>
      </c>
      <c r="I672" t="s">
        <v>125</v>
      </c>
      <c r="J672">
        <v>1</v>
      </c>
      <c r="K672" t="s">
        <v>725</v>
      </c>
      <c r="L672" t="s">
        <v>385</v>
      </c>
      <c r="M672">
        <v>0</v>
      </c>
      <c r="N672" s="3" t="s">
        <v>238</v>
      </c>
      <c r="O672" s="3"/>
    </row>
    <row r="673" spans="1:15">
      <c r="A673" t="s">
        <v>1397</v>
      </c>
      <c r="B673" t="s">
        <v>522</v>
      </c>
      <c r="C673">
        <v>630050</v>
      </c>
      <c r="D673" s="16">
        <v>630.04999999999995</v>
      </c>
      <c r="E673" t="s">
        <v>727</v>
      </c>
      <c r="F673" s="16">
        <v>1</v>
      </c>
      <c r="G673" s="16">
        <v>1</v>
      </c>
      <c r="H673" s="16">
        <v>1</v>
      </c>
      <c r="I673" t="s">
        <v>728</v>
      </c>
      <c r="J673">
        <v>1</v>
      </c>
      <c r="K673" t="s">
        <v>720</v>
      </c>
      <c r="L673" t="s">
        <v>385</v>
      </c>
      <c r="M673">
        <v>0</v>
      </c>
      <c r="N673" s="3" t="s">
        <v>238</v>
      </c>
      <c r="O673" s="3"/>
    </row>
    <row r="674" spans="1:15">
      <c r="A674" t="s">
        <v>1398</v>
      </c>
      <c r="B674" t="s">
        <v>522</v>
      </c>
      <c r="C674">
        <v>630050</v>
      </c>
      <c r="D674" s="16">
        <v>630.04999999999995</v>
      </c>
      <c r="E674" t="s">
        <v>730</v>
      </c>
      <c r="F674" s="16">
        <v>0</v>
      </c>
      <c r="G674" s="16">
        <v>0</v>
      </c>
      <c r="H674" s="16">
        <v>0</v>
      </c>
      <c r="I674" t="s">
        <v>107</v>
      </c>
      <c r="J674">
        <v>1</v>
      </c>
      <c r="K674" t="s">
        <v>720</v>
      </c>
      <c r="L674" t="s">
        <v>385</v>
      </c>
      <c r="M674">
        <v>0</v>
      </c>
      <c r="N674" s="3" t="s">
        <v>238</v>
      </c>
      <c r="O674" s="3"/>
    </row>
    <row r="675" spans="1:15">
      <c r="A675" t="s">
        <v>1399</v>
      </c>
      <c r="B675" t="s">
        <v>523</v>
      </c>
      <c r="C675">
        <v>635070</v>
      </c>
      <c r="D675" s="16">
        <v>635.07000000000005</v>
      </c>
      <c r="E675" t="s">
        <v>719</v>
      </c>
      <c r="F675" s="16">
        <v>27.4</v>
      </c>
      <c r="G675" s="16">
        <v>27.4</v>
      </c>
      <c r="H675" s="16">
        <v>27.4</v>
      </c>
      <c r="I675" t="s">
        <v>98</v>
      </c>
      <c r="J675">
        <v>1</v>
      </c>
      <c r="K675" t="s">
        <v>720</v>
      </c>
      <c r="L675" t="s">
        <v>385</v>
      </c>
      <c r="M675">
        <v>0</v>
      </c>
      <c r="N675" s="3" t="s">
        <v>238</v>
      </c>
      <c r="O675" s="3"/>
    </row>
    <row r="676" spans="1:15">
      <c r="A676" t="s">
        <v>1400</v>
      </c>
      <c r="B676" t="s">
        <v>523</v>
      </c>
      <c r="C676">
        <v>635070</v>
      </c>
      <c r="D676" s="16">
        <v>635.07000000000005</v>
      </c>
      <c r="E676" t="s">
        <v>722</v>
      </c>
      <c r="F676" s="16">
        <v>81.3</v>
      </c>
      <c r="G676" s="16">
        <v>81.3</v>
      </c>
      <c r="H676" s="16">
        <v>81.3</v>
      </c>
      <c r="I676" t="s">
        <v>140</v>
      </c>
      <c r="J676">
        <v>1</v>
      </c>
      <c r="K676" t="s">
        <v>720</v>
      </c>
      <c r="L676" t="s">
        <v>385</v>
      </c>
      <c r="M676">
        <v>0</v>
      </c>
      <c r="N676" s="3" t="s">
        <v>238</v>
      </c>
      <c r="O676" s="3"/>
    </row>
    <row r="677" spans="1:15">
      <c r="A677" t="s">
        <v>1401</v>
      </c>
      <c r="B677" t="s">
        <v>523</v>
      </c>
      <c r="C677">
        <v>635070</v>
      </c>
      <c r="D677" s="16">
        <v>635.07000000000005</v>
      </c>
      <c r="E677" t="s">
        <v>724</v>
      </c>
      <c r="F677" s="16">
        <v>-3</v>
      </c>
      <c r="G677" s="16">
        <v>3</v>
      </c>
      <c r="H677" s="16">
        <v>3</v>
      </c>
      <c r="I677" t="s">
        <v>125</v>
      </c>
      <c r="J677">
        <v>1</v>
      </c>
      <c r="K677" t="s">
        <v>725</v>
      </c>
      <c r="L677" t="s">
        <v>385</v>
      </c>
      <c r="M677">
        <v>0</v>
      </c>
      <c r="N677" s="3" t="s">
        <v>238</v>
      </c>
      <c r="O677" s="3"/>
    </row>
    <row r="678" spans="1:15">
      <c r="A678" t="s">
        <v>1402</v>
      </c>
      <c r="B678" t="s">
        <v>523</v>
      </c>
      <c r="C678">
        <v>635070</v>
      </c>
      <c r="D678" s="16">
        <v>635.07000000000005</v>
      </c>
      <c r="E678" t="s">
        <v>727</v>
      </c>
      <c r="F678" s="16">
        <v>1</v>
      </c>
      <c r="G678" s="16">
        <v>1</v>
      </c>
      <c r="H678" s="16">
        <v>1</v>
      </c>
      <c r="I678" t="s">
        <v>728</v>
      </c>
      <c r="J678">
        <v>1</v>
      </c>
      <c r="K678" t="s">
        <v>720</v>
      </c>
      <c r="L678" t="s">
        <v>385</v>
      </c>
      <c r="M678">
        <v>0</v>
      </c>
      <c r="N678" s="3" t="s">
        <v>238</v>
      </c>
      <c r="O678" s="3"/>
    </row>
    <row r="679" spans="1:15">
      <c r="A679" t="s">
        <v>1403</v>
      </c>
      <c r="B679" t="s">
        <v>523</v>
      </c>
      <c r="C679">
        <v>635070</v>
      </c>
      <c r="D679" s="16">
        <v>635.07000000000005</v>
      </c>
      <c r="E679" t="s">
        <v>730</v>
      </c>
      <c r="F679" s="16">
        <v>0</v>
      </c>
      <c r="G679" s="16">
        <v>0</v>
      </c>
      <c r="H679" s="16">
        <v>0</v>
      </c>
      <c r="I679" t="s">
        <v>107</v>
      </c>
      <c r="J679">
        <v>1</v>
      </c>
      <c r="K679" t="s">
        <v>720</v>
      </c>
      <c r="L679" t="s">
        <v>385</v>
      </c>
      <c r="M679">
        <v>0</v>
      </c>
      <c r="N679" s="3" t="s">
        <v>238</v>
      </c>
      <c r="O679" s="3"/>
    </row>
    <row r="680" spans="1:15">
      <c r="A680" t="s">
        <v>1404</v>
      </c>
      <c r="B680" t="s">
        <v>524</v>
      </c>
      <c r="C680">
        <v>640088</v>
      </c>
      <c r="D680" s="16">
        <v>640.08799999999997</v>
      </c>
      <c r="E680" t="s">
        <v>719</v>
      </c>
      <c r="F680" s="16">
        <v>27.3</v>
      </c>
      <c r="G680" s="16">
        <v>27.3</v>
      </c>
      <c r="H680" s="16">
        <v>27.3</v>
      </c>
      <c r="I680" t="s">
        <v>98</v>
      </c>
      <c r="J680">
        <v>1</v>
      </c>
      <c r="K680" t="s">
        <v>720</v>
      </c>
      <c r="L680" t="s">
        <v>385</v>
      </c>
      <c r="M680">
        <v>0</v>
      </c>
      <c r="N680" s="3" t="s">
        <v>238</v>
      </c>
      <c r="O680" s="3"/>
    </row>
    <row r="681" spans="1:15">
      <c r="A681" t="s">
        <v>1405</v>
      </c>
      <c r="B681" t="s">
        <v>524</v>
      </c>
      <c r="C681">
        <v>640088</v>
      </c>
      <c r="D681" s="16">
        <v>640.08799999999997</v>
      </c>
      <c r="E681" t="s">
        <v>722</v>
      </c>
      <c r="F681" s="16">
        <v>81.3</v>
      </c>
      <c r="G681" s="16">
        <v>81.3</v>
      </c>
      <c r="H681" s="16">
        <v>81.3</v>
      </c>
      <c r="I681" t="s">
        <v>140</v>
      </c>
      <c r="J681">
        <v>1</v>
      </c>
      <c r="K681" t="s">
        <v>720</v>
      </c>
      <c r="L681" t="s">
        <v>385</v>
      </c>
      <c r="M681">
        <v>0</v>
      </c>
      <c r="N681" s="3" t="s">
        <v>238</v>
      </c>
      <c r="O681" s="3"/>
    </row>
    <row r="682" spans="1:15">
      <c r="A682" t="s">
        <v>1406</v>
      </c>
      <c r="B682" t="s">
        <v>524</v>
      </c>
      <c r="C682">
        <v>640088</v>
      </c>
      <c r="D682" s="16">
        <v>640.08799999999997</v>
      </c>
      <c r="E682" t="s">
        <v>724</v>
      </c>
      <c r="F682" s="16">
        <v>-2.9</v>
      </c>
      <c r="G682" s="16">
        <v>2.9</v>
      </c>
      <c r="H682" s="16">
        <v>2.9</v>
      </c>
      <c r="I682" t="s">
        <v>125</v>
      </c>
      <c r="J682">
        <v>1</v>
      </c>
      <c r="K682" t="s">
        <v>725</v>
      </c>
      <c r="L682" t="s">
        <v>385</v>
      </c>
      <c r="M682">
        <v>0</v>
      </c>
      <c r="N682" s="3" t="s">
        <v>238</v>
      </c>
      <c r="O682" s="3"/>
    </row>
    <row r="683" spans="1:15">
      <c r="A683" t="s">
        <v>1407</v>
      </c>
      <c r="B683" t="s">
        <v>524</v>
      </c>
      <c r="C683">
        <v>640088</v>
      </c>
      <c r="D683" s="16">
        <v>640.08799999999997</v>
      </c>
      <c r="E683" t="s">
        <v>727</v>
      </c>
      <c r="F683" s="16">
        <v>1</v>
      </c>
      <c r="G683" s="16">
        <v>1</v>
      </c>
      <c r="H683" s="16">
        <v>1</v>
      </c>
      <c r="I683" t="s">
        <v>728</v>
      </c>
      <c r="J683">
        <v>1</v>
      </c>
      <c r="K683" t="s">
        <v>720</v>
      </c>
      <c r="L683" t="s">
        <v>385</v>
      </c>
      <c r="M683">
        <v>0</v>
      </c>
      <c r="N683" s="3" t="s">
        <v>238</v>
      </c>
      <c r="O683" s="3"/>
    </row>
    <row r="684" spans="1:15">
      <c r="A684" t="s">
        <v>1408</v>
      </c>
      <c r="B684" t="s">
        <v>524</v>
      </c>
      <c r="C684">
        <v>640088</v>
      </c>
      <c r="D684" s="16">
        <v>640.08799999999997</v>
      </c>
      <c r="E684" t="s">
        <v>730</v>
      </c>
      <c r="F684" s="16">
        <v>0</v>
      </c>
      <c r="G684" s="16">
        <v>0</v>
      </c>
      <c r="H684" s="16">
        <v>0</v>
      </c>
      <c r="I684" t="s">
        <v>107</v>
      </c>
      <c r="J684">
        <v>1</v>
      </c>
      <c r="K684" t="s">
        <v>720</v>
      </c>
      <c r="L684" t="s">
        <v>385</v>
      </c>
      <c r="M684">
        <v>0</v>
      </c>
      <c r="N684" s="3" t="s">
        <v>238</v>
      </c>
      <c r="O684" s="3"/>
    </row>
    <row r="685" spans="1:15">
      <c r="A685" t="s">
        <v>1409</v>
      </c>
      <c r="B685" t="s">
        <v>525</v>
      </c>
      <c r="C685">
        <v>645105</v>
      </c>
      <c r="D685" s="16">
        <v>645.10500000000002</v>
      </c>
      <c r="E685" t="s">
        <v>719</v>
      </c>
      <c r="F685" s="16">
        <v>27.4</v>
      </c>
      <c r="G685" s="16">
        <v>27.4</v>
      </c>
      <c r="H685" s="16">
        <v>27.4</v>
      </c>
      <c r="I685" t="s">
        <v>98</v>
      </c>
      <c r="J685">
        <v>1</v>
      </c>
      <c r="K685" t="s">
        <v>720</v>
      </c>
      <c r="L685" t="s">
        <v>385</v>
      </c>
      <c r="M685">
        <v>0</v>
      </c>
      <c r="N685" s="3" t="s">
        <v>238</v>
      </c>
      <c r="O685" s="3"/>
    </row>
    <row r="686" spans="1:15">
      <c r="A686" t="s">
        <v>1410</v>
      </c>
      <c r="B686" t="s">
        <v>525</v>
      </c>
      <c r="C686">
        <v>645105</v>
      </c>
      <c r="D686" s="16">
        <v>645.10500000000002</v>
      </c>
      <c r="E686" t="s">
        <v>722</v>
      </c>
      <c r="F686" s="16">
        <v>81.3</v>
      </c>
      <c r="G686" s="16">
        <v>81.3</v>
      </c>
      <c r="H686" s="16">
        <v>81.3</v>
      </c>
      <c r="I686" t="s">
        <v>140</v>
      </c>
      <c r="J686">
        <v>1</v>
      </c>
      <c r="K686" t="s">
        <v>720</v>
      </c>
      <c r="L686" t="s">
        <v>385</v>
      </c>
      <c r="M686">
        <v>0</v>
      </c>
      <c r="N686" s="3" t="s">
        <v>238</v>
      </c>
      <c r="O686" s="3"/>
    </row>
    <row r="687" spans="1:15">
      <c r="A687" t="s">
        <v>1411</v>
      </c>
      <c r="B687" t="s">
        <v>525</v>
      </c>
      <c r="C687">
        <v>645105</v>
      </c>
      <c r="D687" s="16">
        <v>645.10500000000002</v>
      </c>
      <c r="E687" t="s">
        <v>724</v>
      </c>
      <c r="F687" s="16">
        <v>-3</v>
      </c>
      <c r="G687" s="16">
        <v>3</v>
      </c>
      <c r="H687" s="16">
        <v>3</v>
      </c>
      <c r="I687" t="s">
        <v>125</v>
      </c>
      <c r="J687">
        <v>1</v>
      </c>
      <c r="K687" t="s">
        <v>725</v>
      </c>
      <c r="L687" t="s">
        <v>385</v>
      </c>
      <c r="M687">
        <v>0</v>
      </c>
      <c r="N687" s="3" t="s">
        <v>238</v>
      </c>
      <c r="O687" s="3"/>
    </row>
    <row r="688" spans="1:15">
      <c r="A688" t="s">
        <v>1412</v>
      </c>
      <c r="B688" t="s">
        <v>525</v>
      </c>
      <c r="C688">
        <v>645105</v>
      </c>
      <c r="D688" s="16">
        <v>645.10500000000002</v>
      </c>
      <c r="E688" t="s">
        <v>727</v>
      </c>
      <c r="F688" s="16">
        <v>1</v>
      </c>
      <c r="G688" s="16">
        <v>1</v>
      </c>
      <c r="H688" s="16">
        <v>1</v>
      </c>
      <c r="I688" t="s">
        <v>728</v>
      </c>
      <c r="J688">
        <v>1</v>
      </c>
      <c r="K688" t="s">
        <v>720</v>
      </c>
      <c r="L688" t="s">
        <v>385</v>
      </c>
      <c r="M688">
        <v>0</v>
      </c>
      <c r="N688" s="3" t="s">
        <v>238</v>
      </c>
      <c r="O688" s="3"/>
    </row>
    <row r="689" spans="1:15">
      <c r="A689" t="s">
        <v>1413</v>
      </c>
      <c r="B689" t="s">
        <v>525</v>
      </c>
      <c r="C689">
        <v>645105</v>
      </c>
      <c r="D689" s="16">
        <v>645.10500000000002</v>
      </c>
      <c r="E689" t="s">
        <v>730</v>
      </c>
      <c r="F689" s="16">
        <v>0</v>
      </c>
      <c r="G689" s="16">
        <v>0</v>
      </c>
      <c r="H689" s="16">
        <v>0</v>
      </c>
      <c r="I689" t="s">
        <v>107</v>
      </c>
      <c r="J689">
        <v>1</v>
      </c>
      <c r="K689" t="s">
        <v>720</v>
      </c>
      <c r="L689" t="s">
        <v>385</v>
      </c>
      <c r="M689">
        <v>0</v>
      </c>
      <c r="N689" s="3" t="s">
        <v>238</v>
      </c>
      <c r="O689" s="3"/>
    </row>
    <row r="690" spans="1:15">
      <c r="A690" t="s">
        <v>1414</v>
      </c>
      <c r="B690" t="s">
        <v>526</v>
      </c>
      <c r="C690">
        <v>650124</v>
      </c>
      <c r="D690" s="16">
        <v>650.12400000000002</v>
      </c>
      <c r="E690" t="s">
        <v>719</v>
      </c>
      <c r="F690" s="16">
        <v>27.3</v>
      </c>
      <c r="G690" s="16">
        <v>27.3</v>
      </c>
      <c r="H690" s="16">
        <v>27.3</v>
      </c>
      <c r="I690" t="s">
        <v>98</v>
      </c>
      <c r="J690">
        <v>1</v>
      </c>
      <c r="K690" t="s">
        <v>720</v>
      </c>
      <c r="L690" t="s">
        <v>385</v>
      </c>
      <c r="M690">
        <v>0</v>
      </c>
      <c r="N690" s="3" t="s">
        <v>238</v>
      </c>
      <c r="O690" s="3"/>
    </row>
    <row r="691" spans="1:15">
      <c r="A691" t="s">
        <v>1415</v>
      </c>
      <c r="B691" t="s">
        <v>526</v>
      </c>
      <c r="C691">
        <v>650124</v>
      </c>
      <c r="D691" s="16">
        <v>650.12400000000002</v>
      </c>
      <c r="E691" t="s">
        <v>722</v>
      </c>
      <c r="F691" s="16">
        <v>81.3</v>
      </c>
      <c r="G691" s="16">
        <v>81.3</v>
      </c>
      <c r="H691" s="16">
        <v>81.3</v>
      </c>
      <c r="I691" t="s">
        <v>140</v>
      </c>
      <c r="J691">
        <v>1</v>
      </c>
      <c r="K691" t="s">
        <v>720</v>
      </c>
      <c r="L691" t="s">
        <v>385</v>
      </c>
      <c r="M691">
        <v>0</v>
      </c>
      <c r="N691" s="3" t="s">
        <v>238</v>
      </c>
      <c r="O691" s="3"/>
    </row>
    <row r="692" spans="1:15">
      <c r="A692" t="s">
        <v>1416</v>
      </c>
      <c r="B692" t="s">
        <v>526</v>
      </c>
      <c r="C692">
        <v>650124</v>
      </c>
      <c r="D692" s="16">
        <v>650.12400000000002</v>
      </c>
      <c r="E692" t="s">
        <v>724</v>
      </c>
      <c r="F692" s="16">
        <v>-2.9</v>
      </c>
      <c r="G692" s="16">
        <v>2.9</v>
      </c>
      <c r="H692" s="16">
        <v>2.9</v>
      </c>
      <c r="I692" t="s">
        <v>125</v>
      </c>
      <c r="J692">
        <v>1</v>
      </c>
      <c r="K692" t="s">
        <v>725</v>
      </c>
      <c r="L692" t="s">
        <v>385</v>
      </c>
      <c r="M692">
        <v>0</v>
      </c>
      <c r="N692" s="3" t="s">
        <v>238</v>
      </c>
      <c r="O692" s="3"/>
    </row>
    <row r="693" spans="1:15">
      <c r="A693" t="s">
        <v>1417</v>
      </c>
      <c r="B693" t="s">
        <v>526</v>
      </c>
      <c r="C693">
        <v>650124</v>
      </c>
      <c r="D693" s="16">
        <v>650.12400000000002</v>
      </c>
      <c r="E693" t="s">
        <v>727</v>
      </c>
      <c r="F693" s="16">
        <v>1</v>
      </c>
      <c r="G693" s="16">
        <v>1</v>
      </c>
      <c r="H693" s="16">
        <v>1</v>
      </c>
      <c r="I693" t="s">
        <v>728</v>
      </c>
      <c r="J693">
        <v>1</v>
      </c>
      <c r="K693" t="s">
        <v>720</v>
      </c>
      <c r="L693" t="s">
        <v>385</v>
      </c>
      <c r="M693">
        <v>0</v>
      </c>
      <c r="N693" s="3" t="s">
        <v>238</v>
      </c>
      <c r="O693" s="3"/>
    </row>
    <row r="694" spans="1:15">
      <c r="A694" t="s">
        <v>1418</v>
      </c>
      <c r="B694" t="s">
        <v>526</v>
      </c>
      <c r="C694">
        <v>650124</v>
      </c>
      <c r="D694" s="16">
        <v>650.12400000000002</v>
      </c>
      <c r="E694" t="s">
        <v>730</v>
      </c>
      <c r="F694" s="16">
        <v>0</v>
      </c>
      <c r="G694" s="16">
        <v>0</v>
      </c>
      <c r="H694" s="16">
        <v>0</v>
      </c>
      <c r="I694" t="s">
        <v>107</v>
      </c>
      <c r="J694">
        <v>1</v>
      </c>
      <c r="K694" t="s">
        <v>720</v>
      </c>
      <c r="L694" t="s">
        <v>385</v>
      </c>
      <c r="M694">
        <v>0</v>
      </c>
      <c r="N694" s="3" t="s">
        <v>238</v>
      </c>
      <c r="O694" s="3"/>
    </row>
    <row r="695" spans="1:15">
      <c r="A695" t="s">
        <v>1419</v>
      </c>
      <c r="B695" t="s">
        <v>527</v>
      </c>
      <c r="C695">
        <v>655141</v>
      </c>
      <c r="D695" s="16">
        <v>655.14099999999996</v>
      </c>
      <c r="E695" t="s">
        <v>719</v>
      </c>
      <c r="F695" s="16">
        <v>27.4</v>
      </c>
      <c r="G695" s="16">
        <v>27.4</v>
      </c>
      <c r="H695" s="16">
        <v>27.4</v>
      </c>
      <c r="I695" t="s">
        <v>98</v>
      </c>
      <c r="J695">
        <v>1</v>
      </c>
      <c r="K695" t="s">
        <v>720</v>
      </c>
      <c r="L695" t="s">
        <v>385</v>
      </c>
      <c r="M695">
        <v>0</v>
      </c>
      <c r="N695" s="3" t="s">
        <v>238</v>
      </c>
      <c r="O695" s="3"/>
    </row>
    <row r="696" spans="1:15">
      <c r="A696" t="s">
        <v>1420</v>
      </c>
      <c r="B696" t="s">
        <v>527</v>
      </c>
      <c r="C696">
        <v>655141</v>
      </c>
      <c r="D696" s="16">
        <v>655.14099999999996</v>
      </c>
      <c r="E696" t="s">
        <v>722</v>
      </c>
      <c r="F696" s="16">
        <v>81</v>
      </c>
      <c r="G696" s="16">
        <v>81</v>
      </c>
      <c r="H696" s="16">
        <v>81</v>
      </c>
      <c r="I696" t="s">
        <v>140</v>
      </c>
      <c r="J696">
        <v>1</v>
      </c>
      <c r="K696" t="s">
        <v>720</v>
      </c>
      <c r="L696" t="s">
        <v>385</v>
      </c>
      <c r="M696">
        <v>0</v>
      </c>
      <c r="N696" s="3" t="s">
        <v>238</v>
      </c>
      <c r="O696" s="3"/>
    </row>
    <row r="697" spans="1:15">
      <c r="A697" t="s">
        <v>1421</v>
      </c>
      <c r="B697" t="s">
        <v>527</v>
      </c>
      <c r="C697">
        <v>655141</v>
      </c>
      <c r="D697" s="16">
        <v>655.14099999999996</v>
      </c>
      <c r="E697" t="s">
        <v>724</v>
      </c>
      <c r="F697" s="16">
        <v>-2.9</v>
      </c>
      <c r="G697" s="16">
        <v>2.9</v>
      </c>
      <c r="H697" s="16">
        <v>2.9</v>
      </c>
      <c r="I697" t="s">
        <v>125</v>
      </c>
      <c r="J697">
        <v>1</v>
      </c>
      <c r="K697" t="s">
        <v>725</v>
      </c>
      <c r="L697" t="s">
        <v>385</v>
      </c>
      <c r="M697">
        <v>0</v>
      </c>
      <c r="N697" s="3" t="s">
        <v>238</v>
      </c>
      <c r="O697" s="3"/>
    </row>
    <row r="698" spans="1:15">
      <c r="A698" t="s">
        <v>1422</v>
      </c>
      <c r="B698" t="s">
        <v>527</v>
      </c>
      <c r="C698">
        <v>655141</v>
      </c>
      <c r="D698" s="16">
        <v>655.14099999999996</v>
      </c>
      <c r="E698" t="s">
        <v>727</v>
      </c>
      <c r="F698" s="16">
        <v>1</v>
      </c>
      <c r="G698" s="16">
        <v>1</v>
      </c>
      <c r="H698" s="16">
        <v>1</v>
      </c>
      <c r="I698" t="s">
        <v>728</v>
      </c>
      <c r="J698">
        <v>1</v>
      </c>
      <c r="K698" t="s">
        <v>720</v>
      </c>
      <c r="L698" t="s">
        <v>385</v>
      </c>
      <c r="M698">
        <v>0</v>
      </c>
      <c r="N698" s="3" t="s">
        <v>238</v>
      </c>
      <c r="O698" s="3"/>
    </row>
    <row r="699" spans="1:15">
      <c r="A699" t="s">
        <v>1423</v>
      </c>
      <c r="B699" t="s">
        <v>527</v>
      </c>
      <c r="C699">
        <v>655141</v>
      </c>
      <c r="D699" s="16">
        <v>655.14099999999996</v>
      </c>
      <c r="E699" t="s">
        <v>730</v>
      </c>
      <c r="F699" s="16">
        <v>0</v>
      </c>
      <c r="G699" s="16">
        <v>0</v>
      </c>
      <c r="H699" s="16">
        <v>0</v>
      </c>
      <c r="I699" t="s">
        <v>107</v>
      </c>
      <c r="J699">
        <v>1</v>
      </c>
      <c r="K699" t="s">
        <v>720</v>
      </c>
      <c r="L699" t="s">
        <v>385</v>
      </c>
      <c r="M699">
        <v>0</v>
      </c>
      <c r="N699" s="3" t="s">
        <v>238</v>
      </c>
      <c r="O699" s="3"/>
    </row>
    <row r="700" spans="1:15">
      <c r="A700" t="s">
        <v>1424</v>
      </c>
      <c r="B700" t="s">
        <v>528</v>
      </c>
      <c r="C700">
        <v>660161</v>
      </c>
      <c r="D700" s="16">
        <v>660.16099999999994</v>
      </c>
      <c r="E700" t="s">
        <v>719</v>
      </c>
      <c r="F700" s="16">
        <v>27.4</v>
      </c>
      <c r="G700" s="16">
        <v>27.4</v>
      </c>
      <c r="H700" s="16">
        <v>27.4</v>
      </c>
      <c r="I700" t="s">
        <v>98</v>
      </c>
      <c r="J700">
        <v>1</v>
      </c>
      <c r="K700" t="s">
        <v>720</v>
      </c>
      <c r="L700" t="s">
        <v>385</v>
      </c>
      <c r="M700">
        <v>0</v>
      </c>
      <c r="N700" s="3" t="s">
        <v>238</v>
      </c>
      <c r="O700" s="3"/>
    </row>
    <row r="701" spans="1:15">
      <c r="A701" t="s">
        <v>1425</v>
      </c>
      <c r="B701" t="s">
        <v>528</v>
      </c>
      <c r="C701">
        <v>660161</v>
      </c>
      <c r="D701" s="16">
        <v>660.16099999999994</v>
      </c>
      <c r="E701" t="s">
        <v>722</v>
      </c>
      <c r="F701" s="16">
        <v>81.099999999999994</v>
      </c>
      <c r="G701" s="16">
        <v>81.099999999999994</v>
      </c>
      <c r="H701" s="16">
        <v>81.099999999999994</v>
      </c>
      <c r="I701" t="s">
        <v>140</v>
      </c>
      <c r="J701">
        <v>1</v>
      </c>
      <c r="K701" t="s">
        <v>720</v>
      </c>
      <c r="L701" t="s">
        <v>385</v>
      </c>
      <c r="M701">
        <v>0</v>
      </c>
      <c r="N701" s="3" t="s">
        <v>238</v>
      </c>
      <c r="O701" s="3"/>
    </row>
    <row r="702" spans="1:15">
      <c r="A702" t="s">
        <v>1426</v>
      </c>
      <c r="B702" t="s">
        <v>528</v>
      </c>
      <c r="C702">
        <v>660161</v>
      </c>
      <c r="D702" s="16">
        <v>660.16099999999994</v>
      </c>
      <c r="E702" t="s">
        <v>724</v>
      </c>
      <c r="F702" s="16">
        <v>-2.9</v>
      </c>
      <c r="G702" s="16">
        <v>2.9</v>
      </c>
      <c r="H702" s="16">
        <v>2.9</v>
      </c>
      <c r="I702" t="s">
        <v>125</v>
      </c>
      <c r="J702">
        <v>1</v>
      </c>
      <c r="K702" t="s">
        <v>725</v>
      </c>
      <c r="L702" t="s">
        <v>385</v>
      </c>
      <c r="M702">
        <v>0</v>
      </c>
      <c r="N702" s="3" t="s">
        <v>238</v>
      </c>
      <c r="O702" s="3"/>
    </row>
    <row r="703" spans="1:15">
      <c r="A703" t="s">
        <v>1427</v>
      </c>
      <c r="B703" t="s">
        <v>528</v>
      </c>
      <c r="C703">
        <v>660161</v>
      </c>
      <c r="D703" s="16">
        <v>660.16099999999994</v>
      </c>
      <c r="E703" t="s">
        <v>727</v>
      </c>
      <c r="F703" s="16">
        <v>1</v>
      </c>
      <c r="G703" s="16">
        <v>1</v>
      </c>
      <c r="H703" s="16">
        <v>1</v>
      </c>
      <c r="I703" t="s">
        <v>728</v>
      </c>
      <c r="J703">
        <v>1</v>
      </c>
      <c r="K703" t="s">
        <v>720</v>
      </c>
      <c r="L703" t="s">
        <v>385</v>
      </c>
      <c r="M703">
        <v>0</v>
      </c>
      <c r="N703" s="3" t="s">
        <v>238</v>
      </c>
      <c r="O703" s="3"/>
    </row>
    <row r="704" spans="1:15">
      <c r="A704" t="s">
        <v>1428</v>
      </c>
      <c r="B704" t="s">
        <v>528</v>
      </c>
      <c r="C704">
        <v>660161</v>
      </c>
      <c r="D704" s="16">
        <v>660.16099999999994</v>
      </c>
      <c r="E704" t="s">
        <v>730</v>
      </c>
      <c r="F704" s="16">
        <v>0</v>
      </c>
      <c r="G704" s="16">
        <v>0</v>
      </c>
      <c r="H704" s="16">
        <v>0</v>
      </c>
      <c r="I704" t="s">
        <v>107</v>
      </c>
      <c r="J704">
        <v>1</v>
      </c>
      <c r="K704" t="s">
        <v>720</v>
      </c>
      <c r="L704" t="s">
        <v>385</v>
      </c>
      <c r="M704">
        <v>0</v>
      </c>
      <c r="N704" s="3" t="s">
        <v>238</v>
      </c>
      <c r="O704" s="3"/>
    </row>
    <row r="705" spans="1:15">
      <c r="A705" t="s">
        <v>1429</v>
      </c>
      <c r="B705" t="s">
        <v>529</v>
      </c>
      <c r="C705">
        <v>665180</v>
      </c>
      <c r="D705" s="16">
        <v>665.18</v>
      </c>
      <c r="E705" t="s">
        <v>719</v>
      </c>
      <c r="F705" s="16">
        <v>27.3</v>
      </c>
      <c r="G705" s="16">
        <v>27.3</v>
      </c>
      <c r="H705" s="16">
        <v>27.3</v>
      </c>
      <c r="I705" t="s">
        <v>98</v>
      </c>
      <c r="J705">
        <v>1</v>
      </c>
      <c r="K705" t="s">
        <v>720</v>
      </c>
      <c r="L705" t="s">
        <v>385</v>
      </c>
      <c r="M705">
        <v>0</v>
      </c>
      <c r="N705" s="3" t="s">
        <v>238</v>
      </c>
      <c r="O705" s="3"/>
    </row>
    <row r="706" spans="1:15">
      <c r="A706" t="s">
        <v>1430</v>
      </c>
      <c r="B706" t="s">
        <v>529</v>
      </c>
      <c r="C706">
        <v>665180</v>
      </c>
      <c r="D706" s="16">
        <v>665.18</v>
      </c>
      <c r="E706" t="s">
        <v>722</v>
      </c>
      <c r="F706" s="16">
        <v>81</v>
      </c>
      <c r="G706" s="16">
        <v>81</v>
      </c>
      <c r="H706" s="16">
        <v>81</v>
      </c>
      <c r="I706" t="s">
        <v>140</v>
      </c>
      <c r="J706">
        <v>1</v>
      </c>
      <c r="K706" t="s">
        <v>720</v>
      </c>
      <c r="L706" t="s">
        <v>385</v>
      </c>
      <c r="M706">
        <v>0</v>
      </c>
      <c r="N706" s="3" t="s">
        <v>238</v>
      </c>
      <c r="O706" s="3"/>
    </row>
    <row r="707" spans="1:15">
      <c r="A707" t="s">
        <v>1431</v>
      </c>
      <c r="B707" t="s">
        <v>529</v>
      </c>
      <c r="C707">
        <v>665180</v>
      </c>
      <c r="D707" s="16">
        <v>665.18</v>
      </c>
      <c r="E707" t="s">
        <v>724</v>
      </c>
      <c r="F707" s="16">
        <v>-2.8</v>
      </c>
      <c r="G707" s="16">
        <v>2.8</v>
      </c>
      <c r="H707" s="16">
        <v>2.8</v>
      </c>
      <c r="I707" t="s">
        <v>125</v>
      </c>
      <c r="J707">
        <v>1</v>
      </c>
      <c r="K707" t="s">
        <v>725</v>
      </c>
      <c r="L707" t="s">
        <v>385</v>
      </c>
      <c r="M707">
        <v>0</v>
      </c>
      <c r="N707" s="3" t="s">
        <v>238</v>
      </c>
      <c r="O707" s="3"/>
    </row>
    <row r="708" spans="1:15">
      <c r="A708" t="s">
        <v>1432</v>
      </c>
      <c r="B708" t="s">
        <v>529</v>
      </c>
      <c r="C708">
        <v>665180</v>
      </c>
      <c r="D708" s="16">
        <v>665.18</v>
      </c>
      <c r="E708" t="s">
        <v>727</v>
      </c>
      <c r="F708" s="16">
        <v>1</v>
      </c>
      <c r="G708" s="16">
        <v>1</v>
      </c>
      <c r="H708" s="16">
        <v>1</v>
      </c>
      <c r="I708" t="s">
        <v>728</v>
      </c>
      <c r="J708">
        <v>1</v>
      </c>
      <c r="K708" t="s">
        <v>720</v>
      </c>
      <c r="L708" t="s">
        <v>385</v>
      </c>
      <c r="M708">
        <v>0</v>
      </c>
      <c r="N708" s="3" t="s">
        <v>238</v>
      </c>
      <c r="O708" s="3"/>
    </row>
    <row r="709" spans="1:15">
      <c r="A709" t="s">
        <v>1433</v>
      </c>
      <c r="B709" t="s">
        <v>529</v>
      </c>
      <c r="C709">
        <v>665180</v>
      </c>
      <c r="D709" s="16">
        <v>665.18</v>
      </c>
      <c r="E709" t="s">
        <v>730</v>
      </c>
      <c r="F709" s="16">
        <v>0</v>
      </c>
      <c r="G709" s="16">
        <v>0</v>
      </c>
      <c r="H709" s="16">
        <v>0</v>
      </c>
      <c r="I709" t="s">
        <v>107</v>
      </c>
      <c r="J709">
        <v>1</v>
      </c>
      <c r="K709" t="s">
        <v>720</v>
      </c>
      <c r="L709" t="s">
        <v>385</v>
      </c>
      <c r="M709">
        <v>0</v>
      </c>
      <c r="N709" s="3" t="s">
        <v>238</v>
      </c>
      <c r="O709" s="3"/>
    </row>
    <row r="710" spans="1:15">
      <c r="A710" t="s">
        <v>1434</v>
      </c>
      <c r="B710" t="s">
        <v>530</v>
      </c>
      <c r="C710">
        <v>670196</v>
      </c>
      <c r="D710" s="16">
        <v>670.19600000000003</v>
      </c>
      <c r="E710" t="s">
        <v>719</v>
      </c>
      <c r="F710" s="16">
        <v>27.4</v>
      </c>
      <c r="G710" s="16">
        <v>27.4</v>
      </c>
      <c r="H710" s="16">
        <v>27.4</v>
      </c>
      <c r="I710" t="s">
        <v>98</v>
      </c>
      <c r="J710">
        <v>1</v>
      </c>
      <c r="K710" t="s">
        <v>720</v>
      </c>
      <c r="L710" t="s">
        <v>385</v>
      </c>
      <c r="M710">
        <v>0</v>
      </c>
      <c r="N710" s="3" t="s">
        <v>238</v>
      </c>
      <c r="O710" s="3"/>
    </row>
    <row r="711" spans="1:15">
      <c r="A711" t="s">
        <v>1435</v>
      </c>
      <c r="B711" t="s">
        <v>530</v>
      </c>
      <c r="C711">
        <v>670196</v>
      </c>
      <c r="D711" s="16">
        <v>670.19600000000003</v>
      </c>
      <c r="E711" t="s">
        <v>722</v>
      </c>
      <c r="F711" s="16">
        <v>81</v>
      </c>
      <c r="G711" s="16">
        <v>81</v>
      </c>
      <c r="H711" s="16">
        <v>81</v>
      </c>
      <c r="I711" t="s">
        <v>140</v>
      </c>
      <c r="J711">
        <v>1</v>
      </c>
      <c r="K711" t="s">
        <v>720</v>
      </c>
      <c r="L711" t="s">
        <v>385</v>
      </c>
      <c r="M711">
        <v>0</v>
      </c>
      <c r="N711" s="3" t="s">
        <v>238</v>
      </c>
      <c r="O711" s="3"/>
    </row>
    <row r="712" spans="1:15">
      <c r="A712" t="s">
        <v>1436</v>
      </c>
      <c r="B712" t="s">
        <v>530</v>
      </c>
      <c r="C712">
        <v>670196</v>
      </c>
      <c r="D712" s="16">
        <v>670.19600000000003</v>
      </c>
      <c r="E712" t="s">
        <v>724</v>
      </c>
      <c r="F712" s="16">
        <v>-2.9</v>
      </c>
      <c r="G712" s="16">
        <v>2.9</v>
      </c>
      <c r="H712" s="16">
        <v>2.9</v>
      </c>
      <c r="I712" t="s">
        <v>125</v>
      </c>
      <c r="J712">
        <v>1</v>
      </c>
      <c r="K712" t="s">
        <v>725</v>
      </c>
      <c r="L712" t="s">
        <v>385</v>
      </c>
      <c r="M712">
        <v>0</v>
      </c>
      <c r="N712" s="3" t="s">
        <v>238</v>
      </c>
      <c r="O712" s="3"/>
    </row>
    <row r="713" spans="1:15">
      <c r="A713" t="s">
        <v>1437</v>
      </c>
      <c r="B713" t="s">
        <v>530</v>
      </c>
      <c r="C713">
        <v>670196</v>
      </c>
      <c r="D713" s="16">
        <v>670.19600000000003</v>
      </c>
      <c r="E713" t="s">
        <v>727</v>
      </c>
      <c r="F713" s="16">
        <v>1</v>
      </c>
      <c r="G713" s="16">
        <v>1</v>
      </c>
      <c r="H713" s="16">
        <v>1</v>
      </c>
      <c r="I713" t="s">
        <v>728</v>
      </c>
      <c r="J713">
        <v>1</v>
      </c>
      <c r="K713" t="s">
        <v>720</v>
      </c>
      <c r="L713" t="s">
        <v>385</v>
      </c>
      <c r="M713">
        <v>0</v>
      </c>
      <c r="N713" s="3" t="s">
        <v>238</v>
      </c>
      <c r="O713" s="3"/>
    </row>
    <row r="714" spans="1:15">
      <c r="A714" t="s">
        <v>1438</v>
      </c>
      <c r="B714" t="s">
        <v>530</v>
      </c>
      <c r="C714">
        <v>670196</v>
      </c>
      <c r="D714" s="16">
        <v>670.19600000000003</v>
      </c>
      <c r="E714" t="s">
        <v>730</v>
      </c>
      <c r="F714" s="16">
        <v>0</v>
      </c>
      <c r="G714" s="16">
        <v>0</v>
      </c>
      <c r="H714" s="16">
        <v>0</v>
      </c>
      <c r="I714" t="s">
        <v>107</v>
      </c>
      <c r="J714">
        <v>1</v>
      </c>
      <c r="K714" t="s">
        <v>720</v>
      </c>
      <c r="L714" t="s">
        <v>385</v>
      </c>
      <c r="M714">
        <v>0</v>
      </c>
      <c r="N714" s="3" t="s">
        <v>238</v>
      </c>
      <c r="O714" s="3"/>
    </row>
    <row r="715" spans="1:15">
      <c r="A715" t="s">
        <v>1439</v>
      </c>
      <c r="B715" t="s">
        <v>531</v>
      </c>
      <c r="C715">
        <v>675214</v>
      </c>
      <c r="D715" s="16">
        <v>675.21400000000006</v>
      </c>
      <c r="E715" t="s">
        <v>719</v>
      </c>
      <c r="F715" s="16">
        <v>27.3</v>
      </c>
      <c r="G715" s="16">
        <v>27.3</v>
      </c>
      <c r="H715" s="16">
        <v>27.3</v>
      </c>
      <c r="I715" t="s">
        <v>98</v>
      </c>
      <c r="J715">
        <v>1</v>
      </c>
      <c r="K715" t="s">
        <v>720</v>
      </c>
      <c r="L715" t="s">
        <v>385</v>
      </c>
      <c r="M715">
        <v>0</v>
      </c>
      <c r="N715" s="3" t="s">
        <v>238</v>
      </c>
      <c r="O715" s="3"/>
    </row>
    <row r="716" spans="1:15">
      <c r="A716" t="s">
        <v>1440</v>
      </c>
      <c r="B716" t="s">
        <v>531</v>
      </c>
      <c r="C716">
        <v>675214</v>
      </c>
      <c r="D716" s="16">
        <v>675.21400000000006</v>
      </c>
      <c r="E716" t="s">
        <v>722</v>
      </c>
      <c r="F716" s="16">
        <v>81</v>
      </c>
      <c r="G716" s="16">
        <v>81</v>
      </c>
      <c r="H716" s="16">
        <v>81</v>
      </c>
      <c r="I716" t="s">
        <v>140</v>
      </c>
      <c r="J716">
        <v>1</v>
      </c>
      <c r="K716" t="s">
        <v>720</v>
      </c>
      <c r="L716" t="s">
        <v>385</v>
      </c>
      <c r="M716">
        <v>0</v>
      </c>
      <c r="N716" s="3" t="s">
        <v>238</v>
      </c>
      <c r="O716" s="3"/>
    </row>
    <row r="717" spans="1:15">
      <c r="A717" t="s">
        <v>1441</v>
      </c>
      <c r="B717" t="s">
        <v>531</v>
      </c>
      <c r="C717">
        <v>675214</v>
      </c>
      <c r="D717" s="16">
        <v>675.21400000000006</v>
      </c>
      <c r="E717" t="s">
        <v>724</v>
      </c>
      <c r="F717" s="16">
        <v>-2.7</v>
      </c>
      <c r="G717" s="16">
        <v>2.7</v>
      </c>
      <c r="H717" s="16">
        <v>2.7</v>
      </c>
      <c r="I717" t="s">
        <v>125</v>
      </c>
      <c r="J717">
        <v>1</v>
      </c>
      <c r="K717" t="s">
        <v>725</v>
      </c>
      <c r="L717" t="s">
        <v>385</v>
      </c>
      <c r="M717">
        <v>0</v>
      </c>
      <c r="N717" s="3" t="s">
        <v>238</v>
      </c>
      <c r="O717" s="3"/>
    </row>
    <row r="718" spans="1:15">
      <c r="A718" t="s">
        <v>1442</v>
      </c>
      <c r="B718" t="s">
        <v>531</v>
      </c>
      <c r="C718">
        <v>675214</v>
      </c>
      <c r="D718" s="16">
        <v>675.21400000000006</v>
      </c>
      <c r="E718" t="s">
        <v>727</v>
      </c>
      <c r="F718" s="16">
        <v>1</v>
      </c>
      <c r="G718" s="16">
        <v>1</v>
      </c>
      <c r="H718" s="16">
        <v>1</v>
      </c>
      <c r="I718" t="s">
        <v>728</v>
      </c>
      <c r="J718">
        <v>1</v>
      </c>
      <c r="K718" t="s">
        <v>720</v>
      </c>
      <c r="L718" t="s">
        <v>385</v>
      </c>
      <c r="M718">
        <v>0</v>
      </c>
      <c r="N718" s="3" t="s">
        <v>238</v>
      </c>
      <c r="O718" s="3"/>
    </row>
    <row r="719" spans="1:15">
      <c r="A719" t="s">
        <v>1443</v>
      </c>
      <c r="B719" t="s">
        <v>531</v>
      </c>
      <c r="C719">
        <v>675214</v>
      </c>
      <c r="D719" s="16">
        <v>675.21400000000006</v>
      </c>
      <c r="E719" t="s">
        <v>730</v>
      </c>
      <c r="F719" s="16">
        <v>0</v>
      </c>
      <c r="G719" s="16">
        <v>0</v>
      </c>
      <c r="H719" s="16">
        <v>0</v>
      </c>
      <c r="I719" t="s">
        <v>107</v>
      </c>
      <c r="J719">
        <v>1</v>
      </c>
      <c r="K719" t="s">
        <v>720</v>
      </c>
      <c r="L719" t="s">
        <v>385</v>
      </c>
      <c r="M719">
        <v>0</v>
      </c>
      <c r="N719" s="3" t="s">
        <v>238</v>
      </c>
      <c r="O719" s="3"/>
    </row>
    <row r="720" spans="1:15">
      <c r="A720" t="s">
        <v>1444</v>
      </c>
      <c r="B720" t="s">
        <v>532</v>
      </c>
      <c r="C720">
        <v>680231</v>
      </c>
      <c r="D720" s="16">
        <v>680.23099999999999</v>
      </c>
      <c r="E720" t="s">
        <v>719</v>
      </c>
      <c r="F720" s="16">
        <v>27.4</v>
      </c>
      <c r="G720" s="16">
        <v>27.4</v>
      </c>
      <c r="H720" s="16">
        <v>27.4</v>
      </c>
      <c r="I720" t="s">
        <v>98</v>
      </c>
      <c r="J720">
        <v>1</v>
      </c>
      <c r="K720" t="s">
        <v>720</v>
      </c>
      <c r="L720" t="s">
        <v>385</v>
      </c>
      <c r="M720">
        <v>0</v>
      </c>
      <c r="N720" s="3" t="s">
        <v>238</v>
      </c>
      <c r="O720" s="3"/>
    </row>
    <row r="721" spans="1:15">
      <c r="A721" t="s">
        <v>1445</v>
      </c>
      <c r="B721" t="s">
        <v>532</v>
      </c>
      <c r="C721">
        <v>680231</v>
      </c>
      <c r="D721" s="16">
        <v>680.23099999999999</v>
      </c>
      <c r="E721" t="s">
        <v>722</v>
      </c>
      <c r="F721" s="16">
        <v>80.900000000000006</v>
      </c>
      <c r="G721" s="16">
        <v>80.900000000000006</v>
      </c>
      <c r="H721" s="16">
        <v>80.900000000000006</v>
      </c>
      <c r="I721" t="s">
        <v>140</v>
      </c>
      <c r="J721">
        <v>1</v>
      </c>
      <c r="K721" t="s">
        <v>720</v>
      </c>
      <c r="L721" t="s">
        <v>385</v>
      </c>
      <c r="M721">
        <v>0</v>
      </c>
      <c r="N721" s="3" t="s">
        <v>238</v>
      </c>
      <c r="O721" s="3"/>
    </row>
    <row r="722" spans="1:15">
      <c r="A722" t="s">
        <v>1446</v>
      </c>
      <c r="B722" t="s">
        <v>532</v>
      </c>
      <c r="C722">
        <v>680231</v>
      </c>
      <c r="D722" s="16">
        <v>680.23099999999999</v>
      </c>
      <c r="E722" t="s">
        <v>724</v>
      </c>
      <c r="F722" s="16">
        <v>-2.8</v>
      </c>
      <c r="G722" s="16">
        <v>2.8</v>
      </c>
      <c r="H722" s="16">
        <v>2.8</v>
      </c>
      <c r="I722" t="s">
        <v>125</v>
      </c>
      <c r="J722">
        <v>1</v>
      </c>
      <c r="K722" t="s">
        <v>725</v>
      </c>
      <c r="L722" t="s">
        <v>385</v>
      </c>
      <c r="M722">
        <v>0</v>
      </c>
      <c r="N722" s="3" t="s">
        <v>238</v>
      </c>
      <c r="O722" s="3"/>
    </row>
    <row r="723" spans="1:15">
      <c r="A723" t="s">
        <v>1447</v>
      </c>
      <c r="B723" t="s">
        <v>532</v>
      </c>
      <c r="C723">
        <v>680231</v>
      </c>
      <c r="D723" s="16">
        <v>680.23099999999999</v>
      </c>
      <c r="E723" t="s">
        <v>727</v>
      </c>
      <c r="F723" s="16">
        <v>1</v>
      </c>
      <c r="G723" s="16">
        <v>1</v>
      </c>
      <c r="H723" s="16">
        <v>1</v>
      </c>
      <c r="I723" t="s">
        <v>728</v>
      </c>
      <c r="J723">
        <v>1</v>
      </c>
      <c r="K723" t="s">
        <v>720</v>
      </c>
      <c r="L723" t="s">
        <v>385</v>
      </c>
      <c r="M723">
        <v>0</v>
      </c>
      <c r="N723" s="3" t="s">
        <v>238</v>
      </c>
      <c r="O723" s="3"/>
    </row>
    <row r="724" spans="1:15">
      <c r="A724" t="s">
        <v>1448</v>
      </c>
      <c r="B724" t="s">
        <v>532</v>
      </c>
      <c r="C724">
        <v>680231</v>
      </c>
      <c r="D724" s="16">
        <v>680.23099999999999</v>
      </c>
      <c r="E724" t="s">
        <v>730</v>
      </c>
      <c r="F724" s="16">
        <v>0</v>
      </c>
      <c r="G724" s="16">
        <v>0</v>
      </c>
      <c r="H724" s="16">
        <v>0</v>
      </c>
      <c r="I724" t="s">
        <v>107</v>
      </c>
      <c r="J724">
        <v>1</v>
      </c>
      <c r="K724" t="s">
        <v>720</v>
      </c>
      <c r="L724" t="s">
        <v>385</v>
      </c>
      <c r="M724">
        <v>0</v>
      </c>
      <c r="N724" s="3" t="s">
        <v>238</v>
      </c>
      <c r="O724" s="3"/>
    </row>
    <row r="725" spans="1:15">
      <c r="A725" t="s">
        <v>1449</v>
      </c>
      <c r="B725" t="s">
        <v>533</v>
      </c>
      <c r="C725">
        <v>685249</v>
      </c>
      <c r="D725" s="16">
        <v>685.24900000000002</v>
      </c>
      <c r="E725" t="s">
        <v>719</v>
      </c>
      <c r="F725" s="16">
        <v>27.4</v>
      </c>
      <c r="G725" s="16">
        <v>27.4</v>
      </c>
      <c r="H725" s="16">
        <v>27.4</v>
      </c>
      <c r="I725" t="s">
        <v>98</v>
      </c>
      <c r="J725">
        <v>1</v>
      </c>
      <c r="K725" t="s">
        <v>720</v>
      </c>
      <c r="L725" t="s">
        <v>385</v>
      </c>
      <c r="M725">
        <v>0</v>
      </c>
      <c r="N725" s="3" t="s">
        <v>238</v>
      </c>
      <c r="O725" s="3"/>
    </row>
    <row r="726" spans="1:15">
      <c r="A726" t="s">
        <v>1450</v>
      </c>
      <c r="B726" t="s">
        <v>533</v>
      </c>
      <c r="C726">
        <v>685249</v>
      </c>
      <c r="D726" s="16">
        <v>685.24900000000002</v>
      </c>
      <c r="E726" t="s">
        <v>722</v>
      </c>
      <c r="F726" s="16">
        <v>80.900000000000006</v>
      </c>
      <c r="G726" s="16">
        <v>80.900000000000006</v>
      </c>
      <c r="H726" s="16">
        <v>80.900000000000006</v>
      </c>
      <c r="I726" t="s">
        <v>140</v>
      </c>
      <c r="J726">
        <v>1</v>
      </c>
      <c r="K726" t="s">
        <v>720</v>
      </c>
      <c r="L726" t="s">
        <v>385</v>
      </c>
      <c r="M726">
        <v>0</v>
      </c>
      <c r="N726" s="3" t="s">
        <v>238</v>
      </c>
      <c r="O726" s="3"/>
    </row>
    <row r="727" spans="1:15">
      <c r="A727" t="s">
        <v>1451</v>
      </c>
      <c r="B727" t="s">
        <v>533</v>
      </c>
      <c r="C727">
        <v>685249</v>
      </c>
      <c r="D727" s="16">
        <v>685.24900000000002</v>
      </c>
      <c r="E727" t="s">
        <v>724</v>
      </c>
      <c r="F727" s="16">
        <v>-2.7</v>
      </c>
      <c r="G727" s="16">
        <v>2.7</v>
      </c>
      <c r="H727" s="16">
        <v>2.7</v>
      </c>
      <c r="I727" t="s">
        <v>125</v>
      </c>
      <c r="J727">
        <v>1</v>
      </c>
      <c r="K727" t="s">
        <v>725</v>
      </c>
      <c r="L727" t="s">
        <v>385</v>
      </c>
      <c r="M727">
        <v>0</v>
      </c>
      <c r="N727" s="3" t="s">
        <v>238</v>
      </c>
      <c r="O727" s="3"/>
    </row>
    <row r="728" spans="1:15">
      <c r="A728" t="s">
        <v>1452</v>
      </c>
      <c r="B728" t="s">
        <v>533</v>
      </c>
      <c r="C728">
        <v>685249</v>
      </c>
      <c r="D728" s="16">
        <v>685.24900000000002</v>
      </c>
      <c r="E728" t="s">
        <v>727</v>
      </c>
      <c r="F728" s="16">
        <v>1</v>
      </c>
      <c r="G728" s="16">
        <v>1</v>
      </c>
      <c r="H728" s="16">
        <v>1</v>
      </c>
      <c r="I728" t="s">
        <v>728</v>
      </c>
      <c r="J728">
        <v>1</v>
      </c>
      <c r="K728" t="s">
        <v>720</v>
      </c>
      <c r="L728" t="s">
        <v>385</v>
      </c>
      <c r="M728">
        <v>0</v>
      </c>
      <c r="N728" s="3" t="s">
        <v>238</v>
      </c>
      <c r="O728" s="3"/>
    </row>
    <row r="729" spans="1:15">
      <c r="A729" t="s">
        <v>1453</v>
      </c>
      <c r="B729" t="s">
        <v>533</v>
      </c>
      <c r="C729">
        <v>685249</v>
      </c>
      <c r="D729" s="16">
        <v>685.24900000000002</v>
      </c>
      <c r="E729" t="s">
        <v>730</v>
      </c>
      <c r="F729" s="16">
        <v>0</v>
      </c>
      <c r="G729" s="16">
        <v>0</v>
      </c>
      <c r="H729" s="16">
        <v>0</v>
      </c>
      <c r="I729" t="s">
        <v>107</v>
      </c>
      <c r="J729">
        <v>1</v>
      </c>
      <c r="K729" t="s">
        <v>720</v>
      </c>
      <c r="L729" t="s">
        <v>385</v>
      </c>
      <c r="M729">
        <v>0</v>
      </c>
      <c r="N729" s="3" t="s">
        <v>238</v>
      </c>
      <c r="O729" s="3"/>
    </row>
    <row r="730" spans="1:15">
      <c r="A730" t="s">
        <v>1454</v>
      </c>
      <c r="B730" t="s">
        <v>534</v>
      </c>
      <c r="C730">
        <v>690268</v>
      </c>
      <c r="D730" s="16">
        <v>690.26800000000003</v>
      </c>
      <c r="E730" t="s">
        <v>719</v>
      </c>
      <c r="F730" s="16">
        <v>27.4</v>
      </c>
      <c r="G730" s="16">
        <v>27.4</v>
      </c>
      <c r="H730" s="16">
        <v>27.4</v>
      </c>
      <c r="I730" t="s">
        <v>98</v>
      </c>
      <c r="J730">
        <v>1</v>
      </c>
      <c r="K730" t="s">
        <v>720</v>
      </c>
      <c r="L730" t="s">
        <v>385</v>
      </c>
      <c r="M730">
        <v>0</v>
      </c>
      <c r="N730" s="3" t="s">
        <v>238</v>
      </c>
      <c r="O730" s="3"/>
    </row>
    <row r="731" spans="1:15">
      <c r="A731" t="s">
        <v>1455</v>
      </c>
      <c r="B731" t="s">
        <v>534</v>
      </c>
      <c r="C731">
        <v>690268</v>
      </c>
      <c r="D731" s="16">
        <v>690.26800000000003</v>
      </c>
      <c r="E731" t="s">
        <v>722</v>
      </c>
      <c r="F731" s="16">
        <v>80.8</v>
      </c>
      <c r="G731" s="16">
        <v>80.8</v>
      </c>
      <c r="H731" s="16">
        <v>80.8</v>
      </c>
      <c r="I731" t="s">
        <v>140</v>
      </c>
      <c r="J731">
        <v>1</v>
      </c>
      <c r="K731" t="s">
        <v>720</v>
      </c>
      <c r="L731" t="s">
        <v>385</v>
      </c>
      <c r="M731">
        <v>0</v>
      </c>
      <c r="N731" s="3" t="s">
        <v>238</v>
      </c>
      <c r="O731" s="3"/>
    </row>
    <row r="732" spans="1:15">
      <c r="A732" t="s">
        <v>1456</v>
      </c>
      <c r="B732" t="s">
        <v>534</v>
      </c>
      <c r="C732">
        <v>690268</v>
      </c>
      <c r="D732" s="16">
        <v>690.26800000000003</v>
      </c>
      <c r="E732" t="s">
        <v>724</v>
      </c>
      <c r="F732" s="16">
        <v>-2.7</v>
      </c>
      <c r="G732" s="16">
        <v>2.7</v>
      </c>
      <c r="H732" s="16">
        <v>2.7</v>
      </c>
      <c r="I732" t="s">
        <v>125</v>
      </c>
      <c r="J732">
        <v>1</v>
      </c>
      <c r="K732" t="s">
        <v>725</v>
      </c>
      <c r="L732" t="s">
        <v>385</v>
      </c>
      <c r="M732">
        <v>0</v>
      </c>
      <c r="N732" s="3" t="s">
        <v>238</v>
      </c>
      <c r="O732" s="3"/>
    </row>
    <row r="733" spans="1:15">
      <c r="A733" t="s">
        <v>1457</v>
      </c>
      <c r="B733" t="s">
        <v>534</v>
      </c>
      <c r="C733">
        <v>690268</v>
      </c>
      <c r="D733" s="16">
        <v>690.26800000000003</v>
      </c>
      <c r="E733" t="s">
        <v>727</v>
      </c>
      <c r="F733" s="16">
        <v>1</v>
      </c>
      <c r="G733" s="16">
        <v>1</v>
      </c>
      <c r="H733" s="16">
        <v>1</v>
      </c>
      <c r="I733" t="s">
        <v>728</v>
      </c>
      <c r="J733">
        <v>1</v>
      </c>
      <c r="K733" t="s">
        <v>720</v>
      </c>
      <c r="L733" t="s">
        <v>385</v>
      </c>
      <c r="M733">
        <v>0</v>
      </c>
      <c r="N733" s="3" t="s">
        <v>238</v>
      </c>
      <c r="O733" s="3"/>
    </row>
    <row r="734" spans="1:15">
      <c r="A734" t="s">
        <v>1458</v>
      </c>
      <c r="B734" t="s">
        <v>534</v>
      </c>
      <c r="C734">
        <v>690268</v>
      </c>
      <c r="D734" s="16">
        <v>690.26800000000003</v>
      </c>
      <c r="E734" t="s">
        <v>730</v>
      </c>
      <c r="F734" s="16">
        <v>0</v>
      </c>
      <c r="G734" s="16">
        <v>0</v>
      </c>
      <c r="H734" s="16">
        <v>0</v>
      </c>
      <c r="I734" t="s">
        <v>107</v>
      </c>
      <c r="J734">
        <v>1</v>
      </c>
      <c r="K734" t="s">
        <v>720</v>
      </c>
      <c r="L734" t="s">
        <v>385</v>
      </c>
      <c r="M734">
        <v>0</v>
      </c>
      <c r="N734" s="3" t="s">
        <v>238</v>
      </c>
      <c r="O734" s="3"/>
    </row>
    <row r="735" spans="1:15">
      <c r="A735" t="s">
        <v>1459</v>
      </c>
      <c r="B735" t="s">
        <v>535</v>
      </c>
      <c r="C735">
        <v>695286</v>
      </c>
      <c r="D735" s="16">
        <v>695.28599999999994</v>
      </c>
      <c r="E735" t="s">
        <v>719</v>
      </c>
      <c r="F735" s="16">
        <v>27.4</v>
      </c>
      <c r="G735" s="16">
        <v>27.4</v>
      </c>
      <c r="H735" s="16">
        <v>27.4</v>
      </c>
      <c r="I735" t="s">
        <v>98</v>
      </c>
      <c r="J735">
        <v>1</v>
      </c>
      <c r="K735" t="s">
        <v>720</v>
      </c>
      <c r="L735" t="s">
        <v>385</v>
      </c>
      <c r="M735">
        <v>0</v>
      </c>
      <c r="N735" s="3" t="s">
        <v>238</v>
      </c>
      <c r="O735" s="3"/>
    </row>
    <row r="736" spans="1:15">
      <c r="A736" t="s">
        <v>1460</v>
      </c>
      <c r="B736" t="s">
        <v>535</v>
      </c>
      <c r="C736">
        <v>695286</v>
      </c>
      <c r="D736" s="16">
        <v>695.28599999999994</v>
      </c>
      <c r="E736" t="s">
        <v>722</v>
      </c>
      <c r="F736" s="16">
        <v>80.900000000000006</v>
      </c>
      <c r="G736" s="16">
        <v>80.900000000000006</v>
      </c>
      <c r="H736" s="16">
        <v>80.900000000000006</v>
      </c>
      <c r="I736" t="s">
        <v>140</v>
      </c>
      <c r="J736">
        <v>1</v>
      </c>
      <c r="K736" t="s">
        <v>720</v>
      </c>
      <c r="L736" t="s">
        <v>385</v>
      </c>
      <c r="M736">
        <v>0</v>
      </c>
      <c r="N736" s="3" t="s">
        <v>238</v>
      </c>
      <c r="O736" s="3"/>
    </row>
    <row r="737" spans="1:15">
      <c r="A737" t="s">
        <v>1461</v>
      </c>
      <c r="B737" t="s">
        <v>535</v>
      </c>
      <c r="C737">
        <v>695286</v>
      </c>
      <c r="D737" s="16">
        <v>695.28599999999994</v>
      </c>
      <c r="E737" t="s">
        <v>724</v>
      </c>
      <c r="F737" s="16">
        <v>-2.7</v>
      </c>
      <c r="G737" s="16">
        <v>2.7</v>
      </c>
      <c r="H737" s="16">
        <v>2.7</v>
      </c>
      <c r="I737" t="s">
        <v>125</v>
      </c>
      <c r="J737">
        <v>1</v>
      </c>
      <c r="K737" t="s">
        <v>725</v>
      </c>
      <c r="L737" t="s">
        <v>385</v>
      </c>
      <c r="M737">
        <v>0</v>
      </c>
      <c r="N737" s="3" t="s">
        <v>238</v>
      </c>
      <c r="O737" s="3"/>
    </row>
    <row r="738" spans="1:15">
      <c r="A738" t="s">
        <v>1462</v>
      </c>
      <c r="B738" t="s">
        <v>535</v>
      </c>
      <c r="C738">
        <v>695286</v>
      </c>
      <c r="D738" s="16">
        <v>695.28599999999994</v>
      </c>
      <c r="E738" t="s">
        <v>727</v>
      </c>
      <c r="F738" s="16">
        <v>1</v>
      </c>
      <c r="G738" s="16">
        <v>1</v>
      </c>
      <c r="H738" s="16">
        <v>1</v>
      </c>
      <c r="I738" t="s">
        <v>728</v>
      </c>
      <c r="J738">
        <v>1</v>
      </c>
      <c r="K738" t="s">
        <v>720</v>
      </c>
      <c r="L738" t="s">
        <v>385</v>
      </c>
      <c r="M738">
        <v>0</v>
      </c>
      <c r="N738" s="3" t="s">
        <v>238</v>
      </c>
      <c r="O738" s="3"/>
    </row>
    <row r="739" spans="1:15">
      <c r="A739" t="s">
        <v>1463</v>
      </c>
      <c r="B739" t="s">
        <v>535</v>
      </c>
      <c r="C739">
        <v>695286</v>
      </c>
      <c r="D739" s="16">
        <v>695.28599999999994</v>
      </c>
      <c r="E739" t="s">
        <v>730</v>
      </c>
      <c r="F739" s="16">
        <v>0</v>
      </c>
      <c r="G739" s="16">
        <v>0</v>
      </c>
      <c r="H739" s="16">
        <v>0</v>
      </c>
      <c r="I739" t="s">
        <v>107</v>
      </c>
      <c r="J739">
        <v>1</v>
      </c>
      <c r="K739" t="s">
        <v>720</v>
      </c>
      <c r="L739" t="s">
        <v>385</v>
      </c>
      <c r="M739">
        <v>0</v>
      </c>
      <c r="N739" s="3" t="s">
        <v>238</v>
      </c>
      <c r="O739" s="3"/>
    </row>
    <row r="740" spans="1:15">
      <c r="A740" t="s">
        <v>1464</v>
      </c>
      <c r="B740" t="s">
        <v>536</v>
      </c>
      <c r="C740">
        <v>700303</v>
      </c>
      <c r="D740" s="16">
        <v>700.303</v>
      </c>
      <c r="E740" t="s">
        <v>719</v>
      </c>
      <c r="F740" s="16">
        <v>27.4</v>
      </c>
      <c r="G740" s="16">
        <v>27.4</v>
      </c>
      <c r="H740" s="16">
        <v>27.4</v>
      </c>
      <c r="I740" t="s">
        <v>98</v>
      </c>
      <c r="J740">
        <v>1</v>
      </c>
      <c r="K740" t="s">
        <v>720</v>
      </c>
      <c r="L740" t="s">
        <v>385</v>
      </c>
      <c r="M740">
        <v>0</v>
      </c>
      <c r="N740" s="3" t="s">
        <v>238</v>
      </c>
      <c r="O740" s="3"/>
    </row>
    <row r="741" spans="1:15">
      <c r="A741" t="s">
        <v>1465</v>
      </c>
      <c r="B741" t="s">
        <v>536</v>
      </c>
      <c r="C741">
        <v>700303</v>
      </c>
      <c r="D741" s="16">
        <v>700.303</v>
      </c>
      <c r="E741" t="s">
        <v>722</v>
      </c>
      <c r="F741" s="16">
        <v>80.8</v>
      </c>
      <c r="G741" s="16">
        <v>80.8</v>
      </c>
      <c r="H741" s="16">
        <v>80.8</v>
      </c>
      <c r="I741" t="s">
        <v>140</v>
      </c>
      <c r="J741">
        <v>1</v>
      </c>
      <c r="K741" t="s">
        <v>720</v>
      </c>
      <c r="L741" t="s">
        <v>385</v>
      </c>
      <c r="M741">
        <v>0</v>
      </c>
      <c r="N741" s="3" t="s">
        <v>238</v>
      </c>
      <c r="O741" s="3"/>
    </row>
    <row r="742" spans="1:15">
      <c r="A742" t="s">
        <v>1466</v>
      </c>
      <c r="B742" t="s">
        <v>536</v>
      </c>
      <c r="C742">
        <v>700303</v>
      </c>
      <c r="D742" s="16">
        <v>700.303</v>
      </c>
      <c r="E742" t="s">
        <v>724</v>
      </c>
      <c r="F742" s="16">
        <v>-2.5</v>
      </c>
      <c r="G742" s="16">
        <v>2.5</v>
      </c>
      <c r="H742" s="16">
        <v>2.5</v>
      </c>
      <c r="I742" t="s">
        <v>125</v>
      </c>
      <c r="J742">
        <v>1</v>
      </c>
      <c r="K742" t="s">
        <v>725</v>
      </c>
      <c r="L742" t="s">
        <v>385</v>
      </c>
      <c r="M742">
        <v>0</v>
      </c>
      <c r="N742" s="3" t="s">
        <v>238</v>
      </c>
      <c r="O742" s="3"/>
    </row>
    <row r="743" spans="1:15">
      <c r="A743" t="s">
        <v>1467</v>
      </c>
      <c r="B743" t="s">
        <v>536</v>
      </c>
      <c r="C743">
        <v>700303</v>
      </c>
      <c r="D743" s="16">
        <v>700.303</v>
      </c>
      <c r="E743" t="s">
        <v>727</v>
      </c>
      <c r="F743" s="16">
        <v>1</v>
      </c>
      <c r="G743" s="16">
        <v>1</v>
      </c>
      <c r="H743" s="16">
        <v>1</v>
      </c>
      <c r="I743" t="s">
        <v>728</v>
      </c>
      <c r="J743">
        <v>1</v>
      </c>
      <c r="K743" t="s">
        <v>720</v>
      </c>
      <c r="L743" t="s">
        <v>385</v>
      </c>
      <c r="M743">
        <v>0</v>
      </c>
      <c r="N743" s="3" t="s">
        <v>238</v>
      </c>
      <c r="O743" s="3"/>
    </row>
    <row r="744" spans="1:15">
      <c r="A744" t="s">
        <v>1468</v>
      </c>
      <c r="B744" t="s">
        <v>536</v>
      </c>
      <c r="C744">
        <v>700303</v>
      </c>
      <c r="D744" s="16">
        <v>700.303</v>
      </c>
      <c r="E744" t="s">
        <v>730</v>
      </c>
      <c r="F744" s="16">
        <v>0</v>
      </c>
      <c r="G744" s="16">
        <v>0</v>
      </c>
      <c r="H744" s="16">
        <v>0</v>
      </c>
      <c r="I744" t="s">
        <v>107</v>
      </c>
      <c r="J744">
        <v>1</v>
      </c>
      <c r="K744" t="s">
        <v>720</v>
      </c>
      <c r="L744" t="s">
        <v>385</v>
      </c>
      <c r="M744">
        <v>0</v>
      </c>
      <c r="N744" s="3" t="s">
        <v>238</v>
      </c>
      <c r="O744" s="3"/>
    </row>
    <row r="745" spans="1:15">
      <c r="A745" t="s">
        <v>1469</v>
      </c>
      <c r="B745" t="s">
        <v>537</v>
      </c>
      <c r="C745">
        <v>705320</v>
      </c>
      <c r="D745" s="16">
        <v>705.32</v>
      </c>
      <c r="E745" t="s">
        <v>719</v>
      </c>
      <c r="F745" s="16">
        <v>27.4</v>
      </c>
      <c r="G745" s="16">
        <v>27.4</v>
      </c>
      <c r="H745" s="16">
        <v>27.4</v>
      </c>
      <c r="I745" t="s">
        <v>98</v>
      </c>
      <c r="J745">
        <v>1</v>
      </c>
      <c r="K745" t="s">
        <v>720</v>
      </c>
      <c r="L745" t="s">
        <v>385</v>
      </c>
      <c r="M745">
        <v>0</v>
      </c>
      <c r="N745" s="3" t="s">
        <v>238</v>
      </c>
      <c r="O745" s="3"/>
    </row>
    <row r="746" spans="1:15">
      <c r="A746" t="s">
        <v>1470</v>
      </c>
      <c r="B746" t="s">
        <v>537</v>
      </c>
      <c r="C746">
        <v>705320</v>
      </c>
      <c r="D746" s="16">
        <v>705.32</v>
      </c>
      <c r="E746" t="s">
        <v>722</v>
      </c>
      <c r="F746" s="16">
        <v>80.8</v>
      </c>
      <c r="G746" s="16">
        <v>80.8</v>
      </c>
      <c r="H746" s="16">
        <v>80.8</v>
      </c>
      <c r="I746" t="s">
        <v>140</v>
      </c>
      <c r="J746">
        <v>1</v>
      </c>
      <c r="K746" t="s">
        <v>720</v>
      </c>
      <c r="L746" t="s">
        <v>385</v>
      </c>
      <c r="M746">
        <v>0</v>
      </c>
      <c r="N746" s="3" t="s">
        <v>238</v>
      </c>
      <c r="O746" s="3"/>
    </row>
    <row r="747" spans="1:15">
      <c r="A747" t="s">
        <v>1471</v>
      </c>
      <c r="B747" t="s">
        <v>537</v>
      </c>
      <c r="C747">
        <v>705320</v>
      </c>
      <c r="D747" s="16">
        <v>705.32</v>
      </c>
      <c r="E747" t="s">
        <v>724</v>
      </c>
      <c r="F747" s="16">
        <v>-2.6</v>
      </c>
      <c r="G747" s="16">
        <v>2.6</v>
      </c>
      <c r="H747" s="16">
        <v>2.6</v>
      </c>
      <c r="I747" t="s">
        <v>125</v>
      </c>
      <c r="J747">
        <v>1</v>
      </c>
      <c r="K747" t="s">
        <v>725</v>
      </c>
      <c r="L747" t="s">
        <v>385</v>
      </c>
      <c r="M747">
        <v>0</v>
      </c>
      <c r="N747" s="3" t="s">
        <v>238</v>
      </c>
      <c r="O747" s="3"/>
    </row>
    <row r="748" spans="1:15">
      <c r="A748" t="s">
        <v>1472</v>
      </c>
      <c r="B748" t="s">
        <v>537</v>
      </c>
      <c r="C748">
        <v>705320</v>
      </c>
      <c r="D748" s="16">
        <v>705.32</v>
      </c>
      <c r="E748" t="s">
        <v>727</v>
      </c>
      <c r="F748" s="16">
        <v>1</v>
      </c>
      <c r="G748" s="16">
        <v>1</v>
      </c>
      <c r="H748" s="16">
        <v>1</v>
      </c>
      <c r="I748" t="s">
        <v>728</v>
      </c>
      <c r="J748">
        <v>1</v>
      </c>
      <c r="K748" t="s">
        <v>720</v>
      </c>
      <c r="L748" t="s">
        <v>385</v>
      </c>
      <c r="M748">
        <v>0</v>
      </c>
      <c r="N748" s="3" t="s">
        <v>238</v>
      </c>
      <c r="O748" s="3"/>
    </row>
    <row r="749" spans="1:15">
      <c r="A749" t="s">
        <v>1473</v>
      </c>
      <c r="B749" t="s">
        <v>537</v>
      </c>
      <c r="C749">
        <v>705320</v>
      </c>
      <c r="D749" s="16">
        <v>705.32</v>
      </c>
      <c r="E749" t="s">
        <v>730</v>
      </c>
      <c r="F749" s="16">
        <v>0</v>
      </c>
      <c r="G749" s="16">
        <v>0</v>
      </c>
      <c r="H749" s="16">
        <v>0</v>
      </c>
      <c r="I749" t="s">
        <v>107</v>
      </c>
      <c r="J749">
        <v>1</v>
      </c>
      <c r="K749" t="s">
        <v>720</v>
      </c>
      <c r="L749" t="s">
        <v>385</v>
      </c>
      <c r="M749">
        <v>0</v>
      </c>
      <c r="N749" s="3" t="s">
        <v>238</v>
      </c>
      <c r="O749" s="3"/>
    </row>
    <row r="750" spans="1:15">
      <c r="A750" t="s">
        <v>1474</v>
      </c>
      <c r="B750" t="s">
        <v>538</v>
      </c>
      <c r="C750">
        <v>710338</v>
      </c>
      <c r="D750" s="16">
        <v>710.33799999999997</v>
      </c>
      <c r="E750" t="s">
        <v>719</v>
      </c>
      <c r="F750" s="16">
        <v>27.4</v>
      </c>
      <c r="G750" s="16">
        <v>27.4</v>
      </c>
      <c r="H750" s="16">
        <v>27.4</v>
      </c>
      <c r="I750" t="s">
        <v>98</v>
      </c>
      <c r="J750">
        <v>1</v>
      </c>
      <c r="K750" t="s">
        <v>720</v>
      </c>
      <c r="L750" t="s">
        <v>385</v>
      </c>
      <c r="M750">
        <v>0</v>
      </c>
      <c r="N750" s="3" t="s">
        <v>238</v>
      </c>
      <c r="O750" s="3"/>
    </row>
    <row r="751" spans="1:15">
      <c r="A751" t="s">
        <v>1475</v>
      </c>
      <c r="B751" t="s">
        <v>538</v>
      </c>
      <c r="C751">
        <v>710338</v>
      </c>
      <c r="D751" s="16">
        <v>710.33799999999997</v>
      </c>
      <c r="E751" t="s">
        <v>722</v>
      </c>
      <c r="F751" s="16">
        <v>80.5</v>
      </c>
      <c r="G751" s="16">
        <v>80.5</v>
      </c>
      <c r="H751" s="16">
        <v>80.5</v>
      </c>
      <c r="I751" t="s">
        <v>140</v>
      </c>
      <c r="J751">
        <v>1</v>
      </c>
      <c r="K751" t="s">
        <v>720</v>
      </c>
      <c r="L751" t="s">
        <v>385</v>
      </c>
      <c r="M751">
        <v>0</v>
      </c>
      <c r="N751" s="3" t="s">
        <v>238</v>
      </c>
      <c r="O751" s="3"/>
    </row>
    <row r="752" spans="1:15">
      <c r="A752" t="s">
        <v>1476</v>
      </c>
      <c r="B752" t="s">
        <v>538</v>
      </c>
      <c r="C752">
        <v>710338</v>
      </c>
      <c r="D752" s="16">
        <v>710.33799999999997</v>
      </c>
      <c r="E752" t="s">
        <v>724</v>
      </c>
      <c r="F752" s="16">
        <v>-2.6</v>
      </c>
      <c r="G752" s="16">
        <v>2.6</v>
      </c>
      <c r="H752" s="16">
        <v>2.6</v>
      </c>
      <c r="I752" t="s">
        <v>125</v>
      </c>
      <c r="J752">
        <v>1</v>
      </c>
      <c r="K752" t="s">
        <v>725</v>
      </c>
      <c r="L752" t="s">
        <v>385</v>
      </c>
      <c r="M752">
        <v>0</v>
      </c>
      <c r="N752" s="3" t="s">
        <v>238</v>
      </c>
      <c r="O752" s="3"/>
    </row>
    <row r="753" spans="1:15">
      <c r="A753" t="s">
        <v>1477</v>
      </c>
      <c r="B753" t="s">
        <v>538</v>
      </c>
      <c r="C753">
        <v>710338</v>
      </c>
      <c r="D753" s="16">
        <v>710.33799999999997</v>
      </c>
      <c r="E753" t="s">
        <v>727</v>
      </c>
      <c r="F753" s="16">
        <v>1</v>
      </c>
      <c r="G753" s="16">
        <v>1</v>
      </c>
      <c r="H753" s="16">
        <v>1</v>
      </c>
      <c r="I753" t="s">
        <v>728</v>
      </c>
      <c r="J753">
        <v>1</v>
      </c>
      <c r="K753" t="s">
        <v>720</v>
      </c>
      <c r="L753" t="s">
        <v>385</v>
      </c>
      <c r="M753">
        <v>0</v>
      </c>
      <c r="N753" s="3" t="s">
        <v>238</v>
      </c>
      <c r="O753" s="3"/>
    </row>
    <row r="754" spans="1:15">
      <c r="A754" t="s">
        <v>1478</v>
      </c>
      <c r="B754" t="s">
        <v>538</v>
      </c>
      <c r="C754">
        <v>710338</v>
      </c>
      <c r="D754" s="16">
        <v>710.33799999999997</v>
      </c>
      <c r="E754" t="s">
        <v>730</v>
      </c>
      <c r="F754" s="16">
        <v>0</v>
      </c>
      <c r="G754" s="16">
        <v>0</v>
      </c>
      <c r="H754" s="16">
        <v>0</v>
      </c>
      <c r="I754" t="s">
        <v>107</v>
      </c>
      <c r="J754">
        <v>1</v>
      </c>
      <c r="K754" t="s">
        <v>720</v>
      </c>
      <c r="L754" t="s">
        <v>385</v>
      </c>
      <c r="M754">
        <v>0</v>
      </c>
      <c r="N754" s="3" t="s">
        <v>238</v>
      </c>
      <c r="O754" s="3"/>
    </row>
    <row r="755" spans="1:15">
      <c r="A755" t="s">
        <v>1479</v>
      </c>
      <c r="B755" t="s">
        <v>539</v>
      </c>
      <c r="C755">
        <v>715357</v>
      </c>
      <c r="D755" s="16">
        <v>715.35699999999997</v>
      </c>
      <c r="E755" t="s">
        <v>719</v>
      </c>
      <c r="F755" s="16">
        <v>27.4</v>
      </c>
      <c r="G755" s="16">
        <v>27.4</v>
      </c>
      <c r="H755" s="16">
        <v>27.4</v>
      </c>
      <c r="I755" t="s">
        <v>98</v>
      </c>
      <c r="J755">
        <v>1</v>
      </c>
      <c r="K755" t="s">
        <v>720</v>
      </c>
      <c r="L755" t="s">
        <v>385</v>
      </c>
      <c r="M755">
        <v>0</v>
      </c>
      <c r="N755" s="3" t="s">
        <v>238</v>
      </c>
      <c r="O755" s="3"/>
    </row>
    <row r="756" spans="1:15">
      <c r="A756" t="s">
        <v>1480</v>
      </c>
      <c r="B756" t="s">
        <v>539</v>
      </c>
      <c r="C756">
        <v>715357</v>
      </c>
      <c r="D756" s="16">
        <v>715.35699999999997</v>
      </c>
      <c r="E756" t="s">
        <v>722</v>
      </c>
      <c r="F756" s="16">
        <v>80.599999999999994</v>
      </c>
      <c r="G756" s="16">
        <v>80.599999999999994</v>
      </c>
      <c r="H756" s="16">
        <v>80.599999999999994</v>
      </c>
      <c r="I756" t="s">
        <v>140</v>
      </c>
      <c r="J756">
        <v>1</v>
      </c>
      <c r="K756" t="s">
        <v>720</v>
      </c>
      <c r="L756" t="s">
        <v>385</v>
      </c>
      <c r="M756">
        <v>0</v>
      </c>
      <c r="N756" s="3" t="s">
        <v>238</v>
      </c>
      <c r="O756" s="3"/>
    </row>
    <row r="757" spans="1:15">
      <c r="A757" t="s">
        <v>1481</v>
      </c>
      <c r="B757" t="s">
        <v>539</v>
      </c>
      <c r="C757">
        <v>715357</v>
      </c>
      <c r="D757" s="16">
        <v>715.35699999999997</v>
      </c>
      <c r="E757" t="s">
        <v>724</v>
      </c>
      <c r="F757" s="16">
        <v>-2.6</v>
      </c>
      <c r="G757" s="16">
        <v>2.6</v>
      </c>
      <c r="H757" s="16">
        <v>2.6</v>
      </c>
      <c r="I757" t="s">
        <v>125</v>
      </c>
      <c r="J757">
        <v>1</v>
      </c>
      <c r="K757" t="s">
        <v>725</v>
      </c>
      <c r="L757" t="s">
        <v>385</v>
      </c>
      <c r="M757">
        <v>0</v>
      </c>
      <c r="N757" s="3" t="s">
        <v>238</v>
      </c>
      <c r="O757" s="3"/>
    </row>
    <row r="758" spans="1:15">
      <c r="A758" t="s">
        <v>1482</v>
      </c>
      <c r="B758" t="s">
        <v>539</v>
      </c>
      <c r="C758">
        <v>715357</v>
      </c>
      <c r="D758" s="16">
        <v>715.35699999999997</v>
      </c>
      <c r="E758" t="s">
        <v>727</v>
      </c>
      <c r="F758" s="16">
        <v>1</v>
      </c>
      <c r="G758" s="16">
        <v>1</v>
      </c>
      <c r="H758" s="16">
        <v>1</v>
      </c>
      <c r="I758" t="s">
        <v>728</v>
      </c>
      <c r="J758">
        <v>1</v>
      </c>
      <c r="K758" t="s">
        <v>720</v>
      </c>
      <c r="L758" t="s">
        <v>385</v>
      </c>
      <c r="M758">
        <v>0</v>
      </c>
      <c r="N758" s="3" t="s">
        <v>238</v>
      </c>
      <c r="O758" s="3"/>
    </row>
    <row r="759" spans="1:15">
      <c r="A759" t="s">
        <v>1483</v>
      </c>
      <c r="B759" t="s">
        <v>539</v>
      </c>
      <c r="C759">
        <v>715357</v>
      </c>
      <c r="D759" s="16">
        <v>715.35699999999997</v>
      </c>
      <c r="E759" t="s">
        <v>730</v>
      </c>
      <c r="F759" s="16">
        <v>0</v>
      </c>
      <c r="G759" s="16">
        <v>0</v>
      </c>
      <c r="H759" s="16">
        <v>0</v>
      </c>
      <c r="I759" t="s">
        <v>107</v>
      </c>
      <c r="J759">
        <v>1</v>
      </c>
      <c r="K759" t="s">
        <v>720</v>
      </c>
      <c r="L759" t="s">
        <v>385</v>
      </c>
      <c r="M759">
        <v>0</v>
      </c>
      <c r="N759" s="3" t="s">
        <v>238</v>
      </c>
      <c r="O759" s="3"/>
    </row>
    <row r="760" spans="1:15">
      <c r="A760" t="s">
        <v>1484</v>
      </c>
      <c r="B760" t="s">
        <v>540</v>
      </c>
      <c r="C760">
        <v>720373</v>
      </c>
      <c r="D760" s="16">
        <v>720.37300000000005</v>
      </c>
      <c r="E760" t="s">
        <v>719</v>
      </c>
      <c r="F760" s="16">
        <v>27.4</v>
      </c>
      <c r="G760" s="16">
        <v>27.4</v>
      </c>
      <c r="H760" s="16">
        <v>27.4</v>
      </c>
      <c r="I760" t="s">
        <v>98</v>
      </c>
      <c r="J760">
        <v>1</v>
      </c>
      <c r="K760" t="s">
        <v>720</v>
      </c>
      <c r="L760" t="s">
        <v>385</v>
      </c>
      <c r="M760">
        <v>0</v>
      </c>
      <c r="N760" s="3" t="s">
        <v>238</v>
      </c>
      <c r="O760" s="3"/>
    </row>
    <row r="761" spans="1:15">
      <c r="A761" t="s">
        <v>1485</v>
      </c>
      <c r="B761" t="s">
        <v>540</v>
      </c>
      <c r="C761">
        <v>720373</v>
      </c>
      <c r="D761" s="16">
        <v>720.37300000000005</v>
      </c>
      <c r="E761" t="s">
        <v>722</v>
      </c>
      <c r="F761" s="16">
        <v>80.5</v>
      </c>
      <c r="G761" s="16">
        <v>80.5</v>
      </c>
      <c r="H761" s="16">
        <v>80.5</v>
      </c>
      <c r="I761" t="s">
        <v>140</v>
      </c>
      <c r="J761">
        <v>1</v>
      </c>
      <c r="K761" t="s">
        <v>720</v>
      </c>
      <c r="L761" t="s">
        <v>385</v>
      </c>
      <c r="M761">
        <v>0</v>
      </c>
      <c r="N761" s="3" t="s">
        <v>238</v>
      </c>
      <c r="O761" s="3"/>
    </row>
    <row r="762" spans="1:15">
      <c r="A762" t="s">
        <v>1486</v>
      </c>
      <c r="B762" t="s">
        <v>540</v>
      </c>
      <c r="C762">
        <v>720373</v>
      </c>
      <c r="D762" s="16">
        <v>720.37300000000005</v>
      </c>
      <c r="E762" t="s">
        <v>724</v>
      </c>
      <c r="F762" s="16">
        <v>-2.5</v>
      </c>
      <c r="G762" s="16">
        <v>2.5</v>
      </c>
      <c r="H762" s="16">
        <v>2.5</v>
      </c>
      <c r="I762" t="s">
        <v>125</v>
      </c>
      <c r="J762">
        <v>1</v>
      </c>
      <c r="K762" t="s">
        <v>725</v>
      </c>
      <c r="L762" t="s">
        <v>385</v>
      </c>
      <c r="M762">
        <v>0</v>
      </c>
      <c r="N762" s="3" t="s">
        <v>238</v>
      </c>
      <c r="O762" s="3"/>
    </row>
    <row r="763" spans="1:15">
      <c r="A763" t="s">
        <v>1487</v>
      </c>
      <c r="B763" t="s">
        <v>540</v>
      </c>
      <c r="C763">
        <v>720373</v>
      </c>
      <c r="D763" s="16">
        <v>720.37300000000005</v>
      </c>
      <c r="E763" t="s">
        <v>727</v>
      </c>
      <c r="F763" s="16">
        <v>1</v>
      </c>
      <c r="G763" s="16">
        <v>1</v>
      </c>
      <c r="H763" s="16">
        <v>1</v>
      </c>
      <c r="I763" t="s">
        <v>728</v>
      </c>
      <c r="J763">
        <v>1</v>
      </c>
      <c r="K763" t="s">
        <v>720</v>
      </c>
      <c r="L763" t="s">
        <v>385</v>
      </c>
      <c r="M763">
        <v>0</v>
      </c>
      <c r="N763" s="3" t="s">
        <v>238</v>
      </c>
      <c r="O763" s="3"/>
    </row>
    <row r="764" spans="1:15">
      <c r="A764" t="s">
        <v>1488</v>
      </c>
      <c r="B764" t="s">
        <v>540</v>
      </c>
      <c r="C764">
        <v>720373</v>
      </c>
      <c r="D764" s="16">
        <v>720.37300000000005</v>
      </c>
      <c r="E764" t="s">
        <v>730</v>
      </c>
      <c r="F764" s="16">
        <v>0</v>
      </c>
      <c r="G764" s="16">
        <v>0</v>
      </c>
      <c r="H764" s="16">
        <v>0</v>
      </c>
      <c r="I764" t="s">
        <v>107</v>
      </c>
      <c r="J764">
        <v>1</v>
      </c>
      <c r="K764" t="s">
        <v>720</v>
      </c>
      <c r="L764" t="s">
        <v>385</v>
      </c>
      <c r="M764">
        <v>0</v>
      </c>
      <c r="N764" s="3" t="s">
        <v>238</v>
      </c>
      <c r="O764" s="3"/>
    </row>
    <row r="765" spans="1:15">
      <c r="A765" t="s">
        <v>1489</v>
      </c>
      <c r="B765" t="s">
        <v>541</v>
      </c>
      <c r="C765">
        <v>725392</v>
      </c>
      <c r="D765" s="16">
        <v>725.39200000000005</v>
      </c>
      <c r="E765" t="s">
        <v>719</v>
      </c>
      <c r="F765" s="16">
        <v>27.4</v>
      </c>
      <c r="G765" s="16">
        <v>27.4</v>
      </c>
      <c r="H765" s="16">
        <v>27.4</v>
      </c>
      <c r="I765" t="s">
        <v>98</v>
      </c>
      <c r="J765">
        <v>1</v>
      </c>
      <c r="K765" t="s">
        <v>720</v>
      </c>
      <c r="L765" t="s">
        <v>385</v>
      </c>
      <c r="M765">
        <v>0</v>
      </c>
      <c r="N765" s="3" t="s">
        <v>238</v>
      </c>
      <c r="O765" s="3"/>
    </row>
    <row r="766" spans="1:15">
      <c r="A766" t="s">
        <v>1490</v>
      </c>
      <c r="B766" t="s">
        <v>541</v>
      </c>
      <c r="C766">
        <v>725392</v>
      </c>
      <c r="D766" s="16">
        <v>725.39200000000005</v>
      </c>
      <c r="E766" t="s">
        <v>722</v>
      </c>
      <c r="F766" s="16">
        <v>80.7</v>
      </c>
      <c r="G766" s="16">
        <v>80.7</v>
      </c>
      <c r="H766" s="16">
        <v>80.7</v>
      </c>
      <c r="I766" t="s">
        <v>140</v>
      </c>
      <c r="J766">
        <v>1</v>
      </c>
      <c r="K766" t="s">
        <v>720</v>
      </c>
      <c r="L766" t="s">
        <v>385</v>
      </c>
      <c r="M766">
        <v>0</v>
      </c>
      <c r="N766" s="3" t="s">
        <v>238</v>
      </c>
      <c r="O766" s="3"/>
    </row>
    <row r="767" spans="1:15">
      <c r="A767" t="s">
        <v>1491</v>
      </c>
      <c r="B767" t="s">
        <v>541</v>
      </c>
      <c r="C767">
        <v>725392</v>
      </c>
      <c r="D767" s="16">
        <v>725.39200000000005</v>
      </c>
      <c r="E767" t="s">
        <v>724</v>
      </c>
      <c r="F767" s="16">
        <v>-2.5</v>
      </c>
      <c r="G767" s="16">
        <v>2.5</v>
      </c>
      <c r="H767" s="16">
        <v>2.5</v>
      </c>
      <c r="I767" t="s">
        <v>125</v>
      </c>
      <c r="J767">
        <v>1</v>
      </c>
      <c r="K767" t="s">
        <v>725</v>
      </c>
      <c r="L767" t="s">
        <v>385</v>
      </c>
      <c r="M767">
        <v>0</v>
      </c>
      <c r="N767" s="3" t="s">
        <v>238</v>
      </c>
      <c r="O767" s="3"/>
    </row>
    <row r="768" spans="1:15">
      <c r="A768" t="s">
        <v>1492</v>
      </c>
      <c r="B768" t="s">
        <v>541</v>
      </c>
      <c r="C768">
        <v>725392</v>
      </c>
      <c r="D768" s="16">
        <v>725.39200000000005</v>
      </c>
      <c r="E768" t="s">
        <v>727</v>
      </c>
      <c r="F768" s="16">
        <v>1</v>
      </c>
      <c r="G768" s="16">
        <v>1</v>
      </c>
      <c r="H768" s="16">
        <v>1</v>
      </c>
      <c r="I768" t="s">
        <v>728</v>
      </c>
      <c r="J768">
        <v>1</v>
      </c>
      <c r="K768" t="s">
        <v>720</v>
      </c>
      <c r="L768" t="s">
        <v>385</v>
      </c>
      <c r="M768">
        <v>0</v>
      </c>
      <c r="N768" s="3" t="s">
        <v>238</v>
      </c>
      <c r="O768" s="3"/>
    </row>
    <row r="769" spans="1:15">
      <c r="A769" t="s">
        <v>1493</v>
      </c>
      <c r="B769" t="s">
        <v>541</v>
      </c>
      <c r="C769">
        <v>725392</v>
      </c>
      <c r="D769" s="16">
        <v>725.39200000000005</v>
      </c>
      <c r="E769" t="s">
        <v>730</v>
      </c>
      <c r="F769" s="16">
        <v>0</v>
      </c>
      <c r="G769" s="16">
        <v>0</v>
      </c>
      <c r="H769" s="16">
        <v>0</v>
      </c>
      <c r="I769" t="s">
        <v>107</v>
      </c>
      <c r="J769">
        <v>1</v>
      </c>
      <c r="K769" t="s">
        <v>720</v>
      </c>
      <c r="L769" t="s">
        <v>385</v>
      </c>
      <c r="M769">
        <v>0</v>
      </c>
      <c r="N769" s="3" t="s">
        <v>238</v>
      </c>
      <c r="O769" s="3"/>
    </row>
    <row r="770" spans="1:15">
      <c r="A770" t="s">
        <v>1494</v>
      </c>
      <c r="B770" t="s">
        <v>542</v>
      </c>
      <c r="C770">
        <v>730408</v>
      </c>
      <c r="D770" s="16">
        <v>730.40800000000002</v>
      </c>
      <c r="E770" t="s">
        <v>719</v>
      </c>
      <c r="F770" s="16">
        <v>27.4</v>
      </c>
      <c r="G770" s="16">
        <v>27.4</v>
      </c>
      <c r="H770" s="16">
        <v>27.4</v>
      </c>
      <c r="I770" t="s">
        <v>98</v>
      </c>
      <c r="J770">
        <v>1</v>
      </c>
      <c r="K770" t="s">
        <v>720</v>
      </c>
      <c r="L770" t="s">
        <v>385</v>
      </c>
      <c r="M770">
        <v>0</v>
      </c>
      <c r="N770" s="3" t="s">
        <v>238</v>
      </c>
      <c r="O770" s="3"/>
    </row>
    <row r="771" spans="1:15">
      <c r="A771" t="s">
        <v>1495</v>
      </c>
      <c r="B771" t="s">
        <v>542</v>
      </c>
      <c r="C771">
        <v>730408</v>
      </c>
      <c r="D771" s="16">
        <v>730.40800000000002</v>
      </c>
      <c r="E771" t="s">
        <v>722</v>
      </c>
      <c r="F771" s="16">
        <v>80.599999999999994</v>
      </c>
      <c r="G771" s="16">
        <v>80.599999999999994</v>
      </c>
      <c r="H771" s="16">
        <v>80.599999999999994</v>
      </c>
      <c r="I771" t="s">
        <v>140</v>
      </c>
      <c r="J771">
        <v>1</v>
      </c>
      <c r="K771" t="s">
        <v>720</v>
      </c>
      <c r="L771" t="s">
        <v>385</v>
      </c>
      <c r="M771">
        <v>0</v>
      </c>
      <c r="N771" s="3" t="s">
        <v>238</v>
      </c>
      <c r="O771" s="3"/>
    </row>
    <row r="772" spans="1:15">
      <c r="A772" t="s">
        <v>1496</v>
      </c>
      <c r="B772" t="s">
        <v>542</v>
      </c>
      <c r="C772">
        <v>730408</v>
      </c>
      <c r="D772" s="16">
        <v>730.40800000000002</v>
      </c>
      <c r="E772" t="s">
        <v>724</v>
      </c>
      <c r="F772" s="16">
        <v>-2.5</v>
      </c>
      <c r="G772" s="16">
        <v>2.5</v>
      </c>
      <c r="H772" s="16">
        <v>2.5</v>
      </c>
      <c r="I772" t="s">
        <v>125</v>
      </c>
      <c r="J772">
        <v>1</v>
      </c>
      <c r="K772" t="s">
        <v>725</v>
      </c>
      <c r="L772" t="s">
        <v>385</v>
      </c>
      <c r="M772">
        <v>0</v>
      </c>
      <c r="N772" s="3" t="s">
        <v>238</v>
      </c>
      <c r="O772" s="3"/>
    </row>
    <row r="773" spans="1:15">
      <c r="A773" t="s">
        <v>1497</v>
      </c>
      <c r="B773" t="s">
        <v>542</v>
      </c>
      <c r="C773">
        <v>730408</v>
      </c>
      <c r="D773" s="16">
        <v>730.40800000000002</v>
      </c>
      <c r="E773" t="s">
        <v>727</v>
      </c>
      <c r="F773" s="16">
        <v>1</v>
      </c>
      <c r="G773" s="16">
        <v>1</v>
      </c>
      <c r="H773" s="16">
        <v>1</v>
      </c>
      <c r="I773" t="s">
        <v>728</v>
      </c>
      <c r="J773">
        <v>1</v>
      </c>
      <c r="K773" t="s">
        <v>720</v>
      </c>
      <c r="L773" t="s">
        <v>385</v>
      </c>
      <c r="M773">
        <v>0</v>
      </c>
      <c r="N773" s="3" t="s">
        <v>238</v>
      </c>
      <c r="O773" s="3"/>
    </row>
    <row r="774" spans="1:15">
      <c r="A774" t="s">
        <v>1498</v>
      </c>
      <c r="B774" t="s">
        <v>542</v>
      </c>
      <c r="C774">
        <v>730408</v>
      </c>
      <c r="D774" s="16">
        <v>730.40800000000002</v>
      </c>
      <c r="E774" t="s">
        <v>730</v>
      </c>
      <c r="F774" s="16">
        <v>0</v>
      </c>
      <c r="G774" s="16">
        <v>0</v>
      </c>
      <c r="H774" s="16">
        <v>0</v>
      </c>
      <c r="I774" t="s">
        <v>107</v>
      </c>
      <c r="J774">
        <v>1</v>
      </c>
      <c r="K774" t="s">
        <v>720</v>
      </c>
      <c r="L774" t="s">
        <v>385</v>
      </c>
      <c r="M774">
        <v>0</v>
      </c>
      <c r="N774" s="3" t="s">
        <v>238</v>
      </c>
      <c r="O774" s="3"/>
    </row>
    <row r="775" spans="1:15">
      <c r="A775" t="s">
        <v>1499</v>
      </c>
      <c r="B775" t="s">
        <v>543</v>
      </c>
      <c r="C775">
        <v>735427</v>
      </c>
      <c r="D775" s="16">
        <v>735.42700000000002</v>
      </c>
      <c r="E775" t="s">
        <v>719</v>
      </c>
      <c r="F775" s="16">
        <v>27.4</v>
      </c>
      <c r="G775" s="16">
        <v>27.4</v>
      </c>
      <c r="H775" s="16">
        <v>27.4</v>
      </c>
      <c r="I775" t="s">
        <v>98</v>
      </c>
      <c r="J775">
        <v>1</v>
      </c>
      <c r="K775" t="s">
        <v>720</v>
      </c>
      <c r="L775" t="s">
        <v>385</v>
      </c>
      <c r="M775">
        <v>0</v>
      </c>
      <c r="N775" s="3" t="s">
        <v>238</v>
      </c>
      <c r="O775" s="3"/>
    </row>
    <row r="776" spans="1:15">
      <c r="A776" t="s">
        <v>1500</v>
      </c>
      <c r="B776" t="s">
        <v>543</v>
      </c>
      <c r="C776">
        <v>735427</v>
      </c>
      <c r="D776" s="16">
        <v>735.42700000000002</v>
      </c>
      <c r="E776" t="s">
        <v>722</v>
      </c>
      <c r="F776" s="16">
        <v>80.5</v>
      </c>
      <c r="G776" s="16">
        <v>80.5</v>
      </c>
      <c r="H776" s="16">
        <v>80.5</v>
      </c>
      <c r="I776" t="s">
        <v>140</v>
      </c>
      <c r="J776">
        <v>1</v>
      </c>
      <c r="K776" t="s">
        <v>720</v>
      </c>
      <c r="L776" t="s">
        <v>385</v>
      </c>
      <c r="M776">
        <v>0</v>
      </c>
      <c r="N776" s="3" t="s">
        <v>238</v>
      </c>
      <c r="O776" s="3"/>
    </row>
    <row r="777" spans="1:15">
      <c r="A777" t="s">
        <v>1501</v>
      </c>
      <c r="B777" t="s">
        <v>543</v>
      </c>
      <c r="C777">
        <v>735427</v>
      </c>
      <c r="D777" s="16">
        <v>735.42700000000002</v>
      </c>
      <c r="E777" t="s">
        <v>724</v>
      </c>
      <c r="F777" s="16">
        <v>-2.4</v>
      </c>
      <c r="G777" s="16">
        <v>2.4</v>
      </c>
      <c r="H777" s="16">
        <v>2.4</v>
      </c>
      <c r="I777" t="s">
        <v>125</v>
      </c>
      <c r="J777">
        <v>1</v>
      </c>
      <c r="K777" t="s">
        <v>725</v>
      </c>
      <c r="L777" t="s">
        <v>385</v>
      </c>
      <c r="M777">
        <v>0</v>
      </c>
      <c r="N777" s="3" t="s">
        <v>238</v>
      </c>
      <c r="O777" s="3"/>
    </row>
    <row r="778" spans="1:15">
      <c r="A778" t="s">
        <v>1502</v>
      </c>
      <c r="B778" t="s">
        <v>543</v>
      </c>
      <c r="C778">
        <v>735427</v>
      </c>
      <c r="D778" s="16">
        <v>735.42700000000002</v>
      </c>
      <c r="E778" t="s">
        <v>727</v>
      </c>
      <c r="F778" s="16">
        <v>1</v>
      </c>
      <c r="G778" s="16">
        <v>1</v>
      </c>
      <c r="H778" s="16">
        <v>1</v>
      </c>
      <c r="I778" t="s">
        <v>728</v>
      </c>
      <c r="J778">
        <v>1</v>
      </c>
      <c r="K778" t="s">
        <v>720</v>
      </c>
      <c r="L778" t="s">
        <v>385</v>
      </c>
      <c r="M778">
        <v>0</v>
      </c>
      <c r="N778" s="3" t="s">
        <v>238</v>
      </c>
      <c r="O778" s="3"/>
    </row>
    <row r="779" spans="1:15">
      <c r="A779" t="s">
        <v>1503</v>
      </c>
      <c r="B779" t="s">
        <v>543</v>
      </c>
      <c r="C779">
        <v>735427</v>
      </c>
      <c r="D779" s="16">
        <v>735.42700000000002</v>
      </c>
      <c r="E779" t="s">
        <v>730</v>
      </c>
      <c r="F779" s="16">
        <v>0</v>
      </c>
      <c r="G779" s="16">
        <v>0</v>
      </c>
      <c r="H779" s="16">
        <v>0</v>
      </c>
      <c r="I779" t="s">
        <v>107</v>
      </c>
      <c r="J779">
        <v>1</v>
      </c>
      <c r="K779" t="s">
        <v>720</v>
      </c>
      <c r="L779" t="s">
        <v>385</v>
      </c>
      <c r="M779">
        <v>0</v>
      </c>
      <c r="N779" s="3" t="s">
        <v>238</v>
      </c>
      <c r="O779" s="3"/>
    </row>
    <row r="780" spans="1:15">
      <c r="A780" t="s">
        <v>1504</v>
      </c>
      <c r="B780" t="s">
        <v>544</v>
      </c>
      <c r="C780">
        <v>740444</v>
      </c>
      <c r="D780" s="16">
        <v>740.44399999999996</v>
      </c>
      <c r="E780" t="s">
        <v>719</v>
      </c>
      <c r="F780" s="16">
        <v>27.4</v>
      </c>
      <c r="G780" s="16">
        <v>27.4</v>
      </c>
      <c r="H780" s="16">
        <v>27.4</v>
      </c>
      <c r="I780" t="s">
        <v>98</v>
      </c>
      <c r="J780">
        <v>1</v>
      </c>
      <c r="K780" t="s">
        <v>720</v>
      </c>
      <c r="L780" t="s">
        <v>385</v>
      </c>
      <c r="M780">
        <v>0</v>
      </c>
      <c r="N780" s="3" t="s">
        <v>238</v>
      </c>
      <c r="O780" s="3"/>
    </row>
    <row r="781" spans="1:15">
      <c r="A781" t="s">
        <v>1505</v>
      </c>
      <c r="B781" t="s">
        <v>544</v>
      </c>
      <c r="C781">
        <v>740444</v>
      </c>
      <c r="D781" s="16">
        <v>740.44399999999996</v>
      </c>
      <c r="E781" t="s">
        <v>722</v>
      </c>
      <c r="F781" s="16">
        <v>80.599999999999994</v>
      </c>
      <c r="G781" s="16">
        <v>80.599999999999994</v>
      </c>
      <c r="H781" s="16">
        <v>80.599999999999994</v>
      </c>
      <c r="I781" t="s">
        <v>140</v>
      </c>
      <c r="J781">
        <v>1</v>
      </c>
      <c r="K781" t="s">
        <v>720</v>
      </c>
      <c r="L781" t="s">
        <v>385</v>
      </c>
      <c r="M781">
        <v>0</v>
      </c>
      <c r="N781" s="3" t="s">
        <v>238</v>
      </c>
      <c r="O781" s="3"/>
    </row>
    <row r="782" spans="1:15">
      <c r="A782" t="s">
        <v>1506</v>
      </c>
      <c r="B782" t="s">
        <v>544</v>
      </c>
      <c r="C782">
        <v>740444</v>
      </c>
      <c r="D782" s="16">
        <v>740.44399999999996</v>
      </c>
      <c r="E782" t="s">
        <v>724</v>
      </c>
      <c r="F782" s="16">
        <v>-2.5</v>
      </c>
      <c r="G782" s="16">
        <v>2.5</v>
      </c>
      <c r="H782" s="16">
        <v>2.5</v>
      </c>
      <c r="I782" t="s">
        <v>125</v>
      </c>
      <c r="J782">
        <v>1</v>
      </c>
      <c r="K782" t="s">
        <v>725</v>
      </c>
      <c r="L782" t="s">
        <v>385</v>
      </c>
      <c r="M782">
        <v>0</v>
      </c>
      <c r="N782" s="3" t="s">
        <v>238</v>
      </c>
      <c r="O782" s="3"/>
    </row>
    <row r="783" spans="1:15">
      <c r="A783" t="s">
        <v>1507</v>
      </c>
      <c r="B783" t="s">
        <v>544</v>
      </c>
      <c r="C783">
        <v>740444</v>
      </c>
      <c r="D783" s="16">
        <v>740.44399999999996</v>
      </c>
      <c r="E783" t="s">
        <v>727</v>
      </c>
      <c r="F783" s="16">
        <v>1</v>
      </c>
      <c r="G783" s="16">
        <v>1</v>
      </c>
      <c r="H783" s="16">
        <v>1</v>
      </c>
      <c r="I783" t="s">
        <v>728</v>
      </c>
      <c r="J783">
        <v>1</v>
      </c>
      <c r="K783" t="s">
        <v>720</v>
      </c>
      <c r="L783" t="s">
        <v>385</v>
      </c>
      <c r="M783">
        <v>0</v>
      </c>
      <c r="N783" s="3" t="s">
        <v>238</v>
      </c>
      <c r="O783" s="3"/>
    </row>
    <row r="784" spans="1:15">
      <c r="A784" t="s">
        <v>1508</v>
      </c>
      <c r="B784" t="s">
        <v>544</v>
      </c>
      <c r="C784">
        <v>740444</v>
      </c>
      <c r="D784" s="16">
        <v>740.44399999999996</v>
      </c>
      <c r="E784" t="s">
        <v>730</v>
      </c>
      <c r="F784" s="16">
        <v>0</v>
      </c>
      <c r="G784" s="16">
        <v>0</v>
      </c>
      <c r="H784" s="16">
        <v>0</v>
      </c>
      <c r="I784" t="s">
        <v>107</v>
      </c>
      <c r="J784">
        <v>1</v>
      </c>
      <c r="K784" t="s">
        <v>720</v>
      </c>
      <c r="L784" t="s">
        <v>385</v>
      </c>
      <c r="M784">
        <v>0</v>
      </c>
      <c r="N784" s="3" t="s">
        <v>238</v>
      </c>
      <c r="O784" s="3"/>
    </row>
    <row r="785" spans="1:15">
      <c r="A785" t="s">
        <v>1509</v>
      </c>
      <c r="B785" t="s">
        <v>545</v>
      </c>
      <c r="C785">
        <v>745461</v>
      </c>
      <c r="D785" s="16">
        <v>745.46100000000001</v>
      </c>
      <c r="E785" t="s">
        <v>719</v>
      </c>
      <c r="F785" s="16">
        <v>27.4</v>
      </c>
      <c r="G785" s="16">
        <v>27.4</v>
      </c>
      <c r="H785" s="16">
        <v>27.4</v>
      </c>
      <c r="I785" t="s">
        <v>98</v>
      </c>
      <c r="J785">
        <v>1</v>
      </c>
      <c r="K785" t="s">
        <v>720</v>
      </c>
      <c r="L785" t="s">
        <v>385</v>
      </c>
      <c r="M785">
        <v>0</v>
      </c>
      <c r="N785" s="3" t="s">
        <v>238</v>
      </c>
      <c r="O785" s="3"/>
    </row>
    <row r="786" spans="1:15">
      <c r="A786" t="s">
        <v>1510</v>
      </c>
      <c r="B786" t="s">
        <v>545</v>
      </c>
      <c r="C786">
        <v>745461</v>
      </c>
      <c r="D786" s="16">
        <v>745.46100000000001</v>
      </c>
      <c r="E786" t="s">
        <v>722</v>
      </c>
      <c r="F786" s="16">
        <v>80.8</v>
      </c>
      <c r="G786" s="16">
        <v>80.8</v>
      </c>
      <c r="H786" s="16">
        <v>80.8</v>
      </c>
      <c r="I786" t="s">
        <v>140</v>
      </c>
      <c r="J786">
        <v>1</v>
      </c>
      <c r="K786" t="s">
        <v>720</v>
      </c>
      <c r="L786" t="s">
        <v>385</v>
      </c>
      <c r="M786">
        <v>0</v>
      </c>
      <c r="N786" s="3" t="s">
        <v>238</v>
      </c>
      <c r="O786" s="3"/>
    </row>
    <row r="787" spans="1:15">
      <c r="A787" t="s">
        <v>1511</v>
      </c>
      <c r="B787" t="s">
        <v>545</v>
      </c>
      <c r="C787">
        <v>745461</v>
      </c>
      <c r="D787" s="16">
        <v>745.46100000000001</v>
      </c>
      <c r="E787" t="s">
        <v>724</v>
      </c>
      <c r="F787" s="16">
        <v>-2.5</v>
      </c>
      <c r="G787" s="16">
        <v>2.5</v>
      </c>
      <c r="H787" s="16">
        <v>2.5</v>
      </c>
      <c r="I787" t="s">
        <v>125</v>
      </c>
      <c r="J787">
        <v>1</v>
      </c>
      <c r="K787" t="s">
        <v>725</v>
      </c>
      <c r="L787" t="s">
        <v>385</v>
      </c>
      <c r="M787">
        <v>0</v>
      </c>
      <c r="N787" s="3" t="s">
        <v>238</v>
      </c>
      <c r="O787" s="3"/>
    </row>
    <row r="788" spans="1:15">
      <c r="A788" t="s">
        <v>1512</v>
      </c>
      <c r="B788" t="s">
        <v>545</v>
      </c>
      <c r="C788">
        <v>745461</v>
      </c>
      <c r="D788" s="16">
        <v>745.46100000000001</v>
      </c>
      <c r="E788" t="s">
        <v>727</v>
      </c>
      <c r="F788" s="16">
        <v>1</v>
      </c>
      <c r="G788" s="16">
        <v>1</v>
      </c>
      <c r="H788" s="16">
        <v>1</v>
      </c>
      <c r="I788" t="s">
        <v>728</v>
      </c>
      <c r="J788">
        <v>1</v>
      </c>
      <c r="K788" t="s">
        <v>720</v>
      </c>
      <c r="L788" t="s">
        <v>385</v>
      </c>
      <c r="M788">
        <v>0</v>
      </c>
      <c r="N788" s="3" t="s">
        <v>238</v>
      </c>
      <c r="O788" s="3"/>
    </row>
    <row r="789" spans="1:15">
      <c r="A789" t="s">
        <v>1513</v>
      </c>
      <c r="B789" t="s">
        <v>545</v>
      </c>
      <c r="C789">
        <v>745461</v>
      </c>
      <c r="D789" s="16">
        <v>745.46100000000001</v>
      </c>
      <c r="E789" t="s">
        <v>730</v>
      </c>
      <c r="F789" s="16">
        <v>0</v>
      </c>
      <c r="G789" s="16">
        <v>0</v>
      </c>
      <c r="H789" s="16">
        <v>0</v>
      </c>
      <c r="I789" t="s">
        <v>107</v>
      </c>
      <c r="J789">
        <v>1</v>
      </c>
      <c r="K789" t="s">
        <v>720</v>
      </c>
      <c r="L789" t="s">
        <v>385</v>
      </c>
      <c r="M789">
        <v>0</v>
      </c>
      <c r="N789" s="3" t="s">
        <v>238</v>
      </c>
      <c r="O789" s="3"/>
    </row>
    <row r="790" spans="1:15">
      <c r="A790" t="s">
        <v>1514</v>
      </c>
      <c r="B790" t="s">
        <v>546</v>
      </c>
      <c r="C790">
        <v>750478</v>
      </c>
      <c r="D790" s="16">
        <v>750.47799999999995</v>
      </c>
      <c r="E790" t="s">
        <v>719</v>
      </c>
      <c r="F790" s="16">
        <v>27.4</v>
      </c>
      <c r="G790" s="16">
        <v>27.4</v>
      </c>
      <c r="H790" s="16">
        <v>27.4</v>
      </c>
      <c r="I790" t="s">
        <v>98</v>
      </c>
      <c r="J790">
        <v>1</v>
      </c>
      <c r="K790" t="s">
        <v>720</v>
      </c>
      <c r="L790" t="s">
        <v>385</v>
      </c>
      <c r="M790">
        <v>0</v>
      </c>
      <c r="N790" s="3" t="s">
        <v>238</v>
      </c>
      <c r="O790" s="3"/>
    </row>
    <row r="791" spans="1:15">
      <c r="A791" t="s">
        <v>1515</v>
      </c>
      <c r="B791" t="s">
        <v>546</v>
      </c>
      <c r="C791">
        <v>750478</v>
      </c>
      <c r="D791" s="16">
        <v>750.47799999999995</v>
      </c>
      <c r="E791" t="s">
        <v>722</v>
      </c>
      <c r="F791" s="16">
        <v>80.8</v>
      </c>
      <c r="G791" s="16">
        <v>80.8</v>
      </c>
      <c r="H791" s="16">
        <v>80.8</v>
      </c>
      <c r="I791" t="s">
        <v>140</v>
      </c>
      <c r="J791">
        <v>1</v>
      </c>
      <c r="K791" t="s">
        <v>720</v>
      </c>
      <c r="L791" t="s">
        <v>385</v>
      </c>
      <c r="M791">
        <v>0</v>
      </c>
      <c r="N791" s="3" t="s">
        <v>238</v>
      </c>
      <c r="O791" s="3"/>
    </row>
    <row r="792" spans="1:15">
      <c r="A792" t="s">
        <v>1516</v>
      </c>
      <c r="B792" t="s">
        <v>546</v>
      </c>
      <c r="C792">
        <v>750478</v>
      </c>
      <c r="D792" s="16">
        <v>750.47799999999995</v>
      </c>
      <c r="E792" t="s">
        <v>724</v>
      </c>
      <c r="F792" s="16">
        <v>-2.5</v>
      </c>
      <c r="G792" s="16">
        <v>2.5</v>
      </c>
      <c r="H792" s="16">
        <v>2.5</v>
      </c>
      <c r="I792" t="s">
        <v>125</v>
      </c>
      <c r="J792">
        <v>1</v>
      </c>
      <c r="K792" t="s">
        <v>725</v>
      </c>
      <c r="L792" t="s">
        <v>385</v>
      </c>
      <c r="M792">
        <v>0</v>
      </c>
      <c r="N792" s="3" t="s">
        <v>238</v>
      </c>
      <c r="O792" s="3"/>
    </row>
    <row r="793" spans="1:15">
      <c r="A793" t="s">
        <v>1517</v>
      </c>
      <c r="B793" t="s">
        <v>546</v>
      </c>
      <c r="C793">
        <v>750478</v>
      </c>
      <c r="D793" s="16">
        <v>750.47799999999995</v>
      </c>
      <c r="E793" t="s">
        <v>727</v>
      </c>
      <c r="F793" s="16">
        <v>1</v>
      </c>
      <c r="G793" s="16">
        <v>1</v>
      </c>
      <c r="H793" s="16">
        <v>1</v>
      </c>
      <c r="I793" t="s">
        <v>728</v>
      </c>
      <c r="J793">
        <v>1</v>
      </c>
      <c r="K793" t="s">
        <v>720</v>
      </c>
      <c r="L793" t="s">
        <v>385</v>
      </c>
      <c r="M793">
        <v>0</v>
      </c>
      <c r="N793" s="3" t="s">
        <v>238</v>
      </c>
      <c r="O793" s="3"/>
    </row>
    <row r="794" spans="1:15">
      <c r="A794" t="s">
        <v>1518</v>
      </c>
      <c r="B794" t="s">
        <v>546</v>
      </c>
      <c r="C794">
        <v>750478</v>
      </c>
      <c r="D794" s="16">
        <v>750.47799999999995</v>
      </c>
      <c r="E794" t="s">
        <v>730</v>
      </c>
      <c r="F794" s="16">
        <v>0</v>
      </c>
      <c r="G794" s="16">
        <v>0</v>
      </c>
      <c r="H794" s="16">
        <v>0</v>
      </c>
      <c r="I794" t="s">
        <v>107</v>
      </c>
      <c r="J794">
        <v>1</v>
      </c>
      <c r="K794" t="s">
        <v>720</v>
      </c>
      <c r="L794" t="s">
        <v>385</v>
      </c>
      <c r="M794">
        <v>0</v>
      </c>
      <c r="N794" s="3" t="s">
        <v>238</v>
      </c>
      <c r="O794" s="3"/>
    </row>
    <row r="795" spans="1:15">
      <c r="A795" t="s">
        <v>1519</v>
      </c>
      <c r="B795" t="s">
        <v>547</v>
      </c>
      <c r="C795">
        <v>755494</v>
      </c>
      <c r="D795" s="16">
        <v>755.49400000000003</v>
      </c>
      <c r="E795" t="s">
        <v>719</v>
      </c>
      <c r="F795" s="16">
        <v>27.4</v>
      </c>
      <c r="G795" s="16">
        <v>27.4</v>
      </c>
      <c r="H795" s="16">
        <v>27.4</v>
      </c>
      <c r="I795" t="s">
        <v>98</v>
      </c>
      <c r="J795">
        <v>1</v>
      </c>
      <c r="K795" t="s">
        <v>720</v>
      </c>
      <c r="L795" t="s">
        <v>385</v>
      </c>
      <c r="M795">
        <v>0</v>
      </c>
      <c r="N795" s="3" t="s">
        <v>238</v>
      </c>
      <c r="O795" s="3"/>
    </row>
    <row r="796" spans="1:15">
      <c r="A796" t="s">
        <v>1520</v>
      </c>
      <c r="B796" t="s">
        <v>547</v>
      </c>
      <c r="C796">
        <v>755494</v>
      </c>
      <c r="D796" s="16">
        <v>755.49400000000003</v>
      </c>
      <c r="E796" t="s">
        <v>722</v>
      </c>
      <c r="F796" s="16">
        <v>81</v>
      </c>
      <c r="G796" s="16">
        <v>81</v>
      </c>
      <c r="H796" s="16">
        <v>81</v>
      </c>
      <c r="I796" t="s">
        <v>140</v>
      </c>
      <c r="J796">
        <v>1</v>
      </c>
      <c r="K796" t="s">
        <v>720</v>
      </c>
      <c r="L796" t="s">
        <v>385</v>
      </c>
      <c r="M796">
        <v>0</v>
      </c>
      <c r="N796" s="3" t="s">
        <v>238</v>
      </c>
      <c r="O796" s="3"/>
    </row>
    <row r="797" spans="1:15">
      <c r="A797" t="s">
        <v>1521</v>
      </c>
      <c r="B797" t="s">
        <v>547</v>
      </c>
      <c r="C797">
        <v>755494</v>
      </c>
      <c r="D797" s="16">
        <v>755.49400000000003</v>
      </c>
      <c r="E797" t="s">
        <v>724</v>
      </c>
      <c r="F797" s="16">
        <v>-2.6</v>
      </c>
      <c r="G797" s="16">
        <v>2.6</v>
      </c>
      <c r="H797" s="16">
        <v>2.6</v>
      </c>
      <c r="I797" t="s">
        <v>125</v>
      </c>
      <c r="J797">
        <v>1</v>
      </c>
      <c r="K797" t="s">
        <v>725</v>
      </c>
      <c r="L797" t="s">
        <v>385</v>
      </c>
      <c r="M797">
        <v>0</v>
      </c>
      <c r="N797" s="3" t="s">
        <v>238</v>
      </c>
      <c r="O797" s="3"/>
    </row>
    <row r="798" spans="1:15">
      <c r="A798" t="s">
        <v>1522</v>
      </c>
      <c r="B798" t="s">
        <v>547</v>
      </c>
      <c r="C798">
        <v>755494</v>
      </c>
      <c r="D798" s="16">
        <v>755.49400000000003</v>
      </c>
      <c r="E798" t="s">
        <v>727</v>
      </c>
      <c r="F798" s="16">
        <v>1</v>
      </c>
      <c r="G798" s="16">
        <v>1</v>
      </c>
      <c r="H798" s="16">
        <v>1</v>
      </c>
      <c r="I798" t="s">
        <v>728</v>
      </c>
      <c r="J798">
        <v>1</v>
      </c>
      <c r="K798" t="s">
        <v>720</v>
      </c>
      <c r="L798" t="s">
        <v>385</v>
      </c>
      <c r="M798">
        <v>0</v>
      </c>
      <c r="N798" s="3" t="s">
        <v>238</v>
      </c>
      <c r="O798" s="3"/>
    </row>
    <row r="799" spans="1:15">
      <c r="A799" t="s">
        <v>1523</v>
      </c>
      <c r="B799" t="s">
        <v>547</v>
      </c>
      <c r="C799">
        <v>755494</v>
      </c>
      <c r="D799" s="16">
        <v>755.49400000000003</v>
      </c>
      <c r="E799" t="s">
        <v>730</v>
      </c>
      <c r="F799" s="16">
        <v>0</v>
      </c>
      <c r="G799" s="16">
        <v>0</v>
      </c>
      <c r="H799" s="16">
        <v>0</v>
      </c>
      <c r="I799" t="s">
        <v>107</v>
      </c>
      <c r="J799">
        <v>1</v>
      </c>
      <c r="K799" t="s">
        <v>720</v>
      </c>
      <c r="L799" t="s">
        <v>385</v>
      </c>
      <c r="M799">
        <v>0</v>
      </c>
      <c r="N799" s="3" t="s">
        <v>238</v>
      </c>
      <c r="O799" s="3"/>
    </row>
    <row r="800" spans="1:15">
      <c r="A800" t="s">
        <v>1524</v>
      </c>
      <c r="B800" t="s">
        <v>548</v>
      </c>
      <c r="C800">
        <v>760513</v>
      </c>
      <c r="D800" s="16">
        <v>760.51300000000003</v>
      </c>
      <c r="E800" t="s">
        <v>719</v>
      </c>
      <c r="F800" s="16">
        <v>27.4</v>
      </c>
      <c r="G800" s="16">
        <v>27.4</v>
      </c>
      <c r="H800" s="16">
        <v>27.4</v>
      </c>
      <c r="I800" t="s">
        <v>98</v>
      </c>
      <c r="J800">
        <v>1</v>
      </c>
      <c r="K800" t="s">
        <v>720</v>
      </c>
      <c r="L800" t="s">
        <v>385</v>
      </c>
      <c r="M800">
        <v>0</v>
      </c>
      <c r="N800" s="3" t="s">
        <v>238</v>
      </c>
      <c r="O800" s="3"/>
    </row>
    <row r="801" spans="1:15">
      <c r="A801" t="s">
        <v>1525</v>
      </c>
      <c r="B801" t="s">
        <v>548</v>
      </c>
      <c r="C801">
        <v>760513</v>
      </c>
      <c r="D801" s="16">
        <v>760.51300000000003</v>
      </c>
      <c r="E801" t="s">
        <v>722</v>
      </c>
      <c r="F801" s="16">
        <v>81</v>
      </c>
      <c r="G801" s="16">
        <v>81</v>
      </c>
      <c r="H801" s="16">
        <v>81</v>
      </c>
      <c r="I801" t="s">
        <v>140</v>
      </c>
      <c r="J801">
        <v>1</v>
      </c>
      <c r="K801" t="s">
        <v>720</v>
      </c>
      <c r="L801" t="s">
        <v>385</v>
      </c>
      <c r="M801">
        <v>0</v>
      </c>
      <c r="N801" s="3" t="s">
        <v>238</v>
      </c>
      <c r="O801" s="3"/>
    </row>
    <row r="802" spans="1:15">
      <c r="A802" t="s">
        <v>1526</v>
      </c>
      <c r="B802" t="s">
        <v>548</v>
      </c>
      <c r="C802">
        <v>760513</v>
      </c>
      <c r="D802" s="16">
        <v>760.51300000000003</v>
      </c>
      <c r="E802" t="s">
        <v>724</v>
      </c>
      <c r="F802" s="16">
        <v>-2.5</v>
      </c>
      <c r="G802" s="16">
        <v>2.5</v>
      </c>
      <c r="H802" s="16">
        <v>2.5</v>
      </c>
      <c r="I802" t="s">
        <v>125</v>
      </c>
      <c r="J802">
        <v>1</v>
      </c>
      <c r="K802" t="s">
        <v>725</v>
      </c>
      <c r="L802" t="s">
        <v>385</v>
      </c>
      <c r="M802">
        <v>0</v>
      </c>
      <c r="N802" s="3" t="s">
        <v>238</v>
      </c>
      <c r="O802" s="3"/>
    </row>
    <row r="803" spans="1:15">
      <c r="A803" t="s">
        <v>1527</v>
      </c>
      <c r="B803" t="s">
        <v>548</v>
      </c>
      <c r="C803">
        <v>760513</v>
      </c>
      <c r="D803" s="16">
        <v>760.51300000000003</v>
      </c>
      <c r="E803" t="s">
        <v>727</v>
      </c>
      <c r="F803" s="16">
        <v>1</v>
      </c>
      <c r="G803" s="16">
        <v>1</v>
      </c>
      <c r="H803" s="16">
        <v>1</v>
      </c>
      <c r="I803" t="s">
        <v>728</v>
      </c>
      <c r="J803">
        <v>1</v>
      </c>
      <c r="K803" t="s">
        <v>720</v>
      </c>
      <c r="L803" t="s">
        <v>385</v>
      </c>
      <c r="M803">
        <v>0</v>
      </c>
      <c r="N803" s="3" t="s">
        <v>238</v>
      </c>
      <c r="O803" s="3"/>
    </row>
    <row r="804" spans="1:15">
      <c r="A804" t="s">
        <v>1528</v>
      </c>
      <c r="B804" t="s">
        <v>548</v>
      </c>
      <c r="C804">
        <v>760513</v>
      </c>
      <c r="D804" s="16">
        <v>760.51300000000003</v>
      </c>
      <c r="E804" t="s">
        <v>730</v>
      </c>
      <c r="F804" s="16">
        <v>0</v>
      </c>
      <c r="G804" s="16">
        <v>0</v>
      </c>
      <c r="H804" s="16">
        <v>0</v>
      </c>
      <c r="I804" t="s">
        <v>107</v>
      </c>
      <c r="J804">
        <v>1</v>
      </c>
      <c r="K804" t="s">
        <v>720</v>
      </c>
      <c r="L804" t="s">
        <v>385</v>
      </c>
      <c r="M804">
        <v>0</v>
      </c>
      <c r="N804" s="3" t="s">
        <v>238</v>
      </c>
      <c r="O804" s="3"/>
    </row>
    <row r="805" spans="1:15">
      <c r="A805" t="s">
        <v>1529</v>
      </c>
      <c r="B805" t="s">
        <v>549</v>
      </c>
      <c r="C805">
        <v>765530</v>
      </c>
      <c r="D805" s="16">
        <v>765.53</v>
      </c>
      <c r="E805" t="s">
        <v>719</v>
      </c>
      <c r="F805" s="16">
        <v>27.4</v>
      </c>
      <c r="G805" s="16">
        <v>27.4</v>
      </c>
      <c r="H805" s="16">
        <v>27.4</v>
      </c>
      <c r="I805" t="s">
        <v>98</v>
      </c>
      <c r="J805">
        <v>1</v>
      </c>
      <c r="K805" t="s">
        <v>720</v>
      </c>
      <c r="L805" t="s">
        <v>385</v>
      </c>
      <c r="M805">
        <v>0</v>
      </c>
      <c r="N805" s="3" t="s">
        <v>238</v>
      </c>
      <c r="O805" s="3"/>
    </row>
    <row r="806" spans="1:15">
      <c r="A806" t="s">
        <v>1530</v>
      </c>
      <c r="B806" t="s">
        <v>549</v>
      </c>
      <c r="C806">
        <v>765530</v>
      </c>
      <c r="D806" s="16">
        <v>765.53</v>
      </c>
      <c r="E806" t="s">
        <v>722</v>
      </c>
      <c r="F806" s="16">
        <v>81</v>
      </c>
      <c r="G806" s="16">
        <v>81</v>
      </c>
      <c r="H806" s="16">
        <v>81</v>
      </c>
      <c r="I806" t="s">
        <v>140</v>
      </c>
      <c r="J806">
        <v>1</v>
      </c>
      <c r="K806" t="s">
        <v>720</v>
      </c>
      <c r="L806" t="s">
        <v>385</v>
      </c>
      <c r="M806">
        <v>0</v>
      </c>
      <c r="N806" s="3" t="s">
        <v>238</v>
      </c>
      <c r="O806" s="3"/>
    </row>
    <row r="807" spans="1:15">
      <c r="A807" t="s">
        <v>1531</v>
      </c>
      <c r="B807" t="s">
        <v>549</v>
      </c>
      <c r="C807">
        <v>765530</v>
      </c>
      <c r="D807" s="16">
        <v>765.53</v>
      </c>
      <c r="E807" t="s">
        <v>724</v>
      </c>
      <c r="F807" s="16">
        <v>-2.5</v>
      </c>
      <c r="G807" s="16">
        <v>2.5</v>
      </c>
      <c r="H807" s="16">
        <v>2.5</v>
      </c>
      <c r="I807" t="s">
        <v>125</v>
      </c>
      <c r="J807">
        <v>1</v>
      </c>
      <c r="K807" t="s">
        <v>725</v>
      </c>
      <c r="L807" t="s">
        <v>385</v>
      </c>
      <c r="M807">
        <v>0</v>
      </c>
      <c r="N807" s="3" t="s">
        <v>238</v>
      </c>
      <c r="O807" s="3"/>
    </row>
    <row r="808" spans="1:15">
      <c r="A808" t="s">
        <v>1532</v>
      </c>
      <c r="B808" t="s">
        <v>549</v>
      </c>
      <c r="C808">
        <v>765530</v>
      </c>
      <c r="D808" s="16">
        <v>765.53</v>
      </c>
      <c r="E808" t="s">
        <v>727</v>
      </c>
      <c r="F808" s="16">
        <v>1</v>
      </c>
      <c r="G808" s="16">
        <v>1</v>
      </c>
      <c r="H808" s="16">
        <v>1</v>
      </c>
      <c r="I808" t="s">
        <v>728</v>
      </c>
      <c r="J808">
        <v>1</v>
      </c>
      <c r="K808" t="s">
        <v>720</v>
      </c>
      <c r="L808" t="s">
        <v>385</v>
      </c>
      <c r="M808">
        <v>0</v>
      </c>
      <c r="N808" s="3" t="s">
        <v>238</v>
      </c>
      <c r="O808" s="3"/>
    </row>
    <row r="809" spans="1:15">
      <c r="A809" t="s">
        <v>1533</v>
      </c>
      <c r="B809" t="s">
        <v>549</v>
      </c>
      <c r="C809">
        <v>765530</v>
      </c>
      <c r="D809" s="16">
        <v>765.53</v>
      </c>
      <c r="E809" t="s">
        <v>730</v>
      </c>
      <c r="F809" s="16">
        <v>0</v>
      </c>
      <c r="G809" s="16">
        <v>0</v>
      </c>
      <c r="H809" s="16">
        <v>0</v>
      </c>
      <c r="I809" t="s">
        <v>107</v>
      </c>
      <c r="J809">
        <v>1</v>
      </c>
      <c r="K809" t="s">
        <v>720</v>
      </c>
      <c r="L809" t="s">
        <v>385</v>
      </c>
      <c r="M809">
        <v>0</v>
      </c>
      <c r="N809" s="3" t="s">
        <v>238</v>
      </c>
      <c r="O809" s="3"/>
    </row>
    <row r="810" spans="1:15">
      <c r="A810" t="s">
        <v>1534</v>
      </c>
      <c r="B810" t="s">
        <v>550</v>
      </c>
      <c r="C810">
        <v>770548</v>
      </c>
      <c r="D810" s="16">
        <v>770.548</v>
      </c>
      <c r="E810" t="s">
        <v>719</v>
      </c>
      <c r="F810" s="16">
        <v>27.4</v>
      </c>
      <c r="G810" s="16">
        <v>27.4</v>
      </c>
      <c r="H810" s="16">
        <v>27.4</v>
      </c>
      <c r="I810" t="s">
        <v>98</v>
      </c>
      <c r="J810">
        <v>1</v>
      </c>
      <c r="K810" t="s">
        <v>720</v>
      </c>
      <c r="L810" t="s">
        <v>385</v>
      </c>
      <c r="M810">
        <v>0</v>
      </c>
      <c r="N810" s="3" t="s">
        <v>238</v>
      </c>
      <c r="O810" s="3"/>
    </row>
    <row r="811" spans="1:15">
      <c r="A811" t="s">
        <v>1535</v>
      </c>
      <c r="B811" t="s">
        <v>550</v>
      </c>
      <c r="C811">
        <v>770548</v>
      </c>
      <c r="D811" s="16">
        <v>770.548</v>
      </c>
      <c r="E811" t="s">
        <v>722</v>
      </c>
      <c r="F811" s="16">
        <v>81</v>
      </c>
      <c r="G811" s="16">
        <v>81</v>
      </c>
      <c r="H811" s="16">
        <v>81</v>
      </c>
      <c r="I811" t="s">
        <v>140</v>
      </c>
      <c r="J811">
        <v>1</v>
      </c>
      <c r="K811" t="s">
        <v>720</v>
      </c>
      <c r="L811" t="s">
        <v>385</v>
      </c>
      <c r="M811">
        <v>0</v>
      </c>
      <c r="N811" s="3" t="s">
        <v>238</v>
      </c>
      <c r="O811" s="3"/>
    </row>
    <row r="812" spans="1:15">
      <c r="A812" t="s">
        <v>1536</v>
      </c>
      <c r="B812" t="s">
        <v>550</v>
      </c>
      <c r="C812">
        <v>770548</v>
      </c>
      <c r="D812" s="16">
        <v>770.548</v>
      </c>
      <c r="E812" t="s">
        <v>724</v>
      </c>
      <c r="F812" s="16">
        <v>-2.5</v>
      </c>
      <c r="G812" s="16">
        <v>2.5</v>
      </c>
      <c r="H812" s="16">
        <v>2.5</v>
      </c>
      <c r="I812" t="s">
        <v>125</v>
      </c>
      <c r="J812">
        <v>1</v>
      </c>
      <c r="K812" t="s">
        <v>725</v>
      </c>
      <c r="L812" t="s">
        <v>385</v>
      </c>
      <c r="M812">
        <v>0</v>
      </c>
      <c r="N812" s="3" t="s">
        <v>238</v>
      </c>
      <c r="O812" s="3"/>
    </row>
    <row r="813" spans="1:15">
      <c r="A813" t="s">
        <v>1537</v>
      </c>
      <c r="B813" t="s">
        <v>550</v>
      </c>
      <c r="C813">
        <v>770548</v>
      </c>
      <c r="D813" s="16">
        <v>770.548</v>
      </c>
      <c r="E813" t="s">
        <v>727</v>
      </c>
      <c r="F813" s="16">
        <v>1</v>
      </c>
      <c r="G813" s="16">
        <v>1</v>
      </c>
      <c r="H813" s="16">
        <v>1</v>
      </c>
      <c r="I813" t="s">
        <v>728</v>
      </c>
      <c r="J813">
        <v>1</v>
      </c>
      <c r="K813" t="s">
        <v>720</v>
      </c>
      <c r="L813" t="s">
        <v>385</v>
      </c>
      <c r="M813">
        <v>0</v>
      </c>
      <c r="N813" s="3" t="s">
        <v>238</v>
      </c>
      <c r="O813" s="3"/>
    </row>
    <row r="814" spans="1:15">
      <c r="A814" t="s">
        <v>1538</v>
      </c>
      <c r="B814" t="s">
        <v>550</v>
      </c>
      <c r="C814">
        <v>770548</v>
      </c>
      <c r="D814" s="16">
        <v>770.548</v>
      </c>
      <c r="E814" t="s">
        <v>730</v>
      </c>
      <c r="F814" s="16">
        <v>0</v>
      </c>
      <c r="G814" s="16">
        <v>0</v>
      </c>
      <c r="H814" s="16">
        <v>0</v>
      </c>
      <c r="I814" t="s">
        <v>107</v>
      </c>
      <c r="J814">
        <v>1</v>
      </c>
      <c r="K814" t="s">
        <v>720</v>
      </c>
      <c r="L814" t="s">
        <v>385</v>
      </c>
      <c r="M814">
        <v>0</v>
      </c>
      <c r="N814" s="3" t="s">
        <v>238</v>
      </c>
      <c r="O814" s="3"/>
    </row>
    <row r="815" spans="1:15">
      <c r="A815" t="s">
        <v>1539</v>
      </c>
      <c r="B815" t="s">
        <v>551</v>
      </c>
      <c r="C815">
        <v>775565</v>
      </c>
      <c r="D815" s="16">
        <v>775.56500000000005</v>
      </c>
      <c r="E815" t="s">
        <v>719</v>
      </c>
      <c r="F815" s="16">
        <v>27.4</v>
      </c>
      <c r="G815" s="16">
        <v>27.4</v>
      </c>
      <c r="H815" s="16">
        <v>27.4</v>
      </c>
      <c r="I815" t="s">
        <v>98</v>
      </c>
      <c r="J815">
        <v>1</v>
      </c>
      <c r="K815" t="s">
        <v>720</v>
      </c>
      <c r="L815" t="s">
        <v>385</v>
      </c>
      <c r="M815">
        <v>0</v>
      </c>
      <c r="N815" s="3" t="s">
        <v>238</v>
      </c>
      <c r="O815" s="3"/>
    </row>
    <row r="816" spans="1:15">
      <c r="A816" t="s">
        <v>1540</v>
      </c>
      <c r="B816" t="s">
        <v>551</v>
      </c>
      <c r="C816">
        <v>775565</v>
      </c>
      <c r="D816" s="16">
        <v>775.56500000000005</v>
      </c>
      <c r="E816" t="s">
        <v>722</v>
      </c>
      <c r="F816" s="16">
        <v>81</v>
      </c>
      <c r="G816" s="16">
        <v>81</v>
      </c>
      <c r="H816" s="16">
        <v>81</v>
      </c>
      <c r="I816" t="s">
        <v>140</v>
      </c>
      <c r="J816">
        <v>1</v>
      </c>
      <c r="K816" t="s">
        <v>720</v>
      </c>
      <c r="L816" t="s">
        <v>385</v>
      </c>
      <c r="M816">
        <v>0</v>
      </c>
      <c r="N816" s="3" t="s">
        <v>238</v>
      </c>
      <c r="O816" s="3"/>
    </row>
    <row r="817" spans="1:15">
      <c r="A817" t="s">
        <v>1541</v>
      </c>
      <c r="B817" t="s">
        <v>551</v>
      </c>
      <c r="C817">
        <v>775565</v>
      </c>
      <c r="D817" s="16">
        <v>775.56500000000005</v>
      </c>
      <c r="E817" t="s">
        <v>724</v>
      </c>
      <c r="F817" s="16">
        <v>-2.4</v>
      </c>
      <c r="G817" s="16">
        <v>2.4</v>
      </c>
      <c r="H817" s="16">
        <v>2.4</v>
      </c>
      <c r="I817" t="s">
        <v>125</v>
      </c>
      <c r="J817">
        <v>1</v>
      </c>
      <c r="K817" t="s">
        <v>725</v>
      </c>
      <c r="L817" t="s">
        <v>385</v>
      </c>
      <c r="M817">
        <v>0</v>
      </c>
      <c r="N817" s="3" t="s">
        <v>238</v>
      </c>
      <c r="O817" s="3"/>
    </row>
    <row r="818" spans="1:15">
      <c r="A818" t="s">
        <v>1542</v>
      </c>
      <c r="B818" t="s">
        <v>551</v>
      </c>
      <c r="C818">
        <v>775565</v>
      </c>
      <c r="D818" s="16">
        <v>775.56500000000005</v>
      </c>
      <c r="E818" t="s">
        <v>727</v>
      </c>
      <c r="F818" s="16">
        <v>1</v>
      </c>
      <c r="G818" s="16">
        <v>1</v>
      </c>
      <c r="H818" s="16">
        <v>1</v>
      </c>
      <c r="I818" t="s">
        <v>728</v>
      </c>
      <c r="J818">
        <v>1</v>
      </c>
      <c r="K818" t="s">
        <v>720</v>
      </c>
      <c r="L818" t="s">
        <v>385</v>
      </c>
      <c r="M818">
        <v>0</v>
      </c>
      <c r="N818" s="3" t="s">
        <v>238</v>
      </c>
      <c r="O818" s="3"/>
    </row>
    <row r="819" spans="1:15">
      <c r="A819" t="s">
        <v>1543</v>
      </c>
      <c r="B819" t="s">
        <v>551</v>
      </c>
      <c r="C819">
        <v>775565</v>
      </c>
      <c r="D819" s="16">
        <v>775.56500000000005</v>
      </c>
      <c r="E819" t="s">
        <v>730</v>
      </c>
      <c r="F819" s="16">
        <v>0</v>
      </c>
      <c r="G819" s="16">
        <v>0</v>
      </c>
      <c r="H819" s="16">
        <v>0</v>
      </c>
      <c r="I819" t="s">
        <v>107</v>
      </c>
      <c r="J819">
        <v>1</v>
      </c>
      <c r="K819" t="s">
        <v>720</v>
      </c>
      <c r="L819" t="s">
        <v>385</v>
      </c>
      <c r="M819">
        <v>0</v>
      </c>
      <c r="N819" s="3" t="s">
        <v>238</v>
      </c>
      <c r="O819" s="3"/>
    </row>
    <row r="820" spans="1:15">
      <c r="A820" t="s">
        <v>1544</v>
      </c>
      <c r="B820" t="s">
        <v>552</v>
      </c>
      <c r="C820">
        <v>780581</v>
      </c>
      <c r="D820" s="16">
        <v>780.58100000000002</v>
      </c>
      <c r="E820" t="s">
        <v>719</v>
      </c>
      <c r="F820" s="16">
        <v>27.4</v>
      </c>
      <c r="G820" s="16">
        <v>27.4</v>
      </c>
      <c r="H820" s="16">
        <v>27.4</v>
      </c>
      <c r="I820" t="s">
        <v>98</v>
      </c>
      <c r="J820">
        <v>1</v>
      </c>
      <c r="K820" t="s">
        <v>720</v>
      </c>
      <c r="L820" t="s">
        <v>385</v>
      </c>
      <c r="M820">
        <v>0</v>
      </c>
      <c r="N820" s="3" t="s">
        <v>238</v>
      </c>
      <c r="O820" s="3"/>
    </row>
    <row r="821" spans="1:15">
      <c r="A821" t="s">
        <v>1545</v>
      </c>
      <c r="B821" t="s">
        <v>552</v>
      </c>
      <c r="C821">
        <v>780581</v>
      </c>
      <c r="D821" s="16">
        <v>780.58100000000002</v>
      </c>
      <c r="E821" t="s">
        <v>722</v>
      </c>
      <c r="F821" s="16">
        <v>81</v>
      </c>
      <c r="G821" s="16">
        <v>81</v>
      </c>
      <c r="H821" s="16">
        <v>81</v>
      </c>
      <c r="I821" t="s">
        <v>140</v>
      </c>
      <c r="J821">
        <v>1</v>
      </c>
      <c r="K821" t="s">
        <v>720</v>
      </c>
      <c r="L821" t="s">
        <v>385</v>
      </c>
      <c r="M821">
        <v>0</v>
      </c>
      <c r="N821" s="3" t="s">
        <v>238</v>
      </c>
      <c r="O821" s="3"/>
    </row>
    <row r="822" spans="1:15">
      <c r="A822" t="s">
        <v>1546</v>
      </c>
      <c r="B822" t="s">
        <v>552</v>
      </c>
      <c r="C822">
        <v>780581</v>
      </c>
      <c r="D822" s="16">
        <v>780.58100000000002</v>
      </c>
      <c r="E822" t="s">
        <v>724</v>
      </c>
      <c r="F822" s="16">
        <v>-2.4</v>
      </c>
      <c r="G822" s="16">
        <v>2.4</v>
      </c>
      <c r="H822" s="16">
        <v>2.4</v>
      </c>
      <c r="I822" t="s">
        <v>125</v>
      </c>
      <c r="J822">
        <v>1</v>
      </c>
      <c r="K822" t="s">
        <v>725</v>
      </c>
      <c r="L822" t="s">
        <v>385</v>
      </c>
      <c r="M822">
        <v>0</v>
      </c>
      <c r="N822" s="3" t="s">
        <v>238</v>
      </c>
      <c r="O822" s="3"/>
    </row>
    <row r="823" spans="1:15">
      <c r="A823" t="s">
        <v>1547</v>
      </c>
      <c r="B823" t="s">
        <v>552</v>
      </c>
      <c r="C823">
        <v>780581</v>
      </c>
      <c r="D823" s="16">
        <v>780.58100000000002</v>
      </c>
      <c r="E823" t="s">
        <v>727</v>
      </c>
      <c r="F823" s="16">
        <v>1</v>
      </c>
      <c r="G823" s="16">
        <v>1</v>
      </c>
      <c r="H823" s="16">
        <v>1</v>
      </c>
      <c r="I823" t="s">
        <v>728</v>
      </c>
      <c r="J823">
        <v>1</v>
      </c>
      <c r="K823" t="s">
        <v>720</v>
      </c>
      <c r="L823" t="s">
        <v>385</v>
      </c>
      <c r="M823">
        <v>0</v>
      </c>
      <c r="N823" s="3" t="s">
        <v>238</v>
      </c>
      <c r="O823" s="3"/>
    </row>
    <row r="824" spans="1:15">
      <c r="A824" t="s">
        <v>1548</v>
      </c>
      <c r="B824" t="s">
        <v>552</v>
      </c>
      <c r="C824">
        <v>780581</v>
      </c>
      <c r="D824" s="16">
        <v>780.58100000000002</v>
      </c>
      <c r="E824" t="s">
        <v>730</v>
      </c>
      <c r="F824" s="16">
        <v>0</v>
      </c>
      <c r="G824" s="16">
        <v>0</v>
      </c>
      <c r="H824" s="16">
        <v>0</v>
      </c>
      <c r="I824" t="s">
        <v>107</v>
      </c>
      <c r="J824">
        <v>1</v>
      </c>
      <c r="K824" t="s">
        <v>720</v>
      </c>
      <c r="L824" t="s">
        <v>385</v>
      </c>
      <c r="M824">
        <v>0</v>
      </c>
      <c r="N824" s="3" t="s">
        <v>238</v>
      </c>
      <c r="O824" s="3"/>
    </row>
    <row r="825" spans="1:15">
      <c r="A825" t="s">
        <v>1549</v>
      </c>
      <c r="B825" t="s">
        <v>553</v>
      </c>
      <c r="C825">
        <v>785600</v>
      </c>
      <c r="D825" s="16">
        <v>785.6</v>
      </c>
      <c r="E825" t="s">
        <v>719</v>
      </c>
      <c r="F825" s="16">
        <v>27.4</v>
      </c>
      <c r="G825" s="16">
        <v>27.4</v>
      </c>
      <c r="H825" s="16">
        <v>27.4</v>
      </c>
      <c r="I825" t="s">
        <v>98</v>
      </c>
      <c r="J825">
        <v>1</v>
      </c>
      <c r="K825" t="s">
        <v>720</v>
      </c>
      <c r="L825" t="s">
        <v>385</v>
      </c>
      <c r="M825">
        <v>0</v>
      </c>
      <c r="N825" s="3" t="s">
        <v>238</v>
      </c>
      <c r="O825" s="3"/>
    </row>
    <row r="826" spans="1:15">
      <c r="A826" t="s">
        <v>1550</v>
      </c>
      <c r="B826" t="s">
        <v>553</v>
      </c>
      <c r="C826">
        <v>785600</v>
      </c>
      <c r="D826" s="16">
        <v>785.6</v>
      </c>
      <c r="E826" t="s">
        <v>722</v>
      </c>
      <c r="F826" s="16">
        <v>81</v>
      </c>
      <c r="G826" s="16">
        <v>81</v>
      </c>
      <c r="H826" s="16">
        <v>81</v>
      </c>
      <c r="I826" t="s">
        <v>140</v>
      </c>
      <c r="J826">
        <v>1</v>
      </c>
      <c r="K826" t="s">
        <v>720</v>
      </c>
      <c r="L826" t="s">
        <v>385</v>
      </c>
      <c r="M826">
        <v>0</v>
      </c>
      <c r="N826" s="3" t="s">
        <v>238</v>
      </c>
      <c r="O826" s="3"/>
    </row>
    <row r="827" spans="1:15">
      <c r="A827" t="s">
        <v>1551</v>
      </c>
      <c r="B827" t="s">
        <v>553</v>
      </c>
      <c r="C827">
        <v>785600</v>
      </c>
      <c r="D827" s="16">
        <v>785.6</v>
      </c>
      <c r="E827" t="s">
        <v>724</v>
      </c>
      <c r="F827" s="16">
        <v>-2.4</v>
      </c>
      <c r="G827" s="16">
        <v>2.4</v>
      </c>
      <c r="H827" s="16">
        <v>2.4</v>
      </c>
      <c r="I827" t="s">
        <v>125</v>
      </c>
      <c r="J827">
        <v>1</v>
      </c>
      <c r="K827" t="s">
        <v>725</v>
      </c>
      <c r="L827" t="s">
        <v>385</v>
      </c>
      <c r="M827">
        <v>0</v>
      </c>
      <c r="N827" s="3" t="s">
        <v>238</v>
      </c>
      <c r="O827" s="3"/>
    </row>
    <row r="828" spans="1:15">
      <c r="A828" t="s">
        <v>1552</v>
      </c>
      <c r="B828" t="s">
        <v>553</v>
      </c>
      <c r="C828">
        <v>785600</v>
      </c>
      <c r="D828" s="16">
        <v>785.6</v>
      </c>
      <c r="E828" t="s">
        <v>727</v>
      </c>
      <c r="F828" s="16">
        <v>1</v>
      </c>
      <c r="G828" s="16">
        <v>1</v>
      </c>
      <c r="H828" s="16">
        <v>1</v>
      </c>
      <c r="I828" t="s">
        <v>728</v>
      </c>
      <c r="J828">
        <v>1</v>
      </c>
      <c r="K828" t="s">
        <v>720</v>
      </c>
      <c r="L828" t="s">
        <v>385</v>
      </c>
      <c r="M828">
        <v>0</v>
      </c>
      <c r="N828" s="3" t="s">
        <v>238</v>
      </c>
      <c r="O828" s="3"/>
    </row>
    <row r="829" spans="1:15">
      <c r="A829" t="s">
        <v>1553</v>
      </c>
      <c r="B829" t="s">
        <v>553</v>
      </c>
      <c r="C829">
        <v>785600</v>
      </c>
      <c r="D829" s="16">
        <v>785.6</v>
      </c>
      <c r="E829" t="s">
        <v>730</v>
      </c>
      <c r="F829" s="16">
        <v>0</v>
      </c>
      <c r="G829" s="16">
        <v>0</v>
      </c>
      <c r="H829" s="16">
        <v>0</v>
      </c>
      <c r="I829" t="s">
        <v>107</v>
      </c>
      <c r="J829">
        <v>1</v>
      </c>
      <c r="K829" t="s">
        <v>720</v>
      </c>
      <c r="L829" t="s">
        <v>385</v>
      </c>
      <c r="M829">
        <v>0</v>
      </c>
      <c r="N829" s="3" t="s">
        <v>238</v>
      </c>
      <c r="O829" s="3"/>
    </row>
    <row r="830" spans="1:15">
      <c r="A830" t="s">
        <v>1554</v>
      </c>
      <c r="B830" t="s">
        <v>554</v>
      </c>
      <c r="C830">
        <v>790617</v>
      </c>
      <c r="D830" s="16">
        <v>790.61699999999996</v>
      </c>
      <c r="E830" t="s">
        <v>719</v>
      </c>
      <c r="F830" s="16">
        <v>27.4</v>
      </c>
      <c r="G830" s="16">
        <v>27.4</v>
      </c>
      <c r="H830" s="16">
        <v>27.4</v>
      </c>
      <c r="I830" t="s">
        <v>98</v>
      </c>
      <c r="J830">
        <v>1</v>
      </c>
      <c r="K830" t="s">
        <v>720</v>
      </c>
      <c r="L830" t="s">
        <v>385</v>
      </c>
      <c r="M830">
        <v>0</v>
      </c>
      <c r="N830" s="3" t="s">
        <v>238</v>
      </c>
      <c r="O830" s="3"/>
    </row>
    <row r="831" spans="1:15">
      <c r="A831" t="s">
        <v>1555</v>
      </c>
      <c r="B831" t="s">
        <v>554</v>
      </c>
      <c r="C831">
        <v>790617</v>
      </c>
      <c r="D831" s="16">
        <v>790.61699999999996</v>
      </c>
      <c r="E831" t="s">
        <v>722</v>
      </c>
      <c r="F831" s="16">
        <v>81</v>
      </c>
      <c r="G831" s="16">
        <v>81</v>
      </c>
      <c r="H831" s="16">
        <v>81</v>
      </c>
      <c r="I831" t="s">
        <v>140</v>
      </c>
      <c r="J831">
        <v>1</v>
      </c>
      <c r="K831" t="s">
        <v>720</v>
      </c>
      <c r="L831" t="s">
        <v>385</v>
      </c>
      <c r="M831">
        <v>0</v>
      </c>
      <c r="N831" s="3" t="s">
        <v>238</v>
      </c>
      <c r="O831" s="3"/>
    </row>
    <row r="832" spans="1:15">
      <c r="A832" t="s">
        <v>1556</v>
      </c>
      <c r="B832" t="s">
        <v>554</v>
      </c>
      <c r="C832">
        <v>790617</v>
      </c>
      <c r="D832" s="16">
        <v>790.61699999999996</v>
      </c>
      <c r="E832" t="s">
        <v>724</v>
      </c>
      <c r="F832" s="16">
        <v>-2.2999999999999998</v>
      </c>
      <c r="G832" s="16">
        <v>2.2999999999999998</v>
      </c>
      <c r="H832" s="16">
        <v>2.2999999999999998</v>
      </c>
      <c r="I832" t="s">
        <v>125</v>
      </c>
      <c r="J832">
        <v>1</v>
      </c>
      <c r="K832" t="s">
        <v>725</v>
      </c>
      <c r="L832" t="s">
        <v>385</v>
      </c>
      <c r="M832">
        <v>0</v>
      </c>
      <c r="N832" s="3" t="s">
        <v>238</v>
      </c>
      <c r="O832" s="3"/>
    </row>
    <row r="833" spans="1:15">
      <c r="A833" t="s">
        <v>1557</v>
      </c>
      <c r="B833" t="s">
        <v>554</v>
      </c>
      <c r="C833">
        <v>790617</v>
      </c>
      <c r="D833" s="16">
        <v>790.61699999999996</v>
      </c>
      <c r="E833" t="s">
        <v>727</v>
      </c>
      <c r="F833" s="16">
        <v>1</v>
      </c>
      <c r="G833" s="16">
        <v>1</v>
      </c>
      <c r="H833" s="16">
        <v>1</v>
      </c>
      <c r="I833" t="s">
        <v>728</v>
      </c>
      <c r="J833">
        <v>1</v>
      </c>
      <c r="K833" t="s">
        <v>720</v>
      </c>
      <c r="L833" t="s">
        <v>385</v>
      </c>
      <c r="M833">
        <v>0</v>
      </c>
      <c r="N833" s="3" t="s">
        <v>238</v>
      </c>
      <c r="O833" s="3"/>
    </row>
    <row r="834" spans="1:15">
      <c r="A834" t="s">
        <v>1558</v>
      </c>
      <c r="B834" t="s">
        <v>554</v>
      </c>
      <c r="C834">
        <v>790617</v>
      </c>
      <c r="D834" s="16">
        <v>790.61699999999996</v>
      </c>
      <c r="E834" t="s">
        <v>730</v>
      </c>
      <c r="F834" s="16">
        <v>0</v>
      </c>
      <c r="G834" s="16">
        <v>0</v>
      </c>
      <c r="H834" s="16">
        <v>0</v>
      </c>
      <c r="I834" t="s">
        <v>107</v>
      </c>
      <c r="J834">
        <v>1</v>
      </c>
      <c r="K834" t="s">
        <v>720</v>
      </c>
      <c r="L834" t="s">
        <v>385</v>
      </c>
      <c r="M834">
        <v>0</v>
      </c>
      <c r="N834" s="3" t="s">
        <v>238</v>
      </c>
      <c r="O834" s="3"/>
    </row>
    <row r="835" spans="1:15">
      <c r="A835" t="s">
        <v>1559</v>
      </c>
      <c r="B835" t="s">
        <v>555</v>
      </c>
      <c r="C835">
        <v>795635</v>
      </c>
      <c r="D835" s="16">
        <v>795.63499999999999</v>
      </c>
      <c r="E835" t="s">
        <v>719</v>
      </c>
      <c r="F835" s="16">
        <v>27.4</v>
      </c>
      <c r="G835" s="16">
        <v>27.4</v>
      </c>
      <c r="H835" s="16">
        <v>27.4</v>
      </c>
      <c r="I835" t="s">
        <v>98</v>
      </c>
      <c r="J835">
        <v>1</v>
      </c>
      <c r="K835" t="s">
        <v>720</v>
      </c>
      <c r="L835" t="s">
        <v>385</v>
      </c>
      <c r="M835">
        <v>0</v>
      </c>
      <c r="N835" s="3" t="s">
        <v>238</v>
      </c>
      <c r="O835" s="3"/>
    </row>
    <row r="836" spans="1:15">
      <c r="A836" t="s">
        <v>1560</v>
      </c>
      <c r="B836" t="s">
        <v>555</v>
      </c>
      <c r="C836">
        <v>795635</v>
      </c>
      <c r="D836" s="16">
        <v>795.63499999999999</v>
      </c>
      <c r="E836" t="s">
        <v>722</v>
      </c>
      <c r="F836" s="16">
        <v>81.099999999999994</v>
      </c>
      <c r="G836" s="16">
        <v>81.099999999999994</v>
      </c>
      <c r="H836" s="16">
        <v>81.099999999999994</v>
      </c>
      <c r="I836" t="s">
        <v>140</v>
      </c>
      <c r="J836">
        <v>1</v>
      </c>
      <c r="K836" t="s">
        <v>720</v>
      </c>
      <c r="L836" t="s">
        <v>385</v>
      </c>
      <c r="M836">
        <v>0</v>
      </c>
      <c r="N836" s="3" t="s">
        <v>238</v>
      </c>
      <c r="O836" s="3"/>
    </row>
    <row r="837" spans="1:15">
      <c r="A837" t="s">
        <v>1561</v>
      </c>
      <c r="B837" t="s">
        <v>555</v>
      </c>
      <c r="C837">
        <v>795635</v>
      </c>
      <c r="D837" s="16">
        <v>795.63499999999999</v>
      </c>
      <c r="E837" t="s">
        <v>724</v>
      </c>
      <c r="F837" s="16">
        <v>-2.2999999999999998</v>
      </c>
      <c r="G837" s="16">
        <v>2.2999999999999998</v>
      </c>
      <c r="H837" s="16">
        <v>2.2999999999999998</v>
      </c>
      <c r="I837" t="s">
        <v>125</v>
      </c>
      <c r="J837">
        <v>1</v>
      </c>
      <c r="K837" t="s">
        <v>725</v>
      </c>
      <c r="L837" t="s">
        <v>385</v>
      </c>
      <c r="M837">
        <v>0</v>
      </c>
      <c r="N837" s="3" t="s">
        <v>238</v>
      </c>
      <c r="O837" s="3"/>
    </row>
    <row r="838" spans="1:15">
      <c r="A838" t="s">
        <v>1562</v>
      </c>
      <c r="B838" t="s">
        <v>555</v>
      </c>
      <c r="C838">
        <v>795635</v>
      </c>
      <c r="D838" s="16">
        <v>795.63499999999999</v>
      </c>
      <c r="E838" t="s">
        <v>727</v>
      </c>
      <c r="F838" s="16">
        <v>1</v>
      </c>
      <c r="G838" s="16">
        <v>1</v>
      </c>
      <c r="H838" s="16">
        <v>1</v>
      </c>
      <c r="I838" t="s">
        <v>728</v>
      </c>
      <c r="J838">
        <v>1</v>
      </c>
      <c r="K838" t="s">
        <v>720</v>
      </c>
      <c r="L838" t="s">
        <v>385</v>
      </c>
      <c r="M838">
        <v>0</v>
      </c>
      <c r="N838" s="3" t="s">
        <v>238</v>
      </c>
      <c r="O838" s="3"/>
    </row>
    <row r="839" spans="1:15">
      <c r="A839" t="s">
        <v>1563</v>
      </c>
      <c r="B839" t="s">
        <v>555</v>
      </c>
      <c r="C839">
        <v>795635</v>
      </c>
      <c r="D839" s="16">
        <v>795.63499999999999</v>
      </c>
      <c r="E839" t="s">
        <v>730</v>
      </c>
      <c r="F839" s="16">
        <v>0</v>
      </c>
      <c r="G839" s="16">
        <v>0</v>
      </c>
      <c r="H839" s="16">
        <v>0</v>
      </c>
      <c r="I839" t="s">
        <v>107</v>
      </c>
      <c r="J839">
        <v>1</v>
      </c>
      <c r="K839" t="s">
        <v>720</v>
      </c>
      <c r="L839" t="s">
        <v>385</v>
      </c>
      <c r="M839">
        <v>0</v>
      </c>
      <c r="N839" s="3" t="s">
        <v>238</v>
      </c>
      <c r="O839" s="3"/>
    </row>
    <row r="840" spans="1:15">
      <c r="A840" t="s">
        <v>1564</v>
      </c>
      <c r="B840" t="s">
        <v>556</v>
      </c>
      <c r="C840">
        <v>800652</v>
      </c>
      <c r="D840" s="16">
        <v>800.65200000000004</v>
      </c>
      <c r="E840" t="s">
        <v>719</v>
      </c>
      <c r="F840" s="16">
        <v>27.4</v>
      </c>
      <c r="G840" s="16">
        <v>27.4</v>
      </c>
      <c r="H840" s="16">
        <v>27.4</v>
      </c>
      <c r="I840" t="s">
        <v>98</v>
      </c>
      <c r="J840">
        <v>1</v>
      </c>
      <c r="K840" t="s">
        <v>720</v>
      </c>
      <c r="L840" t="s">
        <v>385</v>
      </c>
      <c r="M840">
        <v>0</v>
      </c>
      <c r="N840" s="3" t="s">
        <v>238</v>
      </c>
      <c r="O840" s="3"/>
    </row>
    <row r="841" spans="1:15">
      <c r="A841" t="s">
        <v>1565</v>
      </c>
      <c r="B841" t="s">
        <v>556</v>
      </c>
      <c r="C841">
        <v>800652</v>
      </c>
      <c r="D841" s="16">
        <v>800.65200000000004</v>
      </c>
      <c r="E841" t="s">
        <v>722</v>
      </c>
      <c r="F841" s="16">
        <v>81.099999999999994</v>
      </c>
      <c r="G841" s="16">
        <v>81.099999999999994</v>
      </c>
      <c r="H841" s="16">
        <v>81.099999999999994</v>
      </c>
      <c r="I841" t="s">
        <v>140</v>
      </c>
      <c r="J841">
        <v>1</v>
      </c>
      <c r="K841" t="s">
        <v>720</v>
      </c>
      <c r="L841" t="s">
        <v>385</v>
      </c>
      <c r="M841">
        <v>0</v>
      </c>
      <c r="N841" s="3" t="s">
        <v>238</v>
      </c>
      <c r="O841" s="3"/>
    </row>
    <row r="842" spans="1:15">
      <c r="A842" t="s">
        <v>1566</v>
      </c>
      <c r="B842" t="s">
        <v>556</v>
      </c>
      <c r="C842">
        <v>800652</v>
      </c>
      <c r="D842" s="16">
        <v>800.65200000000004</v>
      </c>
      <c r="E842" t="s">
        <v>724</v>
      </c>
      <c r="F842" s="16">
        <v>-2.2999999999999998</v>
      </c>
      <c r="G842" s="16">
        <v>2.2999999999999998</v>
      </c>
      <c r="H842" s="16">
        <v>2.2999999999999998</v>
      </c>
      <c r="I842" t="s">
        <v>125</v>
      </c>
      <c r="J842">
        <v>1</v>
      </c>
      <c r="K842" t="s">
        <v>725</v>
      </c>
      <c r="L842" t="s">
        <v>385</v>
      </c>
      <c r="M842">
        <v>0</v>
      </c>
      <c r="N842" s="3" t="s">
        <v>238</v>
      </c>
      <c r="O842" s="3"/>
    </row>
    <row r="843" spans="1:15">
      <c r="A843" t="s">
        <v>1567</v>
      </c>
      <c r="B843" t="s">
        <v>556</v>
      </c>
      <c r="C843">
        <v>800652</v>
      </c>
      <c r="D843" s="16">
        <v>800.65200000000004</v>
      </c>
      <c r="E843" t="s">
        <v>727</v>
      </c>
      <c r="F843" s="16">
        <v>1</v>
      </c>
      <c r="G843" s="16">
        <v>1</v>
      </c>
      <c r="H843" s="16">
        <v>1</v>
      </c>
      <c r="I843" t="s">
        <v>728</v>
      </c>
      <c r="J843">
        <v>1</v>
      </c>
      <c r="K843" t="s">
        <v>720</v>
      </c>
      <c r="L843" t="s">
        <v>385</v>
      </c>
      <c r="M843">
        <v>0</v>
      </c>
      <c r="N843" s="3" t="s">
        <v>238</v>
      </c>
      <c r="O843" s="3"/>
    </row>
    <row r="844" spans="1:15">
      <c r="A844" t="s">
        <v>1568</v>
      </c>
      <c r="B844" t="s">
        <v>556</v>
      </c>
      <c r="C844">
        <v>800652</v>
      </c>
      <c r="D844" s="16">
        <v>800.65200000000004</v>
      </c>
      <c r="E844" t="s">
        <v>730</v>
      </c>
      <c r="F844" s="16">
        <v>0</v>
      </c>
      <c r="G844" s="16">
        <v>0</v>
      </c>
      <c r="H844" s="16">
        <v>0</v>
      </c>
      <c r="I844" t="s">
        <v>107</v>
      </c>
      <c r="J844">
        <v>1</v>
      </c>
      <c r="K844" t="s">
        <v>720</v>
      </c>
      <c r="L844" t="s">
        <v>385</v>
      </c>
      <c r="M844">
        <v>0</v>
      </c>
      <c r="N844" s="3" t="s">
        <v>238</v>
      </c>
      <c r="O844" s="3"/>
    </row>
    <row r="845" spans="1:15">
      <c r="A845" t="s">
        <v>1569</v>
      </c>
      <c r="B845" t="s">
        <v>557</v>
      </c>
      <c r="C845">
        <v>805668</v>
      </c>
      <c r="D845" s="16">
        <v>805.66800000000001</v>
      </c>
      <c r="E845" t="s">
        <v>719</v>
      </c>
      <c r="F845" s="16">
        <v>27.4</v>
      </c>
      <c r="G845" s="16">
        <v>27.4</v>
      </c>
      <c r="H845" s="16">
        <v>27.4</v>
      </c>
      <c r="I845" t="s">
        <v>98</v>
      </c>
      <c r="J845">
        <v>1</v>
      </c>
      <c r="K845" t="s">
        <v>720</v>
      </c>
      <c r="L845" t="s">
        <v>385</v>
      </c>
      <c r="M845">
        <v>0</v>
      </c>
      <c r="N845" s="3" t="s">
        <v>238</v>
      </c>
      <c r="O845" s="3"/>
    </row>
    <row r="846" spans="1:15">
      <c r="A846" t="s">
        <v>1570</v>
      </c>
      <c r="B846" t="s">
        <v>557</v>
      </c>
      <c r="C846">
        <v>805668</v>
      </c>
      <c r="D846" s="16">
        <v>805.66800000000001</v>
      </c>
      <c r="E846" t="s">
        <v>722</v>
      </c>
      <c r="F846" s="16">
        <v>81</v>
      </c>
      <c r="G846" s="16">
        <v>81</v>
      </c>
      <c r="H846" s="16">
        <v>81</v>
      </c>
      <c r="I846" t="s">
        <v>140</v>
      </c>
      <c r="J846">
        <v>1</v>
      </c>
      <c r="K846" t="s">
        <v>720</v>
      </c>
      <c r="L846" t="s">
        <v>385</v>
      </c>
      <c r="M846">
        <v>0</v>
      </c>
      <c r="N846" s="3" t="s">
        <v>238</v>
      </c>
      <c r="O846" s="3"/>
    </row>
    <row r="847" spans="1:15">
      <c r="A847" t="s">
        <v>1571</v>
      </c>
      <c r="B847" t="s">
        <v>557</v>
      </c>
      <c r="C847">
        <v>805668</v>
      </c>
      <c r="D847" s="16">
        <v>805.66800000000001</v>
      </c>
      <c r="E847" t="s">
        <v>724</v>
      </c>
      <c r="F847" s="16">
        <v>-2.2999999999999998</v>
      </c>
      <c r="G847" s="16">
        <v>2.2999999999999998</v>
      </c>
      <c r="H847" s="16">
        <v>2.2999999999999998</v>
      </c>
      <c r="I847" t="s">
        <v>125</v>
      </c>
      <c r="J847">
        <v>1</v>
      </c>
      <c r="K847" t="s">
        <v>725</v>
      </c>
      <c r="L847" t="s">
        <v>385</v>
      </c>
      <c r="M847">
        <v>0</v>
      </c>
      <c r="N847" s="3" t="s">
        <v>238</v>
      </c>
      <c r="O847" s="3"/>
    </row>
    <row r="848" spans="1:15">
      <c r="A848" t="s">
        <v>1572</v>
      </c>
      <c r="B848" t="s">
        <v>557</v>
      </c>
      <c r="C848">
        <v>805668</v>
      </c>
      <c r="D848" s="16">
        <v>805.66800000000001</v>
      </c>
      <c r="E848" t="s">
        <v>727</v>
      </c>
      <c r="F848" s="16">
        <v>1</v>
      </c>
      <c r="G848" s="16">
        <v>1</v>
      </c>
      <c r="H848" s="16">
        <v>1</v>
      </c>
      <c r="I848" t="s">
        <v>728</v>
      </c>
      <c r="J848">
        <v>1</v>
      </c>
      <c r="K848" t="s">
        <v>720</v>
      </c>
      <c r="L848" t="s">
        <v>385</v>
      </c>
      <c r="M848">
        <v>0</v>
      </c>
      <c r="N848" s="3" t="s">
        <v>238</v>
      </c>
      <c r="O848" s="3"/>
    </row>
    <row r="849" spans="1:15">
      <c r="A849" t="s">
        <v>1573</v>
      </c>
      <c r="B849" t="s">
        <v>557</v>
      </c>
      <c r="C849">
        <v>805668</v>
      </c>
      <c r="D849" s="16">
        <v>805.66800000000001</v>
      </c>
      <c r="E849" t="s">
        <v>730</v>
      </c>
      <c r="F849" s="16">
        <v>0</v>
      </c>
      <c r="G849" s="16">
        <v>0</v>
      </c>
      <c r="H849" s="16">
        <v>0</v>
      </c>
      <c r="I849" t="s">
        <v>107</v>
      </c>
      <c r="J849">
        <v>1</v>
      </c>
      <c r="K849" t="s">
        <v>720</v>
      </c>
      <c r="L849" t="s">
        <v>385</v>
      </c>
      <c r="M849">
        <v>0</v>
      </c>
      <c r="N849" s="3" t="s">
        <v>238</v>
      </c>
      <c r="O849" s="3"/>
    </row>
    <row r="850" spans="1:15">
      <c r="A850" t="s">
        <v>1574</v>
      </c>
      <c r="B850" t="s">
        <v>558</v>
      </c>
      <c r="C850">
        <v>810687</v>
      </c>
      <c r="D850" s="16">
        <v>810.68700000000001</v>
      </c>
      <c r="E850" t="s">
        <v>719</v>
      </c>
      <c r="F850" s="16">
        <v>27.4</v>
      </c>
      <c r="G850" s="16">
        <v>27.4</v>
      </c>
      <c r="H850" s="16">
        <v>27.4</v>
      </c>
      <c r="I850" t="s">
        <v>98</v>
      </c>
      <c r="J850">
        <v>1</v>
      </c>
      <c r="K850" t="s">
        <v>720</v>
      </c>
      <c r="L850" t="s">
        <v>385</v>
      </c>
      <c r="M850">
        <v>0</v>
      </c>
      <c r="N850" s="3" t="s">
        <v>238</v>
      </c>
      <c r="O850" s="3"/>
    </row>
    <row r="851" spans="1:15">
      <c r="A851" t="s">
        <v>1575</v>
      </c>
      <c r="B851" t="s">
        <v>558</v>
      </c>
      <c r="C851">
        <v>810687</v>
      </c>
      <c r="D851" s="16">
        <v>810.68700000000001</v>
      </c>
      <c r="E851" t="s">
        <v>722</v>
      </c>
      <c r="F851" s="16">
        <v>81</v>
      </c>
      <c r="G851" s="16">
        <v>81</v>
      </c>
      <c r="H851" s="16">
        <v>81</v>
      </c>
      <c r="I851" t="s">
        <v>140</v>
      </c>
      <c r="J851">
        <v>1</v>
      </c>
      <c r="K851" t="s">
        <v>720</v>
      </c>
      <c r="L851" t="s">
        <v>385</v>
      </c>
      <c r="M851">
        <v>0</v>
      </c>
      <c r="N851" s="3" t="s">
        <v>238</v>
      </c>
      <c r="O851" s="3"/>
    </row>
    <row r="852" spans="1:15">
      <c r="A852" t="s">
        <v>1576</v>
      </c>
      <c r="B852" t="s">
        <v>558</v>
      </c>
      <c r="C852">
        <v>810687</v>
      </c>
      <c r="D852" s="16">
        <v>810.68700000000001</v>
      </c>
      <c r="E852" t="s">
        <v>724</v>
      </c>
      <c r="F852" s="16">
        <v>-2.2999999999999998</v>
      </c>
      <c r="G852" s="16">
        <v>2.2999999999999998</v>
      </c>
      <c r="H852" s="16">
        <v>2.2999999999999998</v>
      </c>
      <c r="I852" t="s">
        <v>125</v>
      </c>
      <c r="J852">
        <v>1</v>
      </c>
      <c r="K852" t="s">
        <v>725</v>
      </c>
      <c r="L852" t="s">
        <v>385</v>
      </c>
      <c r="M852">
        <v>0</v>
      </c>
      <c r="N852" s="3" t="s">
        <v>238</v>
      </c>
      <c r="O852" s="3"/>
    </row>
    <row r="853" spans="1:15">
      <c r="A853" t="s">
        <v>1577</v>
      </c>
      <c r="B853" t="s">
        <v>558</v>
      </c>
      <c r="C853">
        <v>810687</v>
      </c>
      <c r="D853" s="16">
        <v>810.68700000000001</v>
      </c>
      <c r="E853" t="s">
        <v>727</v>
      </c>
      <c r="F853" s="16">
        <v>1</v>
      </c>
      <c r="G853" s="16">
        <v>1</v>
      </c>
      <c r="H853" s="16">
        <v>1</v>
      </c>
      <c r="I853" t="s">
        <v>728</v>
      </c>
      <c r="J853">
        <v>1</v>
      </c>
      <c r="K853" t="s">
        <v>720</v>
      </c>
      <c r="L853" t="s">
        <v>385</v>
      </c>
      <c r="M853">
        <v>0</v>
      </c>
      <c r="N853" s="3" t="s">
        <v>238</v>
      </c>
      <c r="O853" s="3"/>
    </row>
    <row r="854" spans="1:15">
      <c r="A854" t="s">
        <v>1578</v>
      </c>
      <c r="B854" t="s">
        <v>558</v>
      </c>
      <c r="C854">
        <v>810687</v>
      </c>
      <c r="D854" s="16">
        <v>810.68700000000001</v>
      </c>
      <c r="E854" t="s">
        <v>730</v>
      </c>
      <c r="F854" s="16">
        <v>0</v>
      </c>
      <c r="G854" s="16">
        <v>0</v>
      </c>
      <c r="H854" s="16">
        <v>0</v>
      </c>
      <c r="I854" t="s">
        <v>107</v>
      </c>
      <c r="J854">
        <v>1</v>
      </c>
      <c r="K854" t="s">
        <v>720</v>
      </c>
      <c r="L854" t="s">
        <v>385</v>
      </c>
      <c r="M854">
        <v>0</v>
      </c>
      <c r="N854" s="3" t="s">
        <v>238</v>
      </c>
      <c r="O854" s="3"/>
    </row>
    <row r="855" spans="1:15">
      <c r="A855" t="s">
        <v>1579</v>
      </c>
      <c r="B855" t="s">
        <v>559</v>
      </c>
      <c r="C855">
        <v>815704</v>
      </c>
      <c r="D855" s="16">
        <v>815.70399999999995</v>
      </c>
      <c r="E855" t="s">
        <v>719</v>
      </c>
      <c r="F855" s="16">
        <v>27.5</v>
      </c>
      <c r="G855" s="16">
        <v>27.5</v>
      </c>
      <c r="H855" s="16">
        <v>27.5</v>
      </c>
      <c r="I855" t="s">
        <v>98</v>
      </c>
      <c r="J855">
        <v>1</v>
      </c>
      <c r="K855" t="s">
        <v>720</v>
      </c>
      <c r="L855" t="s">
        <v>385</v>
      </c>
      <c r="M855">
        <v>0</v>
      </c>
      <c r="N855" s="3" t="s">
        <v>238</v>
      </c>
      <c r="O855" s="3"/>
    </row>
    <row r="856" spans="1:15">
      <c r="A856" t="s">
        <v>1580</v>
      </c>
      <c r="B856" t="s">
        <v>559</v>
      </c>
      <c r="C856">
        <v>815704</v>
      </c>
      <c r="D856" s="16">
        <v>815.70399999999995</v>
      </c>
      <c r="E856" t="s">
        <v>722</v>
      </c>
      <c r="F856" s="16">
        <v>81.900000000000006</v>
      </c>
      <c r="G856" s="16">
        <v>81.900000000000006</v>
      </c>
      <c r="H856" s="16">
        <v>81.900000000000006</v>
      </c>
      <c r="I856" t="s">
        <v>140</v>
      </c>
      <c r="J856">
        <v>1</v>
      </c>
      <c r="K856" t="s">
        <v>720</v>
      </c>
      <c r="L856" t="s">
        <v>385</v>
      </c>
      <c r="M856">
        <v>0</v>
      </c>
      <c r="N856" s="3" t="s">
        <v>238</v>
      </c>
      <c r="O856" s="3"/>
    </row>
    <row r="857" spans="1:15">
      <c r="A857" t="s">
        <v>1581</v>
      </c>
      <c r="B857" t="s">
        <v>559</v>
      </c>
      <c r="C857">
        <v>815704</v>
      </c>
      <c r="D857" s="16">
        <v>815.70399999999995</v>
      </c>
      <c r="E857" t="s">
        <v>724</v>
      </c>
      <c r="F857" s="16">
        <v>-2.2999999999999998</v>
      </c>
      <c r="G857" s="16">
        <v>2.2999999999999998</v>
      </c>
      <c r="H857" s="16">
        <v>2.2999999999999998</v>
      </c>
      <c r="I857" t="s">
        <v>125</v>
      </c>
      <c r="J857">
        <v>1</v>
      </c>
      <c r="K857" t="s">
        <v>725</v>
      </c>
      <c r="L857" t="s">
        <v>385</v>
      </c>
      <c r="M857">
        <v>0</v>
      </c>
      <c r="N857" s="3" t="s">
        <v>238</v>
      </c>
      <c r="O857" s="3"/>
    </row>
    <row r="858" spans="1:15">
      <c r="A858" t="s">
        <v>1582</v>
      </c>
      <c r="B858" t="s">
        <v>559</v>
      </c>
      <c r="C858">
        <v>815704</v>
      </c>
      <c r="D858" s="16">
        <v>815.70399999999995</v>
      </c>
      <c r="E858" t="s">
        <v>727</v>
      </c>
      <c r="F858" s="16">
        <v>1</v>
      </c>
      <c r="G858" s="16">
        <v>1</v>
      </c>
      <c r="H858" s="16">
        <v>1</v>
      </c>
      <c r="I858" t="s">
        <v>728</v>
      </c>
      <c r="J858">
        <v>1</v>
      </c>
      <c r="K858" t="s">
        <v>720</v>
      </c>
      <c r="L858" t="s">
        <v>385</v>
      </c>
      <c r="M858">
        <v>0</v>
      </c>
      <c r="N858" s="3" t="s">
        <v>238</v>
      </c>
      <c r="O858" s="3"/>
    </row>
    <row r="859" spans="1:15">
      <c r="A859" t="s">
        <v>1583</v>
      </c>
      <c r="B859" t="s">
        <v>559</v>
      </c>
      <c r="C859">
        <v>815704</v>
      </c>
      <c r="D859" s="16">
        <v>815.70399999999995</v>
      </c>
      <c r="E859" t="s">
        <v>730</v>
      </c>
      <c r="F859" s="16">
        <v>0</v>
      </c>
      <c r="G859" s="16">
        <v>0</v>
      </c>
      <c r="H859" s="16">
        <v>0</v>
      </c>
      <c r="I859" t="s">
        <v>107</v>
      </c>
      <c r="J859">
        <v>1</v>
      </c>
      <c r="K859" t="s">
        <v>720</v>
      </c>
      <c r="L859" t="s">
        <v>385</v>
      </c>
      <c r="M859">
        <v>0</v>
      </c>
      <c r="N859" s="3" t="s">
        <v>238</v>
      </c>
      <c r="O859" s="3"/>
    </row>
    <row r="860" spans="1:15">
      <c r="A860" t="s">
        <v>1584</v>
      </c>
      <c r="B860" t="s">
        <v>560</v>
      </c>
      <c r="C860">
        <v>820720</v>
      </c>
      <c r="D860" s="16">
        <v>820.72</v>
      </c>
      <c r="E860" t="s">
        <v>719</v>
      </c>
      <c r="F860" s="16">
        <v>27.7</v>
      </c>
      <c r="G860" s="16">
        <v>27.7</v>
      </c>
      <c r="H860" s="16">
        <v>27.7</v>
      </c>
      <c r="I860" t="s">
        <v>98</v>
      </c>
      <c r="J860">
        <v>1</v>
      </c>
      <c r="K860" t="s">
        <v>720</v>
      </c>
      <c r="L860" t="s">
        <v>385</v>
      </c>
      <c r="M860">
        <v>0</v>
      </c>
      <c r="N860" s="3" t="s">
        <v>238</v>
      </c>
      <c r="O860" s="3" t="s">
        <v>561</v>
      </c>
    </row>
    <row r="861" spans="1:15">
      <c r="A861" t="s">
        <v>1585</v>
      </c>
      <c r="B861" t="s">
        <v>560</v>
      </c>
      <c r="C861">
        <v>820720</v>
      </c>
      <c r="D861" s="16">
        <v>820.72</v>
      </c>
      <c r="E861" t="s">
        <v>722</v>
      </c>
      <c r="F861" s="16">
        <v>83</v>
      </c>
      <c r="G861" s="16">
        <v>83</v>
      </c>
      <c r="H861" s="16">
        <v>83</v>
      </c>
      <c r="I861" t="s">
        <v>140</v>
      </c>
      <c r="J861">
        <v>1</v>
      </c>
      <c r="K861" t="s">
        <v>720</v>
      </c>
      <c r="L861" t="s">
        <v>385</v>
      </c>
      <c r="M861">
        <v>0</v>
      </c>
      <c r="N861" s="3" t="s">
        <v>238</v>
      </c>
      <c r="O861" s="3" t="s">
        <v>561</v>
      </c>
    </row>
    <row r="862" spans="1:15">
      <c r="A862" t="s">
        <v>1586</v>
      </c>
      <c r="B862" t="s">
        <v>560</v>
      </c>
      <c r="C862">
        <v>820720</v>
      </c>
      <c r="D862" s="16">
        <v>820.72</v>
      </c>
      <c r="E862" t="s">
        <v>724</v>
      </c>
      <c r="F862" s="16">
        <v>-2.4</v>
      </c>
      <c r="G862" s="16">
        <v>2.4</v>
      </c>
      <c r="H862" s="16">
        <v>2.4</v>
      </c>
      <c r="I862" t="s">
        <v>125</v>
      </c>
      <c r="J862">
        <v>1</v>
      </c>
      <c r="K862" t="s">
        <v>725</v>
      </c>
      <c r="L862" t="s">
        <v>385</v>
      </c>
      <c r="M862">
        <v>0</v>
      </c>
      <c r="N862" s="3" t="s">
        <v>238</v>
      </c>
      <c r="O862" s="3" t="s">
        <v>561</v>
      </c>
    </row>
    <row r="863" spans="1:15">
      <c r="A863" t="s">
        <v>1587</v>
      </c>
      <c r="B863" t="s">
        <v>560</v>
      </c>
      <c r="C863">
        <v>820720</v>
      </c>
      <c r="D863" s="16">
        <v>820.72</v>
      </c>
      <c r="E863" t="s">
        <v>727</v>
      </c>
      <c r="F863" s="16">
        <v>1</v>
      </c>
      <c r="G863" s="16">
        <v>1</v>
      </c>
      <c r="H863" s="16">
        <v>1</v>
      </c>
      <c r="I863" t="s">
        <v>728</v>
      </c>
      <c r="J863">
        <v>1</v>
      </c>
      <c r="K863" t="s">
        <v>720</v>
      </c>
      <c r="L863" t="s">
        <v>385</v>
      </c>
      <c r="M863">
        <v>0</v>
      </c>
      <c r="N863" s="3" t="s">
        <v>238</v>
      </c>
      <c r="O863" s="3" t="s">
        <v>561</v>
      </c>
    </row>
    <row r="864" spans="1:15">
      <c r="A864" t="s">
        <v>1588</v>
      </c>
      <c r="B864" t="s">
        <v>560</v>
      </c>
      <c r="C864">
        <v>820720</v>
      </c>
      <c r="D864" s="16">
        <v>820.72</v>
      </c>
      <c r="E864" t="s">
        <v>730</v>
      </c>
      <c r="F864" s="16">
        <v>0</v>
      </c>
      <c r="G864" s="16">
        <v>0</v>
      </c>
      <c r="H864" s="16">
        <v>0</v>
      </c>
      <c r="I864" t="s">
        <v>107</v>
      </c>
      <c r="J864">
        <v>1</v>
      </c>
      <c r="K864" t="s">
        <v>720</v>
      </c>
      <c r="L864" t="s">
        <v>385</v>
      </c>
      <c r="M864">
        <v>0</v>
      </c>
      <c r="N864" s="3" t="s">
        <v>238</v>
      </c>
      <c r="O864" s="3" t="s">
        <v>561</v>
      </c>
    </row>
    <row r="865" spans="1:15">
      <c r="A865" t="s">
        <v>1589</v>
      </c>
      <c r="B865" t="s">
        <v>566</v>
      </c>
      <c r="C865">
        <v>825795</v>
      </c>
      <c r="D865" s="16">
        <v>825.79499999999996</v>
      </c>
      <c r="E865" t="s">
        <v>719</v>
      </c>
      <c r="F865" s="16">
        <v>28.1</v>
      </c>
      <c r="G865" s="16">
        <v>28.1</v>
      </c>
      <c r="H865" s="16">
        <v>28.1</v>
      </c>
      <c r="I865" t="s">
        <v>98</v>
      </c>
      <c r="J865">
        <v>1</v>
      </c>
      <c r="K865" t="s">
        <v>720</v>
      </c>
      <c r="L865" t="s">
        <v>567</v>
      </c>
      <c r="M865">
        <v>0</v>
      </c>
      <c r="N865" s="3" t="s">
        <v>238</v>
      </c>
      <c r="O865" s="3"/>
    </row>
    <row r="866" spans="1:15">
      <c r="A866" t="s">
        <v>1590</v>
      </c>
      <c r="B866" t="s">
        <v>566</v>
      </c>
      <c r="C866">
        <v>825795</v>
      </c>
      <c r="D866" s="16">
        <v>825.79499999999996</v>
      </c>
      <c r="E866" t="s">
        <v>722</v>
      </c>
      <c r="F866" s="16">
        <v>84.3</v>
      </c>
      <c r="G866" s="16">
        <v>84.3</v>
      </c>
      <c r="H866" s="16">
        <v>84.3</v>
      </c>
      <c r="I866" t="s">
        <v>140</v>
      </c>
      <c r="J866">
        <v>1</v>
      </c>
      <c r="K866" t="s">
        <v>720</v>
      </c>
      <c r="L866" t="s">
        <v>567</v>
      </c>
      <c r="M866">
        <v>0</v>
      </c>
      <c r="N866" s="3" t="s">
        <v>238</v>
      </c>
      <c r="O866" s="3"/>
    </row>
    <row r="867" spans="1:15">
      <c r="A867" t="s">
        <v>1591</v>
      </c>
      <c r="B867" t="s">
        <v>566</v>
      </c>
      <c r="C867">
        <v>825795</v>
      </c>
      <c r="D867" s="16">
        <v>825.79499999999996</v>
      </c>
      <c r="E867" t="s">
        <v>724</v>
      </c>
      <c r="F867" s="16">
        <v>-2.5</v>
      </c>
      <c r="G867" s="16">
        <v>2.5</v>
      </c>
      <c r="H867" s="16">
        <v>2.5</v>
      </c>
      <c r="I867" t="s">
        <v>125</v>
      </c>
      <c r="J867">
        <v>1</v>
      </c>
      <c r="K867" t="s">
        <v>725</v>
      </c>
      <c r="L867" t="s">
        <v>567</v>
      </c>
      <c r="M867">
        <v>0</v>
      </c>
      <c r="N867" s="3" t="s">
        <v>238</v>
      </c>
      <c r="O867" s="3"/>
    </row>
    <row r="868" spans="1:15">
      <c r="A868" t="s">
        <v>1592</v>
      </c>
      <c r="B868" t="s">
        <v>566</v>
      </c>
      <c r="C868">
        <v>825795</v>
      </c>
      <c r="D868" s="16">
        <v>825.79499999999996</v>
      </c>
      <c r="E868" t="s">
        <v>727</v>
      </c>
      <c r="F868" s="16">
        <v>1</v>
      </c>
      <c r="G868" s="16">
        <v>1</v>
      </c>
      <c r="H868" s="16">
        <v>1</v>
      </c>
      <c r="I868" t="s">
        <v>728</v>
      </c>
      <c r="J868">
        <v>1</v>
      </c>
      <c r="K868" t="s">
        <v>720</v>
      </c>
      <c r="L868" t="s">
        <v>567</v>
      </c>
      <c r="M868">
        <v>0</v>
      </c>
      <c r="N868" s="3" t="s">
        <v>238</v>
      </c>
      <c r="O868" s="3"/>
    </row>
    <row r="869" spans="1:15">
      <c r="A869" t="s">
        <v>1593</v>
      </c>
      <c r="B869" t="s">
        <v>566</v>
      </c>
      <c r="C869">
        <v>825795</v>
      </c>
      <c r="D869" s="16">
        <v>825.79499999999996</v>
      </c>
      <c r="E869" t="s">
        <v>730</v>
      </c>
      <c r="F869" s="16">
        <v>0</v>
      </c>
      <c r="G869" s="16">
        <v>0</v>
      </c>
      <c r="H869" s="16">
        <v>0</v>
      </c>
      <c r="I869" t="s">
        <v>107</v>
      </c>
      <c r="J869">
        <v>1</v>
      </c>
      <c r="K869" t="s">
        <v>720</v>
      </c>
      <c r="L869" t="s">
        <v>567</v>
      </c>
      <c r="M869">
        <v>0</v>
      </c>
      <c r="N869" s="3" t="s">
        <v>238</v>
      </c>
      <c r="O869" s="3"/>
    </row>
    <row r="870" spans="1:15">
      <c r="A870" t="s">
        <v>1594</v>
      </c>
      <c r="B870" t="s">
        <v>570</v>
      </c>
      <c r="C870">
        <v>830752</v>
      </c>
      <c r="D870" s="16">
        <v>830.75199999999995</v>
      </c>
      <c r="E870" t="s">
        <v>719</v>
      </c>
      <c r="F870" s="16">
        <v>28.6</v>
      </c>
      <c r="G870" s="16">
        <v>28.6</v>
      </c>
      <c r="H870" s="16">
        <v>28.6</v>
      </c>
      <c r="I870" t="s">
        <v>98</v>
      </c>
      <c r="J870">
        <v>1</v>
      </c>
      <c r="K870" t="s">
        <v>720</v>
      </c>
      <c r="L870" t="s">
        <v>571</v>
      </c>
      <c r="M870">
        <v>0</v>
      </c>
      <c r="N870" s="3" t="s">
        <v>238</v>
      </c>
      <c r="O870" s="3"/>
    </row>
    <row r="871" spans="1:15">
      <c r="A871" t="s">
        <v>1595</v>
      </c>
      <c r="B871" t="s">
        <v>570</v>
      </c>
      <c r="C871">
        <v>830752</v>
      </c>
      <c r="D871" s="16">
        <v>830.75199999999995</v>
      </c>
      <c r="E871" t="s">
        <v>722</v>
      </c>
      <c r="F871" s="16">
        <v>83.8</v>
      </c>
      <c r="G871" s="16">
        <v>83.8</v>
      </c>
      <c r="H871" s="16">
        <v>83.8</v>
      </c>
      <c r="I871" t="s">
        <v>140</v>
      </c>
      <c r="J871">
        <v>1</v>
      </c>
      <c r="K871" t="s">
        <v>720</v>
      </c>
      <c r="L871" t="s">
        <v>571</v>
      </c>
      <c r="M871">
        <v>0</v>
      </c>
      <c r="N871" s="3" t="s">
        <v>238</v>
      </c>
      <c r="O871" s="3"/>
    </row>
    <row r="872" spans="1:15">
      <c r="A872" t="s">
        <v>1596</v>
      </c>
      <c r="B872" t="s">
        <v>570</v>
      </c>
      <c r="C872">
        <v>830752</v>
      </c>
      <c r="D872" s="16">
        <v>830.75199999999995</v>
      </c>
      <c r="E872" t="s">
        <v>724</v>
      </c>
      <c r="F872" s="16">
        <v>-1.9</v>
      </c>
      <c r="G872" s="16">
        <v>1.9</v>
      </c>
      <c r="H872" s="16">
        <v>1.9</v>
      </c>
      <c r="I872" t="s">
        <v>125</v>
      </c>
      <c r="J872">
        <v>1</v>
      </c>
      <c r="K872" t="s">
        <v>725</v>
      </c>
      <c r="L872" t="s">
        <v>571</v>
      </c>
      <c r="M872">
        <v>0</v>
      </c>
      <c r="N872" s="3" t="s">
        <v>238</v>
      </c>
      <c r="O872" s="3"/>
    </row>
    <row r="873" spans="1:15">
      <c r="A873" t="s">
        <v>1597</v>
      </c>
      <c r="B873" t="s">
        <v>570</v>
      </c>
      <c r="C873">
        <v>830752</v>
      </c>
      <c r="D873" s="16">
        <v>830.75199999999995</v>
      </c>
      <c r="E873" t="s">
        <v>727</v>
      </c>
      <c r="F873" s="16">
        <v>1</v>
      </c>
      <c r="G873" s="16">
        <v>1</v>
      </c>
      <c r="H873" s="16">
        <v>1</v>
      </c>
      <c r="I873" t="s">
        <v>728</v>
      </c>
      <c r="J873">
        <v>1</v>
      </c>
      <c r="K873" t="s">
        <v>720</v>
      </c>
      <c r="L873" t="s">
        <v>571</v>
      </c>
      <c r="M873">
        <v>0</v>
      </c>
      <c r="N873" s="3" t="s">
        <v>238</v>
      </c>
      <c r="O873" s="3"/>
    </row>
    <row r="874" spans="1:15">
      <c r="A874" t="s">
        <v>1598</v>
      </c>
      <c r="B874" t="s">
        <v>570</v>
      </c>
      <c r="C874">
        <v>830752</v>
      </c>
      <c r="D874" s="16">
        <v>830.75199999999995</v>
      </c>
      <c r="E874" t="s">
        <v>730</v>
      </c>
      <c r="F874" s="16">
        <v>0</v>
      </c>
      <c r="G874" s="16">
        <v>0</v>
      </c>
      <c r="H874" s="16">
        <v>0</v>
      </c>
      <c r="I874" t="s">
        <v>107</v>
      </c>
      <c r="J874">
        <v>1</v>
      </c>
      <c r="K874" t="s">
        <v>720</v>
      </c>
      <c r="L874" t="s">
        <v>571</v>
      </c>
      <c r="M874">
        <v>0</v>
      </c>
      <c r="N874" s="3" t="s">
        <v>238</v>
      </c>
      <c r="O874" s="3"/>
    </row>
    <row r="875" spans="1:15" ht="27.6">
      <c r="A875" t="s">
        <v>1599</v>
      </c>
      <c r="B875" t="s">
        <v>572</v>
      </c>
      <c r="C875">
        <v>835763</v>
      </c>
      <c r="D875" s="16">
        <v>835.76300000000003</v>
      </c>
      <c r="E875" t="s">
        <v>719</v>
      </c>
      <c r="F875" s="16">
        <v>29</v>
      </c>
      <c r="G875" s="16">
        <v>29</v>
      </c>
      <c r="H875" s="16">
        <v>29</v>
      </c>
      <c r="I875" t="s">
        <v>98</v>
      </c>
      <c r="J875">
        <v>1</v>
      </c>
      <c r="K875" t="s">
        <v>720</v>
      </c>
      <c r="L875" t="s">
        <v>571</v>
      </c>
      <c r="M875">
        <v>0</v>
      </c>
      <c r="N875" s="3" t="s">
        <v>325</v>
      </c>
      <c r="O875" s="3"/>
    </row>
    <row r="876" spans="1:15" ht="27.6">
      <c r="A876" t="s">
        <v>1600</v>
      </c>
      <c r="B876" t="s">
        <v>572</v>
      </c>
      <c r="C876">
        <v>835763</v>
      </c>
      <c r="D876" s="16">
        <v>835.76300000000003</v>
      </c>
      <c r="E876" t="s">
        <v>722</v>
      </c>
      <c r="F876" s="16">
        <v>72.2</v>
      </c>
      <c r="G876" s="16">
        <v>72.2</v>
      </c>
      <c r="H876" s="16">
        <v>72.2</v>
      </c>
      <c r="I876" t="s">
        <v>140</v>
      </c>
      <c r="J876">
        <v>1</v>
      </c>
      <c r="K876" t="s">
        <v>720</v>
      </c>
      <c r="L876" t="s">
        <v>571</v>
      </c>
      <c r="M876">
        <v>0</v>
      </c>
      <c r="N876" s="3" t="s">
        <v>325</v>
      </c>
      <c r="O876" s="3"/>
    </row>
    <row r="877" spans="1:15" ht="27.6">
      <c r="A877" t="s">
        <v>1601</v>
      </c>
      <c r="B877" t="s">
        <v>572</v>
      </c>
      <c r="C877">
        <v>835763</v>
      </c>
      <c r="D877" s="16">
        <v>835.76300000000003</v>
      </c>
      <c r="E877" t="s">
        <v>724</v>
      </c>
      <c r="F877" s="16">
        <v>-1.8</v>
      </c>
      <c r="G877" s="16">
        <v>1.8</v>
      </c>
      <c r="H877" s="16">
        <v>1.8</v>
      </c>
      <c r="I877" t="s">
        <v>125</v>
      </c>
      <c r="J877">
        <v>1</v>
      </c>
      <c r="K877" t="s">
        <v>725</v>
      </c>
      <c r="L877" t="s">
        <v>571</v>
      </c>
      <c r="M877">
        <v>0</v>
      </c>
      <c r="N877" s="3" t="s">
        <v>325</v>
      </c>
      <c r="O877" s="3"/>
    </row>
    <row r="878" spans="1:15" ht="27.6">
      <c r="A878" t="s">
        <v>1602</v>
      </c>
      <c r="B878" t="s">
        <v>572</v>
      </c>
      <c r="C878">
        <v>835763</v>
      </c>
      <c r="D878" s="16">
        <v>835.76300000000003</v>
      </c>
      <c r="E878" t="s">
        <v>727</v>
      </c>
      <c r="F878" s="16">
        <v>1</v>
      </c>
      <c r="G878" s="16">
        <v>1</v>
      </c>
      <c r="H878" s="16">
        <v>1</v>
      </c>
      <c r="I878" t="s">
        <v>728</v>
      </c>
      <c r="J878">
        <v>1</v>
      </c>
      <c r="K878" t="s">
        <v>720</v>
      </c>
      <c r="L878" t="s">
        <v>571</v>
      </c>
      <c r="M878">
        <v>0</v>
      </c>
      <c r="N878" s="3" t="s">
        <v>325</v>
      </c>
      <c r="O878" s="3"/>
    </row>
    <row r="879" spans="1:15" ht="27.6">
      <c r="A879" t="s">
        <v>1603</v>
      </c>
      <c r="B879" t="s">
        <v>572</v>
      </c>
      <c r="C879">
        <v>835763</v>
      </c>
      <c r="D879" s="16">
        <v>835.76300000000003</v>
      </c>
      <c r="E879" t="s">
        <v>730</v>
      </c>
      <c r="F879" s="16">
        <v>69.787000000000006</v>
      </c>
      <c r="G879" s="16">
        <v>0.6978700000000001</v>
      </c>
      <c r="H879" s="16">
        <v>0.6978700000000001</v>
      </c>
      <c r="I879" t="s">
        <v>107</v>
      </c>
      <c r="J879">
        <v>1</v>
      </c>
      <c r="K879" t="s">
        <v>761</v>
      </c>
      <c r="L879" t="s">
        <v>571</v>
      </c>
      <c r="M879">
        <v>0</v>
      </c>
      <c r="N879" s="3" t="s">
        <v>325</v>
      </c>
      <c r="O879" s="3"/>
    </row>
    <row r="880" spans="1:15" ht="27.6">
      <c r="A880" t="s">
        <v>1604</v>
      </c>
      <c r="B880" t="s">
        <v>573</v>
      </c>
      <c r="C880">
        <v>841183</v>
      </c>
      <c r="D880" s="16">
        <v>841.18299999999999</v>
      </c>
      <c r="E880" t="s">
        <v>719</v>
      </c>
      <c r="F880" s="16">
        <v>29.1</v>
      </c>
      <c r="G880" s="16">
        <v>29.1</v>
      </c>
      <c r="H880" s="16">
        <v>29.1</v>
      </c>
      <c r="I880" t="s">
        <v>98</v>
      </c>
      <c r="J880">
        <v>1</v>
      </c>
      <c r="K880" t="s">
        <v>720</v>
      </c>
      <c r="L880" t="s">
        <v>571</v>
      </c>
      <c r="M880">
        <v>1</v>
      </c>
      <c r="N880" s="3" t="s">
        <v>325</v>
      </c>
      <c r="O880" s="3"/>
    </row>
    <row r="881" spans="1:15" ht="27.6">
      <c r="A881" t="s">
        <v>1605</v>
      </c>
      <c r="B881" t="s">
        <v>573</v>
      </c>
      <c r="C881">
        <v>841183</v>
      </c>
      <c r="D881" s="16">
        <v>841.18299999999999</v>
      </c>
      <c r="E881" t="s">
        <v>722</v>
      </c>
      <c r="F881" s="16">
        <v>71.3</v>
      </c>
      <c r="G881" s="16">
        <v>71.3</v>
      </c>
      <c r="H881" s="16">
        <v>71.3</v>
      </c>
      <c r="I881" t="s">
        <v>140</v>
      </c>
      <c r="J881">
        <v>1</v>
      </c>
      <c r="K881" t="s">
        <v>720</v>
      </c>
      <c r="L881" t="s">
        <v>571</v>
      </c>
      <c r="M881">
        <v>1</v>
      </c>
      <c r="N881" s="3" t="s">
        <v>325</v>
      </c>
      <c r="O881" s="3"/>
    </row>
    <row r="882" spans="1:15" ht="27.6">
      <c r="A882" t="s">
        <v>1606</v>
      </c>
      <c r="B882" t="s">
        <v>573</v>
      </c>
      <c r="C882">
        <v>841183</v>
      </c>
      <c r="D882" s="16">
        <v>841.18299999999999</v>
      </c>
      <c r="E882" t="s">
        <v>724</v>
      </c>
      <c r="F882" s="16">
        <v>-70.5</v>
      </c>
      <c r="G882" s="16">
        <v>70.5</v>
      </c>
      <c r="H882" s="16">
        <v>70.5</v>
      </c>
      <c r="I882" t="s">
        <v>125</v>
      </c>
      <c r="J882">
        <v>1</v>
      </c>
      <c r="K882" t="s">
        <v>725</v>
      </c>
      <c r="L882" t="s">
        <v>571</v>
      </c>
      <c r="M882">
        <v>1</v>
      </c>
      <c r="N882" s="3" t="s">
        <v>325</v>
      </c>
      <c r="O882" s="3"/>
    </row>
    <row r="883" spans="1:15" ht="27.6">
      <c r="A883" t="s">
        <v>1607</v>
      </c>
      <c r="B883" t="s">
        <v>573</v>
      </c>
      <c r="C883">
        <v>841183</v>
      </c>
      <c r="D883" s="16">
        <v>841.18299999999999</v>
      </c>
      <c r="E883" t="s">
        <v>727</v>
      </c>
      <c r="F883" s="16">
        <v>1</v>
      </c>
      <c r="G883" s="16">
        <v>1</v>
      </c>
      <c r="H883" s="16">
        <v>1</v>
      </c>
      <c r="I883" t="s">
        <v>728</v>
      </c>
      <c r="J883">
        <v>1</v>
      </c>
      <c r="K883" t="s">
        <v>720</v>
      </c>
      <c r="L883" t="s">
        <v>571</v>
      </c>
      <c r="M883">
        <v>1</v>
      </c>
      <c r="N883" s="3" t="s">
        <v>325</v>
      </c>
      <c r="O883" s="3"/>
    </row>
    <row r="884" spans="1:15" ht="27.6">
      <c r="A884" t="s">
        <v>1608</v>
      </c>
      <c r="B884" t="s">
        <v>573</v>
      </c>
      <c r="C884">
        <v>841183</v>
      </c>
      <c r="D884" s="16">
        <v>841.18299999999999</v>
      </c>
      <c r="E884" t="s">
        <v>730</v>
      </c>
      <c r="F884" s="16">
        <v>67.227000000000004</v>
      </c>
      <c r="G884" s="16">
        <v>0.67227000000000003</v>
      </c>
      <c r="H884" s="16">
        <v>0.67227000000000003</v>
      </c>
      <c r="I884" t="s">
        <v>107</v>
      </c>
      <c r="J884">
        <v>1</v>
      </c>
      <c r="K884" t="s">
        <v>761</v>
      </c>
      <c r="L884" t="s">
        <v>571</v>
      </c>
      <c r="M884">
        <v>1</v>
      </c>
      <c r="N884" s="3" t="s">
        <v>325</v>
      </c>
      <c r="O884" s="3"/>
    </row>
    <row r="885" spans="1:15" ht="41.4">
      <c r="A885" t="s">
        <v>1609</v>
      </c>
      <c r="B885" t="s">
        <v>577</v>
      </c>
      <c r="C885">
        <v>846615</v>
      </c>
      <c r="D885" s="16">
        <v>846.61500000000001</v>
      </c>
      <c r="E885" t="s">
        <v>719</v>
      </c>
      <c r="F885" s="16">
        <v>-1</v>
      </c>
      <c r="G885" s="16"/>
      <c r="H885" s="16">
        <v>29.1</v>
      </c>
      <c r="I885" t="s">
        <v>98</v>
      </c>
      <c r="J885">
        <v>0</v>
      </c>
      <c r="K885" t="s">
        <v>1610</v>
      </c>
      <c r="L885" t="s">
        <v>571</v>
      </c>
      <c r="M885">
        <v>1</v>
      </c>
      <c r="N885" s="3" t="s">
        <v>330</v>
      </c>
      <c r="O885" s="3"/>
    </row>
    <row r="886" spans="1:15" ht="41.4">
      <c r="A886" t="s">
        <v>1611</v>
      </c>
      <c r="B886" t="s">
        <v>577</v>
      </c>
      <c r="C886">
        <v>846615</v>
      </c>
      <c r="D886" s="16">
        <v>846.61500000000001</v>
      </c>
      <c r="E886" t="s">
        <v>722</v>
      </c>
      <c r="F886" s="16">
        <v>-1</v>
      </c>
      <c r="G886" s="16"/>
      <c r="H886" s="16">
        <v>71.3</v>
      </c>
      <c r="I886" t="s">
        <v>140</v>
      </c>
      <c r="J886">
        <v>0</v>
      </c>
      <c r="K886" t="s">
        <v>1610</v>
      </c>
      <c r="L886" t="s">
        <v>571</v>
      </c>
      <c r="M886">
        <v>1</v>
      </c>
      <c r="N886" s="3" t="s">
        <v>330</v>
      </c>
      <c r="O886" s="3"/>
    </row>
    <row r="887" spans="1:15" ht="41.4">
      <c r="A887" t="s">
        <v>1612</v>
      </c>
      <c r="B887" t="s">
        <v>577</v>
      </c>
      <c r="C887">
        <v>846615</v>
      </c>
      <c r="D887" s="16">
        <v>846.61500000000001</v>
      </c>
      <c r="E887" t="s">
        <v>724</v>
      </c>
      <c r="F887" s="16">
        <v>-136.30000000000001</v>
      </c>
      <c r="G887" s="16">
        <v>136.30000000000001</v>
      </c>
      <c r="H887" s="16">
        <v>136.30000000000001</v>
      </c>
      <c r="I887" t="s">
        <v>125</v>
      </c>
      <c r="J887">
        <v>1</v>
      </c>
      <c r="K887" t="s">
        <v>725</v>
      </c>
      <c r="L887" t="s">
        <v>571</v>
      </c>
      <c r="M887">
        <v>1</v>
      </c>
      <c r="N887" s="3" t="s">
        <v>330</v>
      </c>
      <c r="O887" s="3"/>
    </row>
    <row r="888" spans="1:15" ht="41.4">
      <c r="A888" t="s">
        <v>1613</v>
      </c>
      <c r="B888" t="s">
        <v>577</v>
      </c>
      <c r="C888">
        <v>846615</v>
      </c>
      <c r="D888" s="16">
        <v>846.61500000000001</v>
      </c>
      <c r="E888" t="s">
        <v>727</v>
      </c>
      <c r="F888" s="16">
        <v>1</v>
      </c>
      <c r="G888" s="16">
        <v>1</v>
      </c>
      <c r="H888" s="16">
        <v>1</v>
      </c>
      <c r="I888" t="s">
        <v>728</v>
      </c>
      <c r="J888">
        <v>1</v>
      </c>
      <c r="K888" t="s">
        <v>720</v>
      </c>
      <c r="L888" t="s">
        <v>571</v>
      </c>
      <c r="M888">
        <v>1</v>
      </c>
      <c r="N888" s="3" t="s">
        <v>330</v>
      </c>
      <c r="O888" s="3"/>
    </row>
    <row r="889" spans="1:15" ht="41.4">
      <c r="A889" t="s">
        <v>1614</v>
      </c>
      <c r="B889" t="s">
        <v>577</v>
      </c>
      <c r="C889">
        <v>846615</v>
      </c>
      <c r="D889" s="16">
        <v>846.61500000000001</v>
      </c>
      <c r="E889" t="s">
        <v>730</v>
      </c>
      <c r="F889" s="16">
        <v>71.492999999999995</v>
      </c>
      <c r="G889" s="16">
        <v>0.71492999999999995</v>
      </c>
      <c r="H889" s="16">
        <v>0.71492999999999995</v>
      </c>
      <c r="I889" t="s">
        <v>107</v>
      </c>
      <c r="J889">
        <v>1</v>
      </c>
      <c r="K889" t="s">
        <v>761</v>
      </c>
      <c r="L889" t="s">
        <v>571</v>
      </c>
      <c r="M889">
        <v>1</v>
      </c>
      <c r="N889" s="3" t="s">
        <v>330</v>
      </c>
      <c r="O889" s="3"/>
    </row>
    <row r="890" spans="1:15" ht="41.4">
      <c r="A890" t="s">
        <v>1615</v>
      </c>
      <c r="B890" t="s">
        <v>579</v>
      </c>
      <c r="C890">
        <v>851615</v>
      </c>
      <c r="D890" s="16">
        <v>851.61500000000001</v>
      </c>
      <c r="E890" t="s">
        <v>719</v>
      </c>
      <c r="F890" s="16">
        <v>-1</v>
      </c>
      <c r="G890" s="16"/>
      <c r="H890" s="16">
        <v>29.1</v>
      </c>
      <c r="I890" t="s">
        <v>98</v>
      </c>
      <c r="J890">
        <v>0</v>
      </c>
      <c r="K890" t="s">
        <v>1610</v>
      </c>
      <c r="L890" t="s">
        <v>571</v>
      </c>
      <c r="M890">
        <v>0</v>
      </c>
      <c r="N890" s="3" t="s">
        <v>330</v>
      </c>
      <c r="O890" s="3"/>
    </row>
    <row r="891" spans="1:15" ht="41.4">
      <c r="A891" t="s">
        <v>1616</v>
      </c>
      <c r="B891" t="s">
        <v>579</v>
      </c>
      <c r="C891">
        <v>851615</v>
      </c>
      <c r="D891" s="16">
        <v>851.61500000000001</v>
      </c>
      <c r="E891" t="s">
        <v>722</v>
      </c>
      <c r="F891" s="16">
        <v>-1</v>
      </c>
      <c r="G891" s="16"/>
      <c r="H891" s="16">
        <v>71.3</v>
      </c>
      <c r="I891" t="s">
        <v>140</v>
      </c>
      <c r="J891">
        <v>0</v>
      </c>
      <c r="K891" t="s">
        <v>1610</v>
      </c>
      <c r="L891" t="s">
        <v>571</v>
      </c>
      <c r="M891">
        <v>0</v>
      </c>
      <c r="N891" s="3" t="s">
        <v>330</v>
      </c>
      <c r="O891" s="3"/>
    </row>
    <row r="892" spans="1:15" ht="41.4">
      <c r="A892" t="s">
        <v>1617</v>
      </c>
      <c r="B892" t="s">
        <v>579</v>
      </c>
      <c r="C892">
        <v>851615</v>
      </c>
      <c r="D892" s="16">
        <v>851.61500000000001</v>
      </c>
      <c r="E892" t="s">
        <v>724</v>
      </c>
      <c r="F892" s="16">
        <v>-1.7</v>
      </c>
      <c r="G892" s="16">
        <v>1.7</v>
      </c>
      <c r="H892" s="16">
        <v>1.7</v>
      </c>
      <c r="I892" t="s">
        <v>125</v>
      </c>
      <c r="J892">
        <v>1</v>
      </c>
      <c r="K892" t="s">
        <v>725</v>
      </c>
      <c r="L892" t="s">
        <v>571</v>
      </c>
      <c r="M892">
        <v>0</v>
      </c>
      <c r="N892" s="3" t="s">
        <v>330</v>
      </c>
      <c r="O892" s="3"/>
    </row>
    <row r="893" spans="1:15" ht="41.4">
      <c r="A893" t="s">
        <v>1618</v>
      </c>
      <c r="B893" t="s">
        <v>579</v>
      </c>
      <c r="C893">
        <v>851615</v>
      </c>
      <c r="D893" s="16">
        <v>851.61500000000001</v>
      </c>
      <c r="E893" t="s">
        <v>727</v>
      </c>
      <c r="F893" s="16">
        <v>1</v>
      </c>
      <c r="G893" s="16">
        <v>1</v>
      </c>
      <c r="H893" s="16">
        <v>1</v>
      </c>
      <c r="I893" t="s">
        <v>728</v>
      </c>
      <c r="J893">
        <v>1</v>
      </c>
      <c r="K893" t="s">
        <v>720</v>
      </c>
      <c r="L893" t="s">
        <v>571</v>
      </c>
      <c r="M893">
        <v>0</v>
      </c>
      <c r="N893" s="3" t="s">
        <v>330</v>
      </c>
      <c r="O893" s="3"/>
    </row>
    <row r="894" spans="1:15" ht="41.4">
      <c r="A894" t="s">
        <v>1619</v>
      </c>
      <c r="B894" t="s">
        <v>579</v>
      </c>
      <c r="C894">
        <v>851615</v>
      </c>
      <c r="D894" s="16">
        <v>851.61500000000001</v>
      </c>
      <c r="E894" t="s">
        <v>730</v>
      </c>
      <c r="F894" s="16">
        <v>66.052999999999997</v>
      </c>
      <c r="G894" s="16">
        <v>0.66052999999999995</v>
      </c>
      <c r="H894" s="16">
        <v>0.66052999999999995</v>
      </c>
      <c r="I894" t="s">
        <v>107</v>
      </c>
      <c r="J894">
        <v>1</v>
      </c>
      <c r="K894" t="s">
        <v>761</v>
      </c>
      <c r="L894" t="s">
        <v>571</v>
      </c>
      <c r="M894">
        <v>0</v>
      </c>
      <c r="N894" s="3" t="s">
        <v>330</v>
      </c>
      <c r="O894" s="3"/>
    </row>
    <row r="895" spans="1:15" ht="27.6">
      <c r="A895" t="s">
        <v>1620</v>
      </c>
      <c r="B895" t="s">
        <v>580</v>
      </c>
      <c r="C895">
        <v>856585</v>
      </c>
      <c r="D895" s="16">
        <v>856.58500000000004</v>
      </c>
      <c r="E895" t="s">
        <v>719</v>
      </c>
      <c r="F895" s="16">
        <v>29.1</v>
      </c>
      <c r="G895" s="16">
        <v>29.1</v>
      </c>
      <c r="H895" s="16">
        <v>29.1</v>
      </c>
      <c r="I895" t="s">
        <v>98</v>
      </c>
      <c r="J895">
        <v>1</v>
      </c>
      <c r="K895" t="s">
        <v>720</v>
      </c>
      <c r="L895" t="s">
        <v>571</v>
      </c>
      <c r="M895">
        <v>0</v>
      </c>
      <c r="N895" s="3" t="s">
        <v>325</v>
      </c>
      <c r="O895" s="3"/>
    </row>
    <row r="896" spans="1:15" ht="27.6">
      <c r="A896" t="s">
        <v>1621</v>
      </c>
      <c r="B896" t="s">
        <v>580</v>
      </c>
      <c r="C896">
        <v>856585</v>
      </c>
      <c r="D896" s="16">
        <v>856.58500000000004</v>
      </c>
      <c r="E896" t="s">
        <v>722</v>
      </c>
      <c r="F896" s="16">
        <v>69.900000000000006</v>
      </c>
      <c r="G896" s="16">
        <v>69.900000000000006</v>
      </c>
      <c r="H896" s="16">
        <v>69.900000000000006</v>
      </c>
      <c r="I896" t="s">
        <v>140</v>
      </c>
      <c r="J896">
        <v>1</v>
      </c>
      <c r="K896" t="s">
        <v>720</v>
      </c>
      <c r="L896" t="s">
        <v>571</v>
      </c>
      <c r="M896">
        <v>0</v>
      </c>
      <c r="N896" s="3" t="s">
        <v>325</v>
      </c>
      <c r="O896" s="3"/>
    </row>
    <row r="897" spans="1:15" ht="27.6">
      <c r="A897" t="s">
        <v>1622</v>
      </c>
      <c r="B897" t="s">
        <v>580</v>
      </c>
      <c r="C897">
        <v>856585</v>
      </c>
      <c r="D897" s="16">
        <v>856.58500000000004</v>
      </c>
      <c r="E897" t="s">
        <v>724</v>
      </c>
      <c r="F897" s="16">
        <v>-1.9</v>
      </c>
      <c r="G897" s="16">
        <v>1.9</v>
      </c>
      <c r="H897" s="16">
        <v>1.9</v>
      </c>
      <c r="I897" t="s">
        <v>125</v>
      </c>
      <c r="J897">
        <v>1</v>
      </c>
      <c r="K897" t="s">
        <v>725</v>
      </c>
      <c r="L897" t="s">
        <v>571</v>
      </c>
      <c r="M897">
        <v>0</v>
      </c>
      <c r="N897" s="3" t="s">
        <v>325</v>
      </c>
      <c r="O897" s="3"/>
    </row>
    <row r="898" spans="1:15" ht="27.6">
      <c r="A898" t="s">
        <v>1623</v>
      </c>
      <c r="B898" t="s">
        <v>580</v>
      </c>
      <c r="C898">
        <v>856585</v>
      </c>
      <c r="D898" s="16">
        <v>856.58500000000004</v>
      </c>
      <c r="E898" t="s">
        <v>727</v>
      </c>
      <c r="F898" s="16">
        <v>1</v>
      </c>
      <c r="G898" s="16">
        <v>1</v>
      </c>
      <c r="H898" s="16">
        <v>1</v>
      </c>
      <c r="I898" t="s">
        <v>728</v>
      </c>
      <c r="J898">
        <v>1</v>
      </c>
      <c r="K898" t="s">
        <v>720</v>
      </c>
      <c r="L898" t="s">
        <v>571</v>
      </c>
      <c r="M898">
        <v>0</v>
      </c>
      <c r="N898" s="3" t="s">
        <v>325</v>
      </c>
      <c r="O898" s="3"/>
    </row>
    <row r="899" spans="1:15" ht="27.6">
      <c r="A899" t="s">
        <v>1624</v>
      </c>
      <c r="B899" t="s">
        <v>580</v>
      </c>
      <c r="C899">
        <v>856585</v>
      </c>
      <c r="D899" s="16">
        <v>856.58500000000004</v>
      </c>
      <c r="E899" t="s">
        <v>730</v>
      </c>
      <c r="F899" s="16">
        <v>65.733000000000004</v>
      </c>
      <c r="G899" s="16">
        <v>0.65733000000000008</v>
      </c>
      <c r="H899" s="16">
        <v>0.65733000000000008</v>
      </c>
      <c r="I899" t="s">
        <v>107</v>
      </c>
      <c r="J899">
        <v>1</v>
      </c>
      <c r="K899" t="s">
        <v>761</v>
      </c>
      <c r="L899" t="s">
        <v>571</v>
      </c>
      <c r="M899">
        <v>0</v>
      </c>
      <c r="N899" s="3" t="s">
        <v>325</v>
      </c>
      <c r="O899" s="3"/>
    </row>
    <row r="900" spans="1:15" ht="41.4">
      <c r="A900" t="s">
        <v>1625</v>
      </c>
      <c r="B900" t="s">
        <v>582</v>
      </c>
      <c r="C900">
        <v>861617</v>
      </c>
      <c r="D900" s="16">
        <v>861.61699999999996</v>
      </c>
      <c r="E900" t="s">
        <v>719</v>
      </c>
      <c r="F900" s="16">
        <v>-1</v>
      </c>
      <c r="G900" s="16"/>
      <c r="H900" s="16">
        <v>29.1</v>
      </c>
      <c r="I900" t="s">
        <v>98</v>
      </c>
      <c r="J900">
        <v>0</v>
      </c>
      <c r="K900" t="s">
        <v>1610</v>
      </c>
      <c r="L900" t="s">
        <v>571</v>
      </c>
      <c r="M900">
        <v>0</v>
      </c>
      <c r="N900" s="3" t="s">
        <v>330</v>
      </c>
      <c r="O900" s="3"/>
    </row>
    <row r="901" spans="1:15" ht="41.4">
      <c r="A901" t="s">
        <v>1626</v>
      </c>
      <c r="B901" t="s">
        <v>582</v>
      </c>
      <c r="C901">
        <v>861617</v>
      </c>
      <c r="D901" s="16">
        <v>861.61699999999996</v>
      </c>
      <c r="E901" t="s">
        <v>722</v>
      </c>
      <c r="F901" s="16">
        <v>-1</v>
      </c>
      <c r="G901" s="16"/>
      <c r="H901" s="16">
        <v>69.900000000000006</v>
      </c>
      <c r="I901" t="s">
        <v>140</v>
      </c>
      <c r="J901">
        <v>0</v>
      </c>
      <c r="K901" t="s">
        <v>1610</v>
      </c>
      <c r="L901" t="s">
        <v>571</v>
      </c>
      <c r="M901">
        <v>0</v>
      </c>
      <c r="N901" s="3" t="s">
        <v>330</v>
      </c>
      <c r="O901" s="3"/>
    </row>
    <row r="902" spans="1:15" ht="41.4">
      <c r="A902" t="s">
        <v>1627</v>
      </c>
      <c r="B902" t="s">
        <v>582</v>
      </c>
      <c r="C902">
        <v>861617</v>
      </c>
      <c r="D902" s="16">
        <v>861.61699999999996</v>
      </c>
      <c r="E902" t="s">
        <v>724</v>
      </c>
      <c r="F902" s="16">
        <v>-1.7</v>
      </c>
      <c r="G902" s="16">
        <v>1.7</v>
      </c>
      <c r="H902" s="16">
        <v>1.7</v>
      </c>
      <c r="I902" t="s">
        <v>125</v>
      </c>
      <c r="J902">
        <v>1</v>
      </c>
      <c r="K902" t="s">
        <v>725</v>
      </c>
      <c r="L902" t="s">
        <v>571</v>
      </c>
      <c r="M902">
        <v>0</v>
      </c>
      <c r="N902" s="3" t="s">
        <v>330</v>
      </c>
      <c r="O902" s="3"/>
    </row>
    <row r="903" spans="1:15" ht="41.4">
      <c r="A903" t="s">
        <v>1628</v>
      </c>
      <c r="B903" t="s">
        <v>582</v>
      </c>
      <c r="C903">
        <v>861617</v>
      </c>
      <c r="D903" s="16">
        <v>861.61699999999996</v>
      </c>
      <c r="E903" t="s">
        <v>727</v>
      </c>
      <c r="F903" s="16">
        <v>1</v>
      </c>
      <c r="G903" s="16">
        <v>1</v>
      </c>
      <c r="H903" s="16">
        <v>1</v>
      </c>
      <c r="I903" t="s">
        <v>728</v>
      </c>
      <c r="J903">
        <v>1</v>
      </c>
      <c r="K903" t="s">
        <v>720</v>
      </c>
      <c r="L903" t="s">
        <v>571</v>
      </c>
      <c r="M903">
        <v>0</v>
      </c>
      <c r="N903" s="3" t="s">
        <v>330</v>
      </c>
      <c r="O903" s="3"/>
    </row>
    <row r="904" spans="1:15" ht="41.4">
      <c r="A904" t="s">
        <v>1629</v>
      </c>
      <c r="B904" t="s">
        <v>582</v>
      </c>
      <c r="C904">
        <v>861617</v>
      </c>
      <c r="D904" s="16">
        <v>861.61699999999996</v>
      </c>
      <c r="E904" t="s">
        <v>730</v>
      </c>
      <c r="F904" s="16">
        <v>65.332999999999998</v>
      </c>
      <c r="G904" s="16">
        <v>0.65332999999999997</v>
      </c>
      <c r="H904" s="16">
        <v>0.65332999999999997</v>
      </c>
      <c r="I904" t="s">
        <v>107</v>
      </c>
      <c r="J904">
        <v>1</v>
      </c>
      <c r="K904" t="s">
        <v>761</v>
      </c>
      <c r="L904" t="s">
        <v>571</v>
      </c>
      <c r="M904">
        <v>0</v>
      </c>
      <c r="N904" s="3" t="s">
        <v>330</v>
      </c>
      <c r="O904" s="3"/>
    </row>
    <row r="905" spans="1:15" ht="27.6">
      <c r="A905" t="s">
        <v>1630</v>
      </c>
      <c r="B905" t="s">
        <v>583</v>
      </c>
      <c r="C905">
        <v>866584</v>
      </c>
      <c r="D905" s="16">
        <v>866.58399999999995</v>
      </c>
      <c r="E905" t="s">
        <v>719</v>
      </c>
      <c r="F905" s="16">
        <v>29</v>
      </c>
      <c r="G905" s="16">
        <v>29</v>
      </c>
      <c r="H905" s="16">
        <v>29</v>
      </c>
      <c r="I905" t="s">
        <v>98</v>
      </c>
      <c r="J905">
        <v>1</v>
      </c>
      <c r="K905" t="s">
        <v>720</v>
      </c>
      <c r="L905" t="s">
        <v>571</v>
      </c>
      <c r="M905">
        <v>0</v>
      </c>
      <c r="N905" s="3" t="s">
        <v>325</v>
      </c>
      <c r="O905" s="3"/>
    </row>
    <row r="906" spans="1:15" ht="27.6">
      <c r="A906" t="s">
        <v>1631</v>
      </c>
      <c r="B906" t="s">
        <v>583</v>
      </c>
      <c r="C906">
        <v>866584</v>
      </c>
      <c r="D906" s="16">
        <v>866.58399999999995</v>
      </c>
      <c r="E906" t="s">
        <v>722</v>
      </c>
      <c r="F906" s="16">
        <v>69.099999999999994</v>
      </c>
      <c r="G906" s="16">
        <v>69.099999999999994</v>
      </c>
      <c r="H906" s="16">
        <v>69.099999999999994</v>
      </c>
      <c r="I906" t="s">
        <v>140</v>
      </c>
      <c r="J906">
        <v>1</v>
      </c>
      <c r="K906" t="s">
        <v>720</v>
      </c>
      <c r="L906" t="s">
        <v>571</v>
      </c>
      <c r="M906">
        <v>0</v>
      </c>
      <c r="N906" s="3" t="s">
        <v>325</v>
      </c>
      <c r="O906" s="3"/>
    </row>
    <row r="907" spans="1:15" ht="27.6">
      <c r="A907" t="s">
        <v>1632</v>
      </c>
      <c r="B907" t="s">
        <v>583</v>
      </c>
      <c r="C907">
        <v>866584</v>
      </c>
      <c r="D907" s="16">
        <v>866.58399999999995</v>
      </c>
      <c r="E907" t="s">
        <v>724</v>
      </c>
      <c r="F907" s="16">
        <v>-1.8</v>
      </c>
      <c r="G907" s="16">
        <v>1.8</v>
      </c>
      <c r="H907" s="16">
        <v>1.8</v>
      </c>
      <c r="I907" t="s">
        <v>125</v>
      </c>
      <c r="J907">
        <v>1</v>
      </c>
      <c r="K907" t="s">
        <v>725</v>
      </c>
      <c r="L907" t="s">
        <v>571</v>
      </c>
      <c r="M907">
        <v>0</v>
      </c>
      <c r="N907" s="3" t="s">
        <v>325</v>
      </c>
      <c r="O907" s="3"/>
    </row>
    <row r="908" spans="1:15" ht="27.6">
      <c r="A908" t="s">
        <v>1633</v>
      </c>
      <c r="B908" t="s">
        <v>583</v>
      </c>
      <c r="C908">
        <v>866584</v>
      </c>
      <c r="D908" s="16">
        <v>866.58399999999995</v>
      </c>
      <c r="E908" t="s">
        <v>727</v>
      </c>
      <c r="F908" s="16">
        <v>1</v>
      </c>
      <c r="G908" s="16">
        <v>1</v>
      </c>
      <c r="H908" s="16">
        <v>1</v>
      </c>
      <c r="I908" t="s">
        <v>728</v>
      </c>
      <c r="J908">
        <v>1</v>
      </c>
      <c r="K908" t="s">
        <v>720</v>
      </c>
      <c r="L908" t="s">
        <v>571</v>
      </c>
      <c r="M908">
        <v>0</v>
      </c>
      <c r="N908" s="3" t="s">
        <v>325</v>
      </c>
      <c r="O908" s="3"/>
    </row>
    <row r="909" spans="1:15" ht="27.6">
      <c r="A909" t="s">
        <v>1634</v>
      </c>
      <c r="B909" t="s">
        <v>583</v>
      </c>
      <c r="C909">
        <v>866584</v>
      </c>
      <c r="D909" s="16">
        <v>866.58399999999995</v>
      </c>
      <c r="E909" t="s">
        <v>730</v>
      </c>
      <c r="F909" s="16">
        <v>63.226999999999997</v>
      </c>
      <c r="G909" s="16">
        <v>0.63227</v>
      </c>
      <c r="H909" s="16">
        <v>0.63227</v>
      </c>
      <c r="I909" t="s">
        <v>107</v>
      </c>
      <c r="J909">
        <v>1</v>
      </c>
      <c r="K909" t="s">
        <v>761</v>
      </c>
      <c r="L909" t="s">
        <v>571</v>
      </c>
      <c r="M909">
        <v>0</v>
      </c>
      <c r="N909" s="3" t="s">
        <v>325</v>
      </c>
      <c r="O909" s="3"/>
    </row>
    <row r="910" spans="1:15" ht="41.4">
      <c r="A910" t="s">
        <v>1635</v>
      </c>
      <c r="B910" t="s">
        <v>585</v>
      </c>
      <c r="C910">
        <v>871616</v>
      </c>
      <c r="D910" s="16">
        <v>871.61599999999999</v>
      </c>
      <c r="E910" t="s">
        <v>719</v>
      </c>
      <c r="F910" s="16">
        <v>-1</v>
      </c>
      <c r="G910" s="16"/>
      <c r="H910" s="16">
        <v>29</v>
      </c>
      <c r="I910" t="s">
        <v>98</v>
      </c>
      <c r="J910">
        <v>0</v>
      </c>
      <c r="K910" t="s">
        <v>1610</v>
      </c>
      <c r="L910" t="s">
        <v>571</v>
      </c>
      <c r="M910">
        <v>0</v>
      </c>
      <c r="N910" s="3" t="s">
        <v>330</v>
      </c>
      <c r="O910" s="3"/>
    </row>
    <row r="911" spans="1:15" ht="41.4">
      <c r="A911" t="s">
        <v>1636</v>
      </c>
      <c r="B911" t="s">
        <v>585</v>
      </c>
      <c r="C911">
        <v>871616</v>
      </c>
      <c r="D911" s="16">
        <v>871.61599999999999</v>
      </c>
      <c r="E911" t="s">
        <v>722</v>
      </c>
      <c r="F911" s="16">
        <v>-1</v>
      </c>
      <c r="G911" s="16"/>
      <c r="H911" s="16">
        <v>69.099999999999994</v>
      </c>
      <c r="I911" t="s">
        <v>140</v>
      </c>
      <c r="J911">
        <v>0</v>
      </c>
      <c r="K911" t="s">
        <v>1610</v>
      </c>
      <c r="L911" t="s">
        <v>571</v>
      </c>
      <c r="M911">
        <v>0</v>
      </c>
      <c r="N911" s="3" t="s">
        <v>330</v>
      </c>
      <c r="O911" s="3"/>
    </row>
    <row r="912" spans="1:15" ht="41.4">
      <c r="A912" t="s">
        <v>1637</v>
      </c>
      <c r="B912" t="s">
        <v>585</v>
      </c>
      <c r="C912">
        <v>871616</v>
      </c>
      <c r="D912" s="16">
        <v>871.61599999999999</v>
      </c>
      <c r="E912" t="s">
        <v>724</v>
      </c>
      <c r="F912" s="16">
        <v>-1.9</v>
      </c>
      <c r="G912" s="16">
        <v>1.9</v>
      </c>
      <c r="H912" s="16">
        <v>1.9</v>
      </c>
      <c r="I912" t="s">
        <v>125</v>
      </c>
      <c r="J912">
        <v>1</v>
      </c>
      <c r="K912" t="s">
        <v>725</v>
      </c>
      <c r="L912" t="s">
        <v>571</v>
      </c>
      <c r="M912">
        <v>0</v>
      </c>
      <c r="N912" s="3" t="s">
        <v>330</v>
      </c>
      <c r="O912" s="3"/>
    </row>
    <row r="913" spans="1:15" ht="41.4">
      <c r="A913" t="s">
        <v>1638</v>
      </c>
      <c r="B913" t="s">
        <v>585</v>
      </c>
      <c r="C913">
        <v>871616</v>
      </c>
      <c r="D913" s="16">
        <v>871.61599999999999</v>
      </c>
      <c r="E913" t="s">
        <v>727</v>
      </c>
      <c r="F913" s="16">
        <v>1</v>
      </c>
      <c r="G913" s="16">
        <v>1</v>
      </c>
      <c r="H913" s="16">
        <v>1</v>
      </c>
      <c r="I913" t="s">
        <v>728</v>
      </c>
      <c r="J913">
        <v>1</v>
      </c>
      <c r="K913" t="s">
        <v>720</v>
      </c>
      <c r="L913" t="s">
        <v>571</v>
      </c>
      <c r="M913">
        <v>0</v>
      </c>
      <c r="N913" s="3" t="s">
        <v>330</v>
      </c>
      <c r="O913" s="3"/>
    </row>
    <row r="914" spans="1:15" ht="41.4">
      <c r="A914" t="s">
        <v>1639</v>
      </c>
      <c r="B914" t="s">
        <v>585</v>
      </c>
      <c r="C914">
        <v>871616</v>
      </c>
      <c r="D914" s="16">
        <v>871.61599999999999</v>
      </c>
      <c r="E914" t="s">
        <v>730</v>
      </c>
      <c r="F914" s="16">
        <v>66.933000000000007</v>
      </c>
      <c r="G914" s="16">
        <v>0.66933000000000009</v>
      </c>
      <c r="H914" s="16">
        <v>0.66933000000000009</v>
      </c>
      <c r="I914" t="s">
        <v>107</v>
      </c>
      <c r="J914">
        <v>1</v>
      </c>
      <c r="K914" t="s">
        <v>761</v>
      </c>
      <c r="L914" t="s">
        <v>571</v>
      </c>
      <c r="M914">
        <v>0</v>
      </c>
      <c r="N914" s="3" t="s">
        <v>330</v>
      </c>
      <c r="O914" s="3"/>
    </row>
    <row r="915" spans="1:15" ht="27.6">
      <c r="A915" t="s">
        <v>1640</v>
      </c>
      <c r="B915" t="s">
        <v>586</v>
      </c>
      <c r="C915">
        <v>876584</v>
      </c>
      <c r="D915" s="16">
        <v>876.58399999999995</v>
      </c>
      <c r="E915" t="s">
        <v>719</v>
      </c>
      <c r="F915" s="16">
        <v>28.8</v>
      </c>
      <c r="G915" s="16">
        <v>28.8</v>
      </c>
      <c r="H915" s="16">
        <v>28.8</v>
      </c>
      <c r="I915" t="s">
        <v>98</v>
      </c>
      <c r="J915">
        <v>1</v>
      </c>
      <c r="K915" t="s">
        <v>720</v>
      </c>
      <c r="L915" t="s">
        <v>571</v>
      </c>
      <c r="M915">
        <v>1</v>
      </c>
      <c r="N915" s="3" t="s">
        <v>325</v>
      </c>
      <c r="O915" s="3"/>
    </row>
    <row r="916" spans="1:15" ht="27.6">
      <c r="A916" t="s">
        <v>1641</v>
      </c>
      <c r="B916" t="s">
        <v>586</v>
      </c>
      <c r="C916">
        <v>876584</v>
      </c>
      <c r="D916" s="16">
        <v>876.58399999999995</v>
      </c>
      <c r="E916" t="s">
        <v>722</v>
      </c>
      <c r="F916" s="16">
        <v>68.7</v>
      </c>
      <c r="G916" s="16">
        <v>68.7</v>
      </c>
      <c r="H916" s="16">
        <v>68.7</v>
      </c>
      <c r="I916" t="s">
        <v>140</v>
      </c>
      <c r="J916">
        <v>1</v>
      </c>
      <c r="K916" t="s">
        <v>720</v>
      </c>
      <c r="L916" t="s">
        <v>571</v>
      </c>
      <c r="M916">
        <v>1</v>
      </c>
      <c r="N916" s="3" t="s">
        <v>325</v>
      </c>
      <c r="O916" s="3"/>
    </row>
    <row r="917" spans="1:15" ht="27.6">
      <c r="A917" t="s">
        <v>1642</v>
      </c>
      <c r="B917" t="s">
        <v>586</v>
      </c>
      <c r="C917">
        <v>876584</v>
      </c>
      <c r="D917" s="16">
        <v>876.58399999999995</v>
      </c>
      <c r="E917" t="s">
        <v>724</v>
      </c>
      <c r="F917" s="16">
        <v>-135.1</v>
      </c>
      <c r="G917" s="16">
        <v>135.1</v>
      </c>
      <c r="H917" s="16">
        <v>135.1</v>
      </c>
      <c r="I917" t="s">
        <v>125</v>
      </c>
      <c r="J917">
        <v>1</v>
      </c>
      <c r="K917" t="s">
        <v>725</v>
      </c>
      <c r="L917" t="s">
        <v>571</v>
      </c>
      <c r="M917">
        <v>1</v>
      </c>
      <c r="N917" s="3" t="s">
        <v>325</v>
      </c>
      <c r="O917" s="3"/>
    </row>
    <row r="918" spans="1:15" ht="27.6">
      <c r="A918" t="s">
        <v>1643</v>
      </c>
      <c r="B918" t="s">
        <v>586</v>
      </c>
      <c r="C918">
        <v>876584</v>
      </c>
      <c r="D918" s="16">
        <v>876.58399999999995</v>
      </c>
      <c r="E918" t="s">
        <v>727</v>
      </c>
      <c r="F918" s="16">
        <v>1</v>
      </c>
      <c r="G918" s="16">
        <v>1</v>
      </c>
      <c r="H918" s="16">
        <v>1</v>
      </c>
      <c r="I918" t="s">
        <v>728</v>
      </c>
      <c r="J918">
        <v>1</v>
      </c>
      <c r="K918" t="s">
        <v>720</v>
      </c>
      <c r="L918" t="s">
        <v>571</v>
      </c>
      <c r="M918">
        <v>1</v>
      </c>
      <c r="N918" s="3" t="s">
        <v>325</v>
      </c>
      <c r="O918" s="3"/>
    </row>
    <row r="919" spans="1:15" ht="27.6">
      <c r="A919" t="s">
        <v>1644</v>
      </c>
      <c r="B919" t="s">
        <v>586</v>
      </c>
      <c r="C919">
        <v>876584</v>
      </c>
      <c r="D919" s="16">
        <v>876.58399999999995</v>
      </c>
      <c r="E919" t="s">
        <v>730</v>
      </c>
      <c r="F919" s="16">
        <v>72.027000000000001</v>
      </c>
      <c r="G919" s="16">
        <v>0.72026999999999997</v>
      </c>
      <c r="H919" s="16">
        <v>0.72026999999999997</v>
      </c>
      <c r="I919" t="s">
        <v>107</v>
      </c>
      <c r="J919">
        <v>1</v>
      </c>
      <c r="K919" t="s">
        <v>761</v>
      </c>
      <c r="L919" t="s">
        <v>571</v>
      </c>
      <c r="M919">
        <v>1</v>
      </c>
      <c r="N919" s="3" t="s">
        <v>325</v>
      </c>
      <c r="O919" s="3"/>
    </row>
    <row r="920" spans="1:15" ht="41.4">
      <c r="A920" t="s">
        <v>1645</v>
      </c>
      <c r="B920" t="s">
        <v>588</v>
      </c>
      <c r="C920">
        <v>881616</v>
      </c>
      <c r="D920" s="16">
        <v>881.61599999999999</v>
      </c>
      <c r="E920" t="s">
        <v>719</v>
      </c>
      <c r="F920" s="16">
        <v>-1</v>
      </c>
      <c r="G920" s="16"/>
      <c r="H920" s="16">
        <v>28.8</v>
      </c>
      <c r="I920" t="s">
        <v>98</v>
      </c>
      <c r="J920">
        <v>0</v>
      </c>
      <c r="K920" t="s">
        <v>1610</v>
      </c>
      <c r="L920" t="s">
        <v>571</v>
      </c>
      <c r="M920">
        <v>0</v>
      </c>
      <c r="N920" s="3" t="s">
        <v>330</v>
      </c>
      <c r="O920" s="3"/>
    </row>
    <row r="921" spans="1:15" ht="41.4">
      <c r="A921" t="s">
        <v>1646</v>
      </c>
      <c r="B921" t="s">
        <v>588</v>
      </c>
      <c r="C921">
        <v>881616</v>
      </c>
      <c r="D921" s="16">
        <v>881.61599999999999</v>
      </c>
      <c r="E921" t="s">
        <v>722</v>
      </c>
      <c r="F921" s="16">
        <v>-1</v>
      </c>
      <c r="G921" s="16"/>
      <c r="H921" s="16">
        <v>68.7</v>
      </c>
      <c r="I921" t="s">
        <v>140</v>
      </c>
      <c r="J921">
        <v>0</v>
      </c>
      <c r="K921" t="s">
        <v>1610</v>
      </c>
      <c r="L921" t="s">
        <v>571</v>
      </c>
      <c r="M921">
        <v>0</v>
      </c>
      <c r="N921" s="3" t="s">
        <v>330</v>
      </c>
      <c r="O921" s="3"/>
    </row>
    <row r="922" spans="1:15" ht="41.4">
      <c r="A922" t="s">
        <v>1647</v>
      </c>
      <c r="B922" t="s">
        <v>588</v>
      </c>
      <c r="C922">
        <v>881616</v>
      </c>
      <c r="D922" s="16">
        <v>881.61599999999999</v>
      </c>
      <c r="E922" t="s">
        <v>724</v>
      </c>
      <c r="F922" s="16">
        <v>-2.2000000000000002</v>
      </c>
      <c r="G922" s="16">
        <v>2.2000000000000002</v>
      </c>
      <c r="H922" s="16">
        <v>2.2000000000000002</v>
      </c>
      <c r="I922" t="s">
        <v>125</v>
      </c>
      <c r="J922">
        <v>1</v>
      </c>
      <c r="K922" t="s">
        <v>725</v>
      </c>
      <c r="L922" t="s">
        <v>571</v>
      </c>
      <c r="M922">
        <v>0</v>
      </c>
      <c r="N922" s="3" t="s">
        <v>330</v>
      </c>
      <c r="O922" s="3"/>
    </row>
    <row r="923" spans="1:15" ht="41.4">
      <c r="A923" t="s">
        <v>1648</v>
      </c>
      <c r="B923" t="s">
        <v>588</v>
      </c>
      <c r="C923">
        <v>881616</v>
      </c>
      <c r="D923" s="16">
        <v>881.61599999999999</v>
      </c>
      <c r="E923" t="s">
        <v>727</v>
      </c>
      <c r="F923" s="16">
        <v>1</v>
      </c>
      <c r="G923" s="16">
        <v>1</v>
      </c>
      <c r="H923" s="16">
        <v>1</v>
      </c>
      <c r="I923" t="s">
        <v>728</v>
      </c>
      <c r="J923">
        <v>1</v>
      </c>
      <c r="K923" t="s">
        <v>720</v>
      </c>
      <c r="L923" t="s">
        <v>571</v>
      </c>
      <c r="M923">
        <v>0</v>
      </c>
      <c r="N923" s="3" t="s">
        <v>330</v>
      </c>
      <c r="O923" s="3"/>
    </row>
    <row r="924" spans="1:15" ht="41.4">
      <c r="A924" t="s">
        <v>1649</v>
      </c>
      <c r="B924" t="s">
        <v>588</v>
      </c>
      <c r="C924">
        <v>881616</v>
      </c>
      <c r="D924" s="16">
        <v>881.61599999999999</v>
      </c>
      <c r="E924" t="s">
        <v>730</v>
      </c>
      <c r="F924" s="16">
        <v>74.239999999999995</v>
      </c>
      <c r="G924" s="16">
        <v>0.74239999999999995</v>
      </c>
      <c r="H924" s="16">
        <v>0.74239999999999995</v>
      </c>
      <c r="I924" t="s">
        <v>107</v>
      </c>
      <c r="J924">
        <v>1</v>
      </c>
      <c r="K924" t="s">
        <v>761</v>
      </c>
      <c r="L924" t="s">
        <v>571</v>
      </c>
      <c r="M924">
        <v>0</v>
      </c>
      <c r="N924" s="3" t="s">
        <v>330</v>
      </c>
      <c r="O924" s="3"/>
    </row>
    <row r="925" spans="1:15" ht="41.4">
      <c r="A925" t="s">
        <v>1650</v>
      </c>
      <c r="B925" t="s">
        <v>590</v>
      </c>
      <c r="C925">
        <v>886616</v>
      </c>
      <c r="D925" s="16">
        <v>886.61599999999999</v>
      </c>
      <c r="E925" t="s">
        <v>719</v>
      </c>
      <c r="F925" s="16">
        <v>-1</v>
      </c>
      <c r="G925" s="16"/>
      <c r="H925" s="16">
        <v>28.8</v>
      </c>
      <c r="I925" t="s">
        <v>98</v>
      </c>
      <c r="J925">
        <v>0</v>
      </c>
      <c r="K925" t="s">
        <v>1610</v>
      </c>
      <c r="L925" t="s">
        <v>571</v>
      </c>
      <c r="M925">
        <v>0</v>
      </c>
      <c r="N925" s="3" t="s">
        <v>330</v>
      </c>
      <c r="O925" s="3"/>
    </row>
    <row r="926" spans="1:15" ht="41.4">
      <c r="A926" t="s">
        <v>1651</v>
      </c>
      <c r="B926" t="s">
        <v>590</v>
      </c>
      <c r="C926">
        <v>886616</v>
      </c>
      <c r="D926" s="16">
        <v>886.61599999999999</v>
      </c>
      <c r="E926" t="s">
        <v>722</v>
      </c>
      <c r="F926" s="16">
        <v>-1</v>
      </c>
      <c r="G926" s="16"/>
      <c r="H926" s="16">
        <v>68.7</v>
      </c>
      <c r="I926" t="s">
        <v>140</v>
      </c>
      <c r="J926">
        <v>0</v>
      </c>
      <c r="K926" t="s">
        <v>1610</v>
      </c>
      <c r="L926" t="s">
        <v>571</v>
      </c>
      <c r="M926">
        <v>0</v>
      </c>
      <c r="N926" s="3" t="s">
        <v>330</v>
      </c>
      <c r="O926" s="3"/>
    </row>
    <row r="927" spans="1:15" ht="41.4">
      <c r="A927" t="s">
        <v>1652</v>
      </c>
      <c r="B927" t="s">
        <v>590</v>
      </c>
      <c r="C927">
        <v>886616</v>
      </c>
      <c r="D927" s="16">
        <v>886.61599999999999</v>
      </c>
      <c r="E927" t="s">
        <v>724</v>
      </c>
      <c r="F927" s="16">
        <v>-2.1</v>
      </c>
      <c r="G927" s="16">
        <v>2.1</v>
      </c>
      <c r="H927" s="16">
        <v>2.1</v>
      </c>
      <c r="I927" t="s">
        <v>125</v>
      </c>
      <c r="J927">
        <v>1</v>
      </c>
      <c r="K927" t="s">
        <v>725</v>
      </c>
      <c r="L927" t="s">
        <v>571</v>
      </c>
      <c r="M927">
        <v>0</v>
      </c>
      <c r="N927" s="3" t="s">
        <v>330</v>
      </c>
      <c r="O927" s="3"/>
    </row>
    <row r="928" spans="1:15" ht="41.4">
      <c r="A928" t="s">
        <v>1653</v>
      </c>
      <c r="B928" t="s">
        <v>590</v>
      </c>
      <c r="C928">
        <v>886616</v>
      </c>
      <c r="D928" s="16">
        <v>886.61599999999999</v>
      </c>
      <c r="E928" t="s">
        <v>727</v>
      </c>
      <c r="F928" s="16">
        <v>1</v>
      </c>
      <c r="G928" s="16">
        <v>1</v>
      </c>
      <c r="H928" s="16">
        <v>1</v>
      </c>
      <c r="I928" t="s">
        <v>728</v>
      </c>
      <c r="J928">
        <v>1</v>
      </c>
      <c r="K928" t="s">
        <v>720</v>
      </c>
      <c r="L928" t="s">
        <v>571</v>
      </c>
      <c r="M928">
        <v>0</v>
      </c>
      <c r="N928" s="3" t="s">
        <v>330</v>
      </c>
      <c r="O928" s="3"/>
    </row>
    <row r="929" spans="1:15" ht="41.4">
      <c r="A929" t="s">
        <v>1654</v>
      </c>
      <c r="B929" t="s">
        <v>590</v>
      </c>
      <c r="C929">
        <v>886616</v>
      </c>
      <c r="D929" s="16">
        <v>886.61599999999999</v>
      </c>
      <c r="E929" t="s">
        <v>730</v>
      </c>
      <c r="F929" s="16">
        <v>73.466999999999999</v>
      </c>
      <c r="G929" s="16">
        <v>0.73466999999999993</v>
      </c>
      <c r="H929" s="16">
        <v>0.73466999999999993</v>
      </c>
      <c r="I929" t="s">
        <v>107</v>
      </c>
      <c r="J929">
        <v>1</v>
      </c>
      <c r="K929" t="s">
        <v>761</v>
      </c>
      <c r="L929" t="s">
        <v>571</v>
      </c>
      <c r="M929">
        <v>0</v>
      </c>
      <c r="N929" s="3" t="s">
        <v>330</v>
      </c>
      <c r="O929" s="3"/>
    </row>
    <row r="930" spans="1:15" ht="41.4">
      <c r="A930" t="s">
        <v>1655</v>
      </c>
      <c r="B930" t="s">
        <v>592</v>
      </c>
      <c r="C930">
        <v>891633</v>
      </c>
      <c r="D930" s="16">
        <v>891.63300000000004</v>
      </c>
      <c r="E930" t="s">
        <v>719</v>
      </c>
      <c r="F930" s="16">
        <v>-1</v>
      </c>
      <c r="G930" s="16"/>
      <c r="H930" s="16">
        <v>28.8</v>
      </c>
      <c r="I930" t="s">
        <v>98</v>
      </c>
      <c r="J930">
        <v>0</v>
      </c>
      <c r="K930" t="s">
        <v>1610</v>
      </c>
      <c r="L930" t="s">
        <v>571</v>
      </c>
      <c r="M930">
        <v>0</v>
      </c>
      <c r="N930" s="3" t="s">
        <v>330</v>
      </c>
      <c r="O930" s="3"/>
    </row>
    <row r="931" spans="1:15" ht="41.4">
      <c r="A931" t="s">
        <v>1656</v>
      </c>
      <c r="B931" t="s">
        <v>592</v>
      </c>
      <c r="C931">
        <v>891633</v>
      </c>
      <c r="D931" s="16">
        <v>891.63300000000004</v>
      </c>
      <c r="E931" t="s">
        <v>722</v>
      </c>
      <c r="F931" s="16">
        <v>-1</v>
      </c>
      <c r="G931" s="16"/>
      <c r="H931" s="16">
        <v>68.7</v>
      </c>
      <c r="I931" t="s">
        <v>140</v>
      </c>
      <c r="J931">
        <v>0</v>
      </c>
      <c r="K931" t="s">
        <v>1610</v>
      </c>
      <c r="L931" t="s">
        <v>571</v>
      </c>
      <c r="M931">
        <v>0</v>
      </c>
      <c r="N931" s="3" t="s">
        <v>330</v>
      </c>
      <c r="O931" s="3"/>
    </row>
    <row r="932" spans="1:15" ht="41.4">
      <c r="A932" t="s">
        <v>1657</v>
      </c>
      <c r="B932" t="s">
        <v>592</v>
      </c>
      <c r="C932">
        <v>891633</v>
      </c>
      <c r="D932" s="16">
        <v>891.63300000000004</v>
      </c>
      <c r="E932" t="s">
        <v>724</v>
      </c>
      <c r="F932" s="16">
        <v>-2</v>
      </c>
      <c r="G932" s="16">
        <v>2</v>
      </c>
      <c r="H932" s="16">
        <v>2</v>
      </c>
      <c r="I932" t="s">
        <v>125</v>
      </c>
      <c r="J932">
        <v>1</v>
      </c>
      <c r="K932" t="s">
        <v>725</v>
      </c>
      <c r="L932" t="s">
        <v>571</v>
      </c>
      <c r="M932">
        <v>0</v>
      </c>
      <c r="N932" s="3" t="s">
        <v>330</v>
      </c>
      <c r="O932" s="3"/>
    </row>
    <row r="933" spans="1:15" ht="41.4">
      <c r="A933" t="s">
        <v>1658</v>
      </c>
      <c r="B933" t="s">
        <v>592</v>
      </c>
      <c r="C933">
        <v>891633</v>
      </c>
      <c r="D933" s="16">
        <v>891.63300000000004</v>
      </c>
      <c r="E933" t="s">
        <v>727</v>
      </c>
      <c r="F933" s="16">
        <v>1</v>
      </c>
      <c r="G933" s="16">
        <v>1</v>
      </c>
      <c r="H933" s="16">
        <v>1</v>
      </c>
      <c r="I933" t="s">
        <v>728</v>
      </c>
      <c r="J933">
        <v>1</v>
      </c>
      <c r="K933" t="s">
        <v>720</v>
      </c>
      <c r="L933" t="s">
        <v>571</v>
      </c>
      <c r="M933">
        <v>0</v>
      </c>
      <c r="N933" s="3" t="s">
        <v>330</v>
      </c>
      <c r="O933" s="3"/>
    </row>
    <row r="934" spans="1:15" ht="41.4">
      <c r="A934" t="s">
        <v>1659</v>
      </c>
      <c r="B934" t="s">
        <v>592</v>
      </c>
      <c r="C934">
        <v>891633</v>
      </c>
      <c r="D934" s="16">
        <v>891.63300000000004</v>
      </c>
      <c r="E934" t="s">
        <v>730</v>
      </c>
      <c r="F934" s="16">
        <v>69.2</v>
      </c>
      <c r="G934" s="16">
        <v>0.69200000000000006</v>
      </c>
      <c r="H934" s="16">
        <v>0.69200000000000006</v>
      </c>
      <c r="I934" t="s">
        <v>107</v>
      </c>
      <c r="J934">
        <v>1</v>
      </c>
      <c r="K934" t="s">
        <v>761</v>
      </c>
      <c r="L934" t="s">
        <v>571</v>
      </c>
      <c r="M934">
        <v>0</v>
      </c>
      <c r="N934" s="3" t="s">
        <v>330</v>
      </c>
      <c r="O934" s="3"/>
    </row>
    <row r="935" spans="1:15" ht="41.4">
      <c r="A935" t="s">
        <v>1660</v>
      </c>
      <c r="B935" t="s">
        <v>594</v>
      </c>
      <c r="C935">
        <v>896633</v>
      </c>
      <c r="D935" s="16">
        <v>896.63300000000004</v>
      </c>
      <c r="E935" t="s">
        <v>719</v>
      </c>
      <c r="F935" s="16">
        <v>-1</v>
      </c>
      <c r="G935" s="16"/>
      <c r="H935" s="16">
        <v>28.8</v>
      </c>
      <c r="I935" t="s">
        <v>98</v>
      </c>
      <c r="J935">
        <v>0</v>
      </c>
      <c r="K935" t="s">
        <v>1610</v>
      </c>
      <c r="L935" t="s">
        <v>571</v>
      </c>
      <c r="M935">
        <v>0</v>
      </c>
      <c r="N935" s="3" t="s">
        <v>330</v>
      </c>
      <c r="O935" s="3"/>
    </row>
    <row r="936" spans="1:15" ht="41.4">
      <c r="A936" t="s">
        <v>1661</v>
      </c>
      <c r="B936" t="s">
        <v>594</v>
      </c>
      <c r="C936">
        <v>896633</v>
      </c>
      <c r="D936" s="16">
        <v>896.63300000000004</v>
      </c>
      <c r="E936" t="s">
        <v>722</v>
      </c>
      <c r="F936" s="16">
        <v>-1</v>
      </c>
      <c r="G936" s="16"/>
      <c r="H936" s="16">
        <v>68.7</v>
      </c>
      <c r="I936" t="s">
        <v>140</v>
      </c>
      <c r="J936">
        <v>0</v>
      </c>
      <c r="K936" t="s">
        <v>1610</v>
      </c>
      <c r="L936" t="s">
        <v>571</v>
      </c>
      <c r="M936">
        <v>0</v>
      </c>
      <c r="N936" s="3" t="s">
        <v>330</v>
      </c>
      <c r="O936" s="3"/>
    </row>
    <row r="937" spans="1:15" ht="41.4">
      <c r="A937" t="s">
        <v>1662</v>
      </c>
      <c r="B937" t="s">
        <v>594</v>
      </c>
      <c r="C937">
        <v>896633</v>
      </c>
      <c r="D937" s="16">
        <v>896.63300000000004</v>
      </c>
      <c r="E937" t="s">
        <v>724</v>
      </c>
      <c r="F937" s="16">
        <v>-2</v>
      </c>
      <c r="G937" s="16">
        <v>2</v>
      </c>
      <c r="H937" s="16">
        <v>2</v>
      </c>
      <c r="I937" t="s">
        <v>125</v>
      </c>
      <c r="J937">
        <v>1</v>
      </c>
      <c r="K937" t="s">
        <v>725</v>
      </c>
      <c r="L937" t="s">
        <v>571</v>
      </c>
      <c r="M937">
        <v>0</v>
      </c>
      <c r="N937" s="3" t="s">
        <v>330</v>
      </c>
      <c r="O937" s="3"/>
    </row>
    <row r="938" spans="1:15" ht="41.4">
      <c r="A938" t="s">
        <v>1663</v>
      </c>
      <c r="B938" t="s">
        <v>594</v>
      </c>
      <c r="C938">
        <v>896633</v>
      </c>
      <c r="D938" s="16">
        <v>896.63300000000004</v>
      </c>
      <c r="E938" t="s">
        <v>727</v>
      </c>
      <c r="F938" s="16">
        <v>1</v>
      </c>
      <c r="G938" s="16">
        <v>1</v>
      </c>
      <c r="H938" s="16">
        <v>1</v>
      </c>
      <c r="I938" t="s">
        <v>728</v>
      </c>
      <c r="J938">
        <v>1</v>
      </c>
      <c r="K938" t="s">
        <v>720</v>
      </c>
      <c r="L938" t="s">
        <v>571</v>
      </c>
      <c r="M938">
        <v>0</v>
      </c>
      <c r="N938" s="3" t="s">
        <v>330</v>
      </c>
      <c r="O938" s="3"/>
    </row>
    <row r="939" spans="1:15" ht="41.4">
      <c r="A939" t="s">
        <v>1664</v>
      </c>
      <c r="B939" t="s">
        <v>594</v>
      </c>
      <c r="C939">
        <v>896633</v>
      </c>
      <c r="D939" s="16">
        <v>896.63300000000004</v>
      </c>
      <c r="E939" t="s">
        <v>730</v>
      </c>
      <c r="F939" s="16">
        <v>73.2</v>
      </c>
      <c r="G939" s="16">
        <v>0.73199999999999998</v>
      </c>
      <c r="H939" s="16">
        <v>0.73199999999999998</v>
      </c>
      <c r="I939" t="s">
        <v>107</v>
      </c>
      <c r="J939">
        <v>1</v>
      </c>
      <c r="K939" t="s">
        <v>761</v>
      </c>
      <c r="L939" t="s">
        <v>571</v>
      </c>
      <c r="M939">
        <v>0</v>
      </c>
      <c r="N939" s="3" t="s">
        <v>330</v>
      </c>
      <c r="O939" s="3"/>
    </row>
    <row r="940" spans="1:15" ht="41.4">
      <c r="A940" t="s">
        <v>1665</v>
      </c>
      <c r="B940" t="s">
        <v>596</v>
      </c>
      <c r="C940">
        <v>901634</v>
      </c>
      <c r="D940" s="16">
        <v>901.63400000000001</v>
      </c>
      <c r="E940" t="s">
        <v>719</v>
      </c>
      <c r="F940" s="16">
        <v>-1</v>
      </c>
      <c r="G940" s="16"/>
      <c r="H940" s="16">
        <v>28.8</v>
      </c>
      <c r="I940" t="s">
        <v>98</v>
      </c>
      <c r="J940">
        <v>0</v>
      </c>
      <c r="K940" t="s">
        <v>1610</v>
      </c>
      <c r="L940" t="s">
        <v>571</v>
      </c>
      <c r="M940">
        <v>0</v>
      </c>
      <c r="N940" s="3" t="s">
        <v>330</v>
      </c>
      <c r="O940" s="3"/>
    </row>
    <row r="941" spans="1:15" ht="41.4">
      <c r="A941" t="s">
        <v>1666</v>
      </c>
      <c r="B941" t="s">
        <v>596</v>
      </c>
      <c r="C941">
        <v>901634</v>
      </c>
      <c r="D941" s="16">
        <v>901.63400000000001</v>
      </c>
      <c r="E941" t="s">
        <v>722</v>
      </c>
      <c r="F941" s="16">
        <v>-1</v>
      </c>
      <c r="G941" s="16"/>
      <c r="H941" s="16">
        <v>68.7</v>
      </c>
      <c r="I941" t="s">
        <v>140</v>
      </c>
      <c r="J941">
        <v>0</v>
      </c>
      <c r="K941" t="s">
        <v>1610</v>
      </c>
      <c r="L941" t="s">
        <v>571</v>
      </c>
      <c r="M941">
        <v>0</v>
      </c>
      <c r="N941" s="3" t="s">
        <v>330</v>
      </c>
      <c r="O941" s="3"/>
    </row>
    <row r="942" spans="1:15" ht="41.4">
      <c r="A942" t="s">
        <v>1667</v>
      </c>
      <c r="B942" t="s">
        <v>596</v>
      </c>
      <c r="C942">
        <v>901634</v>
      </c>
      <c r="D942" s="16">
        <v>901.63400000000001</v>
      </c>
      <c r="E942" t="s">
        <v>724</v>
      </c>
      <c r="F942" s="16">
        <v>-2</v>
      </c>
      <c r="G942" s="16">
        <v>2</v>
      </c>
      <c r="H942" s="16">
        <v>2</v>
      </c>
      <c r="I942" t="s">
        <v>125</v>
      </c>
      <c r="J942">
        <v>1</v>
      </c>
      <c r="K942" t="s">
        <v>725</v>
      </c>
      <c r="L942" t="s">
        <v>571</v>
      </c>
      <c r="M942">
        <v>0</v>
      </c>
      <c r="N942" s="3" t="s">
        <v>330</v>
      </c>
      <c r="O942" s="3"/>
    </row>
    <row r="943" spans="1:15" ht="41.4">
      <c r="A943" t="s">
        <v>1668</v>
      </c>
      <c r="B943" t="s">
        <v>596</v>
      </c>
      <c r="C943">
        <v>901634</v>
      </c>
      <c r="D943" s="16">
        <v>901.63400000000001</v>
      </c>
      <c r="E943" t="s">
        <v>727</v>
      </c>
      <c r="F943" s="16">
        <v>1</v>
      </c>
      <c r="G943" s="16">
        <v>1</v>
      </c>
      <c r="H943" s="16">
        <v>1</v>
      </c>
      <c r="I943" t="s">
        <v>728</v>
      </c>
      <c r="J943">
        <v>1</v>
      </c>
      <c r="K943" t="s">
        <v>720</v>
      </c>
      <c r="L943" t="s">
        <v>571</v>
      </c>
      <c r="M943">
        <v>0</v>
      </c>
      <c r="N943" s="3" t="s">
        <v>330</v>
      </c>
      <c r="O943" s="3"/>
    </row>
    <row r="944" spans="1:15" ht="41.4">
      <c r="A944" t="s">
        <v>1669</v>
      </c>
      <c r="B944" t="s">
        <v>596</v>
      </c>
      <c r="C944">
        <v>901634</v>
      </c>
      <c r="D944" s="16">
        <v>901.63400000000001</v>
      </c>
      <c r="E944" t="s">
        <v>730</v>
      </c>
      <c r="F944" s="16">
        <v>96.747</v>
      </c>
      <c r="G944" s="16">
        <v>0.96747000000000005</v>
      </c>
      <c r="H944" s="16">
        <v>0.96747000000000005</v>
      </c>
      <c r="I944" t="s">
        <v>107</v>
      </c>
      <c r="J944">
        <v>1</v>
      </c>
      <c r="K944" t="s">
        <v>761</v>
      </c>
      <c r="L944" t="s">
        <v>571</v>
      </c>
      <c r="M944">
        <v>0</v>
      </c>
      <c r="N944" s="3" t="s">
        <v>330</v>
      </c>
      <c r="O944" s="3"/>
    </row>
    <row r="945" spans="1:15" ht="41.4">
      <c r="A945" t="s">
        <v>1670</v>
      </c>
      <c r="B945" t="s">
        <v>598</v>
      </c>
      <c r="C945">
        <v>906633</v>
      </c>
      <c r="D945" s="16">
        <v>906.63300000000004</v>
      </c>
      <c r="E945" t="s">
        <v>719</v>
      </c>
      <c r="F945" s="16">
        <v>-1</v>
      </c>
      <c r="G945" s="16"/>
      <c r="H945" s="16">
        <v>28.8</v>
      </c>
      <c r="I945" t="s">
        <v>98</v>
      </c>
      <c r="J945">
        <v>0</v>
      </c>
      <c r="K945" t="s">
        <v>1610</v>
      </c>
      <c r="L945" t="s">
        <v>571</v>
      </c>
      <c r="M945">
        <v>0</v>
      </c>
      <c r="N945" s="3" t="s">
        <v>599</v>
      </c>
      <c r="O945" s="3"/>
    </row>
    <row r="946" spans="1:15" ht="41.4">
      <c r="A946" t="s">
        <v>1671</v>
      </c>
      <c r="B946" t="s">
        <v>598</v>
      </c>
      <c r="C946">
        <v>906633</v>
      </c>
      <c r="D946" s="16">
        <v>906.63300000000004</v>
      </c>
      <c r="E946" t="s">
        <v>722</v>
      </c>
      <c r="F946" s="16">
        <v>-1</v>
      </c>
      <c r="G946" s="16"/>
      <c r="H946" s="16">
        <v>68.7</v>
      </c>
      <c r="I946" t="s">
        <v>140</v>
      </c>
      <c r="J946">
        <v>0</v>
      </c>
      <c r="K946" t="s">
        <v>1610</v>
      </c>
      <c r="L946" t="s">
        <v>571</v>
      </c>
      <c r="M946">
        <v>0</v>
      </c>
      <c r="N946" s="3" t="s">
        <v>599</v>
      </c>
      <c r="O946" s="3"/>
    </row>
    <row r="947" spans="1:15" ht="41.4">
      <c r="A947" t="s">
        <v>1672</v>
      </c>
      <c r="B947" t="s">
        <v>598</v>
      </c>
      <c r="C947">
        <v>906633</v>
      </c>
      <c r="D947" s="16">
        <v>906.63300000000004</v>
      </c>
      <c r="E947" t="s">
        <v>724</v>
      </c>
      <c r="F947" s="16">
        <v>2.5</v>
      </c>
      <c r="G947" s="16">
        <v>2.5</v>
      </c>
      <c r="H947" s="16">
        <v>2.5</v>
      </c>
      <c r="I947" t="s">
        <v>125</v>
      </c>
      <c r="J947">
        <v>1</v>
      </c>
      <c r="K947" t="s">
        <v>720</v>
      </c>
      <c r="L947" t="s">
        <v>571</v>
      </c>
      <c r="M947">
        <v>0</v>
      </c>
      <c r="N947" s="3" t="s">
        <v>599</v>
      </c>
      <c r="O947" s="3"/>
    </row>
    <row r="948" spans="1:15" ht="41.4">
      <c r="A948" t="s">
        <v>1673</v>
      </c>
      <c r="B948" t="s">
        <v>598</v>
      </c>
      <c r="C948">
        <v>906633</v>
      </c>
      <c r="D948" s="16">
        <v>906.63300000000004</v>
      </c>
      <c r="E948" t="s">
        <v>727</v>
      </c>
      <c r="F948" s="16">
        <v>1</v>
      </c>
      <c r="G948" s="16">
        <v>1</v>
      </c>
      <c r="H948" s="16">
        <v>1</v>
      </c>
      <c r="I948" t="s">
        <v>728</v>
      </c>
      <c r="J948">
        <v>1</v>
      </c>
      <c r="K948" t="s">
        <v>720</v>
      </c>
      <c r="L948" t="s">
        <v>571</v>
      </c>
      <c r="M948">
        <v>0</v>
      </c>
      <c r="N948" s="3" t="s">
        <v>599</v>
      </c>
      <c r="O948" s="3"/>
    </row>
    <row r="949" spans="1:15" ht="41.4">
      <c r="A949" t="s">
        <v>1674</v>
      </c>
      <c r="B949" t="s">
        <v>598</v>
      </c>
      <c r="C949">
        <v>906633</v>
      </c>
      <c r="D949" s="16">
        <v>906.63300000000004</v>
      </c>
      <c r="E949" t="s">
        <v>730</v>
      </c>
      <c r="F949" s="16">
        <v>261.36</v>
      </c>
      <c r="G949" s="16">
        <v>2.6135999999999999</v>
      </c>
      <c r="H949" s="16">
        <v>2.6135999999999999</v>
      </c>
      <c r="I949" t="s">
        <v>107</v>
      </c>
      <c r="J949">
        <v>1</v>
      </c>
      <c r="K949" t="s">
        <v>761</v>
      </c>
      <c r="L949" t="s">
        <v>571</v>
      </c>
      <c r="M949">
        <v>0</v>
      </c>
      <c r="N949" s="3" t="s">
        <v>599</v>
      </c>
      <c r="O949" s="3"/>
    </row>
    <row r="950" spans="1:15" ht="27.6">
      <c r="A950" t="s">
        <v>1675</v>
      </c>
      <c r="B950" t="s">
        <v>603</v>
      </c>
      <c r="C950">
        <v>911619</v>
      </c>
      <c r="D950" s="16">
        <v>911.61900000000003</v>
      </c>
      <c r="E950" t="s">
        <v>719</v>
      </c>
      <c r="F950" s="16">
        <v>28.4</v>
      </c>
      <c r="G950" s="16">
        <v>28.4</v>
      </c>
      <c r="H950" s="16">
        <v>28.4</v>
      </c>
      <c r="I950" t="s">
        <v>98</v>
      </c>
      <c r="J950">
        <v>1</v>
      </c>
      <c r="K950" t="s">
        <v>720</v>
      </c>
      <c r="L950" t="s">
        <v>604</v>
      </c>
      <c r="M950">
        <v>0</v>
      </c>
      <c r="N950" s="3" t="s">
        <v>325</v>
      </c>
      <c r="O950" s="3"/>
    </row>
    <row r="951" spans="1:15" ht="27.6">
      <c r="A951" t="s">
        <v>1676</v>
      </c>
      <c r="B951" t="s">
        <v>603</v>
      </c>
      <c r="C951">
        <v>911619</v>
      </c>
      <c r="D951" s="16">
        <v>911.61900000000003</v>
      </c>
      <c r="E951" t="s">
        <v>722</v>
      </c>
      <c r="F951" s="16">
        <v>69</v>
      </c>
      <c r="G951" s="16">
        <v>69</v>
      </c>
      <c r="H951" s="16">
        <v>69</v>
      </c>
      <c r="I951" t="s">
        <v>140</v>
      </c>
      <c r="J951">
        <v>1</v>
      </c>
      <c r="K951" t="s">
        <v>720</v>
      </c>
      <c r="L951" t="s">
        <v>604</v>
      </c>
      <c r="M951">
        <v>0</v>
      </c>
      <c r="N951" s="3" t="s">
        <v>325</v>
      </c>
      <c r="O951" s="3"/>
    </row>
    <row r="952" spans="1:15" ht="27.6">
      <c r="A952" t="s">
        <v>1677</v>
      </c>
      <c r="B952" t="s">
        <v>603</v>
      </c>
      <c r="C952">
        <v>911619</v>
      </c>
      <c r="D952" s="16">
        <v>911.61900000000003</v>
      </c>
      <c r="E952" t="s">
        <v>724</v>
      </c>
      <c r="F952" s="16">
        <v>-1.7</v>
      </c>
      <c r="G952" s="16">
        <v>1.7</v>
      </c>
      <c r="H952" s="16">
        <v>1.7</v>
      </c>
      <c r="I952" t="s">
        <v>125</v>
      </c>
      <c r="J952">
        <v>1</v>
      </c>
      <c r="K952" t="s">
        <v>725</v>
      </c>
      <c r="L952" t="s">
        <v>604</v>
      </c>
      <c r="M952">
        <v>0</v>
      </c>
      <c r="N952" s="3" t="s">
        <v>325</v>
      </c>
      <c r="O952" s="3"/>
    </row>
    <row r="953" spans="1:15" ht="27.6">
      <c r="A953" t="s">
        <v>1678</v>
      </c>
      <c r="B953" t="s">
        <v>603</v>
      </c>
      <c r="C953">
        <v>911619</v>
      </c>
      <c r="D953" s="16">
        <v>911.61900000000003</v>
      </c>
      <c r="E953" t="s">
        <v>727</v>
      </c>
      <c r="F953" s="16">
        <v>1</v>
      </c>
      <c r="G953" s="16">
        <v>1</v>
      </c>
      <c r="H953" s="16">
        <v>1</v>
      </c>
      <c r="I953" t="s">
        <v>728</v>
      </c>
      <c r="J953">
        <v>1</v>
      </c>
      <c r="K953" t="s">
        <v>720</v>
      </c>
      <c r="L953" t="s">
        <v>604</v>
      </c>
      <c r="M953">
        <v>0</v>
      </c>
      <c r="N953" s="3" t="s">
        <v>325</v>
      </c>
      <c r="O953" s="3"/>
    </row>
    <row r="954" spans="1:15" ht="27.6">
      <c r="A954" t="s">
        <v>1679</v>
      </c>
      <c r="B954" t="s">
        <v>603</v>
      </c>
      <c r="C954">
        <v>911619</v>
      </c>
      <c r="D954" s="16">
        <v>911.61900000000003</v>
      </c>
      <c r="E954" t="s">
        <v>730</v>
      </c>
      <c r="F954" s="16">
        <v>394.72</v>
      </c>
      <c r="G954" s="16">
        <v>3.9472000000000005</v>
      </c>
      <c r="H954" s="16">
        <v>3.9472000000000005</v>
      </c>
      <c r="I954" t="s">
        <v>107</v>
      </c>
      <c r="J954">
        <v>1</v>
      </c>
      <c r="K954" t="s">
        <v>761</v>
      </c>
      <c r="L954" t="s">
        <v>604</v>
      </c>
      <c r="M954">
        <v>0</v>
      </c>
      <c r="N954" s="3" t="s">
        <v>325</v>
      </c>
      <c r="O954" s="3"/>
    </row>
    <row r="955" spans="1:15">
      <c r="A955" t="s">
        <v>1680</v>
      </c>
      <c r="B955" t="s">
        <v>605</v>
      </c>
      <c r="C955">
        <v>916601</v>
      </c>
      <c r="D955" s="16">
        <v>916.601</v>
      </c>
      <c r="E955" t="s">
        <v>719</v>
      </c>
      <c r="F955" s="16">
        <v>28.4</v>
      </c>
      <c r="G955" s="16">
        <v>28.4</v>
      </c>
      <c r="H955" s="16">
        <v>28.4</v>
      </c>
      <c r="I955" t="s">
        <v>98</v>
      </c>
      <c r="J955">
        <v>1</v>
      </c>
      <c r="K955" t="s">
        <v>720</v>
      </c>
      <c r="L955" t="s">
        <v>604</v>
      </c>
      <c r="M955">
        <v>0</v>
      </c>
      <c r="N955" s="3" t="s">
        <v>238</v>
      </c>
      <c r="O955" s="3"/>
    </row>
    <row r="956" spans="1:15">
      <c r="A956" t="s">
        <v>1681</v>
      </c>
      <c r="B956" t="s">
        <v>605</v>
      </c>
      <c r="C956">
        <v>916601</v>
      </c>
      <c r="D956" s="16">
        <v>916.601</v>
      </c>
      <c r="E956" t="s">
        <v>722</v>
      </c>
      <c r="F956" s="16">
        <v>70.900000000000006</v>
      </c>
      <c r="G956" s="16">
        <v>70.900000000000006</v>
      </c>
      <c r="H956" s="16">
        <v>70.900000000000006</v>
      </c>
      <c r="I956" t="s">
        <v>140</v>
      </c>
      <c r="J956">
        <v>1</v>
      </c>
      <c r="K956" t="s">
        <v>720</v>
      </c>
      <c r="L956" t="s">
        <v>604</v>
      </c>
      <c r="M956">
        <v>0</v>
      </c>
      <c r="N956" s="3" t="s">
        <v>238</v>
      </c>
      <c r="O956" s="3"/>
    </row>
    <row r="957" spans="1:15">
      <c r="A957" t="s">
        <v>1682</v>
      </c>
      <c r="B957" t="s">
        <v>605</v>
      </c>
      <c r="C957">
        <v>916601</v>
      </c>
      <c r="D957" s="16">
        <v>916.601</v>
      </c>
      <c r="E957" t="s">
        <v>724</v>
      </c>
      <c r="F957" s="16">
        <v>-1.6</v>
      </c>
      <c r="G957" s="16">
        <v>1.6</v>
      </c>
      <c r="H957" s="16">
        <v>1.6</v>
      </c>
      <c r="I957" t="s">
        <v>125</v>
      </c>
      <c r="J957">
        <v>1</v>
      </c>
      <c r="K957" t="s">
        <v>725</v>
      </c>
      <c r="L957" t="s">
        <v>604</v>
      </c>
      <c r="M957">
        <v>0</v>
      </c>
      <c r="N957" s="3" t="s">
        <v>238</v>
      </c>
      <c r="O957" s="3"/>
    </row>
    <row r="958" spans="1:15">
      <c r="A958" t="s">
        <v>1683</v>
      </c>
      <c r="B958" t="s">
        <v>605</v>
      </c>
      <c r="C958">
        <v>916601</v>
      </c>
      <c r="D958" s="16">
        <v>916.601</v>
      </c>
      <c r="E958" t="s">
        <v>727</v>
      </c>
      <c r="F958" s="16">
        <v>1</v>
      </c>
      <c r="G958" s="16">
        <v>1</v>
      </c>
      <c r="H958" s="16">
        <v>1</v>
      </c>
      <c r="I958" t="s">
        <v>728</v>
      </c>
      <c r="J958">
        <v>1</v>
      </c>
      <c r="K958" t="s">
        <v>720</v>
      </c>
      <c r="L958" t="s">
        <v>604</v>
      </c>
      <c r="M958">
        <v>0</v>
      </c>
      <c r="N958" s="3" t="s">
        <v>238</v>
      </c>
      <c r="O958" s="3"/>
    </row>
    <row r="959" spans="1:15">
      <c r="A959" t="s">
        <v>1684</v>
      </c>
      <c r="B959" t="s">
        <v>605</v>
      </c>
      <c r="C959">
        <v>916601</v>
      </c>
      <c r="D959" s="16">
        <v>916.601</v>
      </c>
      <c r="E959" t="s">
        <v>730</v>
      </c>
      <c r="F959" s="16">
        <v>0.187</v>
      </c>
      <c r="G959" s="16">
        <v>0.187</v>
      </c>
      <c r="H959" s="16">
        <v>0.187</v>
      </c>
      <c r="I959" t="s">
        <v>107</v>
      </c>
      <c r="J959">
        <v>1</v>
      </c>
      <c r="K959" t="s">
        <v>720</v>
      </c>
      <c r="L959" t="s">
        <v>604</v>
      </c>
      <c r="M959">
        <v>0</v>
      </c>
      <c r="N959" s="3" t="s">
        <v>238</v>
      </c>
      <c r="O959" s="3"/>
    </row>
    <row r="960" spans="1:15">
      <c r="A960" t="s">
        <v>1685</v>
      </c>
      <c r="B960" t="s">
        <v>609</v>
      </c>
      <c r="C960">
        <v>921617</v>
      </c>
      <c r="D960" s="16">
        <v>921.61699999999996</v>
      </c>
      <c r="E960" t="s">
        <v>719</v>
      </c>
      <c r="F960" s="16">
        <v>28.4</v>
      </c>
      <c r="G960" s="16">
        <v>28.4</v>
      </c>
      <c r="H960" s="16">
        <v>28.4</v>
      </c>
      <c r="I960" t="s">
        <v>98</v>
      </c>
      <c r="J960">
        <v>1</v>
      </c>
      <c r="K960" t="s">
        <v>720</v>
      </c>
      <c r="L960" t="s">
        <v>610</v>
      </c>
      <c r="M960">
        <v>0</v>
      </c>
      <c r="N960" s="3" t="s">
        <v>238</v>
      </c>
      <c r="O960" s="3"/>
    </row>
    <row r="961" spans="1:15">
      <c r="A961" t="s">
        <v>1686</v>
      </c>
      <c r="B961" t="s">
        <v>609</v>
      </c>
      <c r="C961">
        <v>921617</v>
      </c>
      <c r="D961" s="16">
        <v>921.61699999999996</v>
      </c>
      <c r="E961" t="s">
        <v>722</v>
      </c>
      <c r="F961" s="16">
        <v>75.099999999999994</v>
      </c>
      <c r="G961" s="16">
        <v>75.099999999999994</v>
      </c>
      <c r="H961" s="16">
        <v>75.099999999999994</v>
      </c>
      <c r="I961" t="s">
        <v>140</v>
      </c>
      <c r="J961">
        <v>1</v>
      </c>
      <c r="K961" t="s">
        <v>720</v>
      </c>
      <c r="L961" t="s">
        <v>610</v>
      </c>
      <c r="M961">
        <v>0</v>
      </c>
      <c r="N961" s="3" t="s">
        <v>238</v>
      </c>
      <c r="O961" s="3"/>
    </row>
    <row r="962" spans="1:15">
      <c r="A962" t="s">
        <v>1687</v>
      </c>
      <c r="B962" t="s">
        <v>609</v>
      </c>
      <c r="C962">
        <v>921617</v>
      </c>
      <c r="D962" s="16">
        <v>921.61699999999996</v>
      </c>
      <c r="E962" t="s">
        <v>724</v>
      </c>
      <c r="F962" s="16">
        <v>-1.6</v>
      </c>
      <c r="G962" s="16">
        <v>1.6</v>
      </c>
      <c r="H962" s="16">
        <v>1.6</v>
      </c>
      <c r="I962" t="s">
        <v>125</v>
      </c>
      <c r="J962">
        <v>1</v>
      </c>
      <c r="K962" t="s">
        <v>725</v>
      </c>
      <c r="L962" t="s">
        <v>610</v>
      </c>
      <c r="M962">
        <v>0</v>
      </c>
      <c r="N962" s="3" t="s">
        <v>238</v>
      </c>
      <c r="O962" s="3"/>
    </row>
    <row r="963" spans="1:15">
      <c r="A963" t="s">
        <v>1688</v>
      </c>
      <c r="B963" t="s">
        <v>609</v>
      </c>
      <c r="C963">
        <v>921617</v>
      </c>
      <c r="D963" s="16">
        <v>921.61699999999996</v>
      </c>
      <c r="E963" t="s">
        <v>727</v>
      </c>
      <c r="F963" s="16">
        <v>1</v>
      </c>
      <c r="G963" s="16">
        <v>1</v>
      </c>
      <c r="H963" s="16">
        <v>1</v>
      </c>
      <c r="I963" t="s">
        <v>728</v>
      </c>
      <c r="J963">
        <v>1</v>
      </c>
      <c r="K963" t="s">
        <v>720</v>
      </c>
      <c r="L963" t="s">
        <v>610</v>
      </c>
      <c r="M963">
        <v>0</v>
      </c>
      <c r="N963" s="3" t="s">
        <v>238</v>
      </c>
      <c r="O963" s="3"/>
    </row>
    <row r="964" spans="1:15">
      <c r="A964" t="s">
        <v>1689</v>
      </c>
      <c r="B964" t="s">
        <v>609</v>
      </c>
      <c r="C964">
        <v>921617</v>
      </c>
      <c r="D964" s="16">
        <v>921.61699999999996</v>
      </c>
      <c r="E964" t="s">
        <v>730</v>
      </c>
      <c r="F964" s="16">
        <v>0</v>
      </c>
      <c r="G964" s="16">
        <v>0</v>
      </c>
      <c r="H964" s="16">
        <v>0</v>
      </c>
      <c r="I964" t="s">
        <v>107</v>
      </c>
      <c r="J964">
        <v>1</v>
      </c>
      <c r="K964" t="s">
        <v>720</v>
      </c>
      <c r="L964" t="s">
        <v>610</v>
      </c>
      <c r="M964">
        <v>0</v>
      </c>
      <c r="N964" s="3" t="s">
        <v>238</v>
      </c>
      <c r="O964" s="3"/>
    </row>
    <row r="965" spans="1:15">
      <c r="A965" t="s">
        <v>1690</v>
      </c>
      <c r="B965" t="s">
        <v>611</v>
      </c>
      <c r="C965">
        <v>926602</v>
      </c>
      <c r="D965" s="16">
        <v>926.60199999999998</v>
      </c>
      <c r="E965" t="s">
        <v>719</v>
      </c>
      <c r="F965" s="16">
        <v>28.4</v>
      </c>
      <c r="G965" s="16">
        <v>28.4</v>
      </c>
      <c r="H965" s="16">
        <v>28.4</v>
      </c>
      <c r="I965" t="s">
        <v>98</v>
      </c>
      <c r="J965">
        <v>1</v>
      </c>
      <c r="K965" t="s">
        <v>720</v>
      </c>
      <c r="L965" t="s">
        <v>385</v>
      </c>
      <c r="M965">
        <v>0</v>
      </c>
      <c r="N965" s="3" t="s">
        <v>238</v>
      </c>
      <c r="O965" s="3" t="s">
        <v>612</v>
      </c>
    </row>
    <row r="966" spans="1:15">
      <c r="A966" t="s">
        <v>1691</v>
      </c>
      <c r="B966" t="s">
        <v>611</v>
      </c>
      <c r="C966">
        <v>926602</v>
      </c>
      <c r="D966" s="16">
        <v>926.60199999999998</v>
      </c>
      <c r="E966" t="s">
        <v>722</v>
      </c>
      <c r="F966" s="16">
        <v>75.3</v>
      </c>
      <c r="G966" s="16">
        <v>75.3</v>
      </c>
      <c r="H966" s="16">
        <v>75.3</v>
      </c>
      <c r="I966" t="s">
        <v>140</v>
      </c>
      <c r="J966">
        <v>1</v>
      </c>
      <c r="K966" t="s">
        <v>720</v>
      </c>
      <c r="L966" t="s">
        <v>385</v>
      </c>
      <c r="M966">
        <v>0</v>
      </c>
      <c r="N966" s="3" t="s">
        <v>238</v>
      </c>
      <c r="O966" s="3" t="s">
        <v>612</v>
      </c>
    </row>
    <row r="967" spans="1:15">
      <c r="A967" t="s">
        <v>1692</v>
      </c>
      <c r="B967" t="s">
        <v>611</v>
      </c>
      <c r="C967">
        <v>926602</v>
      </c>
      <c r="D967" s="16">
        <v>926.60199999999998</v>
      </c>
      <c r="E967" t="s">
        <v>724</v>
      </c>
      <c r="F967" s="16">
        <v>-1.3</v>
      </c>
      <c r="G967" s="16">
        <v>1.3</v>
      </c>
      <c r="H967" s="16">
        <v>1.3</v>
      </c>
      <c r="I967" t="s">
        <v>125</v>
      </c>
      <c r="J967">
        <v>1</v>
      </c>
      <c r="K967" t="s">
        <v>725</v>
      </c>
      <c r="L967" t="s">
        <v>385</v>
      </c>
      <c r="M967">
        <v>0</v>
      </c>
      <c r="N967" s="3" t="s">
        <v>238</v>
      </c>
      <c r="O967" s="3" t="s">
        <v>612</v>
      </c>
    </row>
    <row r="968" spans="1:15">
      <c r="A968" t="s">
        <v>1693</v>
      </c>
      <c r="B968" t="s">
        <v>611</v>
      </c>
      <c r="C968">
        <v>926602</v>
      </c>
      <c r="D968" s="16">
        <v>926.60199999999998</v>
      </c>
      <c r="E968" t="s">
        <v>727</v>
      </c>
      <c r="F968" s="16">
        <v>1</v>
      </c>
      <c r="G968" s="16">
        <v>1</v>
      </c>
      <c r="H968" s="16">
        <v>1</v>
      </c>
      <c r="I968" t="s">
        <v>728</v>
      </c>
      <c r="J968">
        <v>1</v>
      </c>
      <c r="K968" t="s">
        <v>720</v>
      </c>
      <c r="L968" t="s">
        <v>385</v>
      </c>
      <c r="M968">
        <v>0</v>
      </c>
      <c r="N968" s="3" t="s">
        <v>238</v>
      </c>
      <c r="O968" s="3" t="s">
        <v>612</v>
      </c>
    </row>
    <row r="969" spans="1:15">
      <c r="A969" t="s">
        <v>1694</v>
      </c>
      <c r="B969" t="s">
        <v>611</v>
      </c>
      <c r="C969">
        <v>926602</v>
      </c>
      <c r="D969" s="16">
        <v>926.60199999999998</v>
      </c>
      <c r="E969" t="s">
        <v>730</v>
      </c>
      <c r="F969" s="16">
        <v>0</v>
      </c>
      <c r="G969" s="16">
        <v>0</v>
      </c>
      <c r="H969" s="16">
        <v>0</v>
      </c>
      <c r="I969" t="s">
        <v>107</v>
      </c>
      <c r="J969">
        <v>1</v>
      </c>
      <c r="K969" t="s">
        <v>720</v>
      </c>
      <c r="L969" t="s">
        <v>385</v>
      </c>
      <c r="M969">
        <v>0</v>
      </c>
      <c r="N969" s="3" t="s">
        <v>238</v>
      </c>
      <c r="O969" s="3" t="s">
        <v>612</v>
      </c>
    </row>
    <row r="970" spans="1:15">
      <c r="A970" t="s">
        <v>1695</v>
      </c>
      <c r="B970" t="s">
        <v>614</v>
      </c>
      <c r="C970">
        <v>931618</v>
      </c>
      <c r="D970" s="16">
        <v>931.61800000000005</v>
      </c>
      <c r="E970" t="s">
        <v>719</v>
      </c>
      <c r="F970" s="16">
        <v>28.4</v>
      </c>
      <c r="G970" s="16">
        <v>28.4</v>
      </c>
      <c r="H970" s="16">
        <v>28.4</v>
      </c>
      <c r="I970" t="s">
        <v>98</v>
      </c>
      <c r="J970">
        <v>1</v>
      </c>
      <c r="K970" t="s">
        <v>720</v>
      </c>
      <c r="L970" t="s">
        <v>567</v>
      </c>
      <c r="M970">
        <v>0</v>
      </c>
      <c r="N970" s="3" t="s">
        <v>238</v>
      </c>
      <c r="O970" s="3"/>
    </row>
    <row r="971" spans="1:15">
      <c r="A971" t="s">
        <v>1696</v>
      </c>
      <c r="B971" t="s">
        <v>614</v>
      </c>
      <c r="C971">
        <v>931618</v>
      </c>
      <c r="D971" s="16">
        <v>931.61800000000005</v>
      </c>
      <c r="E971" t="s">
        <v>722</v>
      </c>
      <c r="F971" s="16">
        <v>76.3</v>
      </c>
      <c r="G971" s="16">
        <v>76.3</v>
      </c>
      <c r="H971" s="16">
        <v>76.3</v>
      </c>
      <c r="I971" t="s">
        <v>140</v>
      </c>
      <c r="J971">
        <v>1</v>
      </c>
      <c r="K971" t="s">
        <v>720</v>
      </c>
      <c r="L971" t="s">
        <v>567</v>
      </c>
      <c r="M971">
        <v>0</v>
      </c>
      <c r="N971" s="3" t="s">
        <v>238</v>
      </c>
      <c r="O971" s="3"/>
    </row>
    <row r="972" spans="1:15">
      <c r="A972" t="s">
        <v>1697</v>
      </c>
      <c r="B972" t="s">
        <v>614</v>
      </c>
      <c r="C972">
        <v>931618</v>
      </c>
      <c r="D972" s="16">
        <v>931.61800000000005</v>
      </c>
      <c r="E972" t="s">
        <v>724</v>
      </c>
      <c r="F972" s="16">
        <v>-1.5</v>
      </c>
      <c r="G972" s="16">
        <v>1.5</v>
      </c>
      <c r="H972" s="16">
        <v>1.5</v>
      </c>
      <c r="I972" t="s">
        <v>125</v>
      </c>
      <c r="J972">
        <v>1</v>
      </c>
      <c r="K972" t="s">
        <v>725</v>
      </c>
      <c r="L972" t="s">
        <v>567</v>
      </c>
      <c r="M972">
        <v>0</v>
      </c>
      <c r="N972" s="3" t="s">
        <v>238</v>
      </c>
      <c r="O972" s="3"/>
    </row>
    <row r="973" spans="1:15">
      <c r="A973" t="s">
        <v>1698</v>
      </c>
      <c r="B973" t="s">
        <v>614</v>
      </c>
      <c r="C973">
        <v>931618</v>
      </c>
      <c r="D973" s="16">
        <v>931.61800000000005</v>
      </c>
      <c r="E973" t="s">
        <v>727</v>
      </c>
      <c r="F973" s="16">
        <v>1</v>
      </c>
      <c r="G973" s="16">
        <v>1</v>
      </c>
      <c r="H973" s="16">
        <v>1</v>
      </c>
      <c r="I973" t="s">
        <v>728</v>
      </c>
      <c r="J973">
        <v>1</v>
      </c>
      <c r="K973" t="s">
        <v>720</v>
      </c>
      <c r="L973" t="s">
        <v>567</v>
      </c>
      <c r="M973">
        <v>0</v>
      </c>
      <c r="N973" s="3" t="s">
        <v>238</v>
      </c>
      <c r="O973" s="3"/>
    </row>
    <row r="974" spans="1:15">
      <c r="A974" t="s">
        <v>1699</v>
      </c>
      <c r="B974" t="s">
        <v>614</v>
      </c>
      <c r="C974">
        <v>931618</v>
      </c>
      <c r="D974" s="16">
        <v>931.61800000000005</v>
      </c>
      <c r="E974" t="s">
        <v>730</v>
      </c>
      <c r="F974" s="16">
        <v>0</v>
      </c>
      <c r="G974" s="16">
        <v>0</v>
      </c>
      <c r="H974" s="16">
        <v>0</v>
      </c>
      <c r="I974" t="s">
        <v>107</v>
      </c>
      <c r="J974">
        <v>1</v>
      </c>
      <c r="K974" t="s">
        <v>720</v>
      </c>
      <c r="L974" t="s">
        <v>567</v>
      </c>
      <c r="M974">
        <v>0</v>
      </c>
      <c r="N974" s="3" t="s">
        <v>238</v>
      </c>
      <c r="O974" s="3"/>
    </row>
    <row r="975" spans="1:15">
      <c r="A975" t="s">
        <v>1700</v>
      </c>
      <c r="B975" t="s">
        <v>615</v>
      </c>
      <c r="C975">
        <v>936603</v>
      </c>
      <c r="D975" s="16">
        <v>936.60299999999995</v>
      </c>
      <c r="E975" t="s">
        <v>719</v>
      </c>
      <c r="F975" s="16">
        <v>28.3</v>
      </c>
      <c r="G975" s="16">
        <v>28.3</v>
      </c>
      <c r="H975" s="16">
        <v>28.3</v>
      </c>
      <c r="I975" t="s">
        <v>98</v>
      </c>
      <c r="J975">
        <v>1</v>
      </c>
      <c r="K975" t="s">
        <v>720</v>
      </c>
      <c r="L975" t="s">
        <v>571</v>
      </c>
      <c r="M975">
        <v>0</v>
      </c>
      <c r="N975" s="3" t="s">
        <v>238</v>
      </c>
      <c r="O975" s="3"/>
    </row>
    <row r="976" spans="1:15">
      <c r="A976" t="s">
        <v>1701</v>
      </c>
      <c r="B976" t="s">
        <v>615</v>
      </c>
      <c r="C976">
        <v>936603</v>
      </c>
      <c r="D976" s="16">
        <v>936.60299999999995</v>
      </c>
      <c r="E976" t="s">
        <v>722</v>
      </c>
      <c r="F976" s="16">
        <v>76.599999999999994</v>
      </c>
      <c r="G976" s="16">
        <v>76.599999999999994</v>
      </c>
      <c r="H976" s="16">
        <v>76.599999999999994</v>
      </c>
      <c r="I976" t="s">
        <v>140</v>
      </c>
      <c r="J976">
        <v>1</v>
      </c>
      <c r="K976" t="s">
        <v>720</v>
      </c>
      <c r="L976" t="s">
        <v>571</v>
      </c>
      <c r="M976">
        <v>0</v>
      </c>
      <c r="N976" s="3" t="s">
        <v>238</v>
      </c>
      <c r="O976" s="3"/>
    </row>
    <row r="977" spans="1:15">
      <c r="A977" t="s">
        <v>1702</v>
      </c>
      <c r="B977" t="s">
        <v>615</v>
      </c>
      <c r="C977">
        <v>936603</v>
      </c>
      <c r="D977" s="16">
        <v>936.60299999999995</v>
      </c>
      <c r="E977" t="s">
        <v>724</v>
      </c>
      <c r="F977" s="16">
        <v>-2.2000000000000002</v>
      </c>
      <c r="G977" s="16">
        <v>2.2000000000000002</v>
      </c>
      <c r="H977" s="16">
        <v>2.2000000000000002</v>
      </c>
      <c r="I977" t="s">
        <v>125</v>
      </c>
      <c r="J977">
        <v>1</v>
      </c>
      <c r="K977" t="s">
        <v>725</v>
      </c>
      <c r="L977" t="s">
        <v>571</v>
      </c>
      <c r="M977">
        <v>0</v>
      </c>
      <c r="N977" s="3" t="s">
        <v>238</v>
      </c>
      <c r="O977" s="3"/>
    </row>
    <row r="978" spans="1:15">
      <c r="A978" t="s">
        <v>1703</v>
      </c>
      <c r="B978" t="s">
        <v>615</v>
      </c>
      <c r="C978">
        <v>936603</v>
      </c>
      <c r="D978" s="16">
        <v>936.60299999999995</v>
      </c>
      <c r="E978" t="s">
        <v>727</v>
      </c>
      <c r="F978" s="16">
        <v>1</v>
      </c>
      <c r="G978" s="16">
        <v>1</v>
      </c>
      <c r="H978" s="16">
        <v>1</v>
      </c>
      <c r="I978" t="s">
        <v>728</v>
      </c>
      <c r="J978">
        <v>1</v>
      </c>
      <c r="K978" t="s">
        <v>720</v>
      </c>
      <c r="L978" t="s">
        <v>571</v>
      </c>
      <c r="M978">
        <v>0</v>
      </c>
      <c r="N978" s="3" t="s">
        <v>238</v>
      </c>
      <c r="O978" s="3"/>
    </row>
    <row r="979" spans="1:15">
      <c r="A979" t="s">
        <v>1704</v>
      </c>
      <c r="B979" t="s">
        <v>615</v>
      </c>
      <c r="C979">
        <v>936603</v>
      </c>
      <c r="D979" s="16">
        <v>936.60299999999995</v>
      </c>
      <c r="E979" t="s">
        <v>730</v>
      </c>
      <c r="F979" s="16">
        <v>0</v>
      </c>
      <c r="G979" s="16">
        <v>0</v>
      </c>
      <c r="H979" s="16">
        <v>0</v>
      </c>
      <c r="I979" t="s">
        <v>107</v>
      </c>
      <c r="J979">
        <v>1</v>
      </c>
      <c r="K979" t="s">
        <v>720</v>
      </c>
      <c r="L979" t="s">
        <v>571</v>
      </c>
      <c r="M979">
        <v>0</v>
      </c>
      <c r="N979" s="3" t="s">
        <v>238</v>
      </c>
      <c r="O979" s="3"/>
    </row>
    <row r="980" spans="1:15" ht="27.6">
      <c r="A980" t="s">
        <v>1705</v>
      </c>
      <c r="B980" t="s">
        <v>616</v>
      </c>
      <c r="C980">
        <v>941602</v>
      </c>
      <c r="D980" s="16">
        <v>941.60199999999998</v>
      </c>
      <c r="E980" t="s">
        <v>719</v>
      </c>
      <c r="F980" s="16">
        <v>28.2</v>
      </c>
      <c r="G980" s="16">
        <v>28.2</v>
      </c>
      <c r="H980" s="16">
        <v>28.2</v>
      </c>
      <c r="I980" t="s">
        <v>98</v>
      </c>
      <c r="J980">
        <v>1</v>
      </c>
      <c r="K980" t="s">
        <v>720</v>
      </c>
      <c r="L980" t="s">
        <v>571</v>
      </c>
      <c r="M980">
        <v>0</v>
      </c>
      <c r="N980" s="3" t="s">
        <v>325</v>
      </c>
      <c r="O980" s="3"/>
    </row>
    <row r="981" spans="1:15" ht="27.6">
      <c r="A981" t="s">
        <v>1706</v>
      </c>
      <c r="B981" t="s">
        <v>616</v>
      </c>
      <c r="C981">
        <v>941602</v>
      </c>
      <c r="D981" s="16">
        <v>941.60199999999998</v>
      </c>
      <c r="E981" t="s">
        <v>722</v>
      </c>
      <c r="F981" s="16">
        <v>70.400000000000006</v>
      </c>
      <c r="G981" s="16">
        <v>70.400000000000006</v>
      </c>
      <c r="H981" s="16">
        <v>70.400000000000006</v>
      </c>
      <c r="I981" t="s">
        <v>140</v>
      </c>
      <c r="J981">
        <v>1</v>
      </c>
      <c r="K981" t="s">
        <v>720</v>
      </c>
      <c r="L981" t="s">
        <v>571</v>
      </c>
      <c r="M981">
        <v>0</v>
      </c>
      <c r="N981" s="3" t="s">
        <v>325</v>
      </c>
      <c r="O981" s="3"/>
    </row>
    <row r="982" spans="1:15" ht="27.6">
      <c r="A982" t="s">
        <v>1707</v>
      </c>
      <c r="B982" t="s">
        <v>616</v>
      </c>
      <c r="C982">
        <v>941602</v>
      </c>
      <c r="D982" s="16">
        <v>941.60199999999998</v>
      </c>
      <c r="E982" t="s">
        <v>724</v>
      </c>
      <c r="F982" s="16">
        <v>-1.4</v>
      </c>
      <c r="G982" s="16">
        <v>1.4</v>
      </c>
      <c r="H982" s="16">
        <v>1.4</v>
      </c>
      <c r="I982" t="s">
        <v>125</v>
      </c>
      <c r="J982">
        <v>1</v>
      </c>
      <c r="K982" t="s">
        <v>725</v>
      </c>
      <c r="L982" t="s">
        <v>571</v>
      </c>
      <c r="M982">
        <v>0</v>
      </c>
      <c r="N982" s="3" t="s">
        <v>325</v>
      </c>
      <c r="O982" s="3"/>
    </row>
    <row r="983" spans="1:15" ht="27.6">
      <c r="A983" t="s">
        <v>1708</v>
      </c>
      <c r="B983" t="s">
        <v>616</v>
      </c>
      <c r="C983">
        <v>941602</v>
      </c>
      <c r="D983" s="16">
        <v>941.60199999999998</v>
      </c>
      <c r="E983" t="s">
        <v>727</v>
      </c>
      <c r="F983" s="16">
        <v>1</v>
      </c>
      <c r="G983" s="16">
        <v>1</v>
      </c>
      <c r="H983" s="16">
        <v>1</v>
      </c>
      <c r="I983" t="s">
        <v>728</v>
      </c>
      <c r="J983">
        <v>1</v>
      </c>
      <c r="K983" t="s">
        <v>720</v>
      </c>
      <c r="L983" t="s">
        <v>571</v>
      </c>
      <c r="M983">
        <v>0</v>
      </c>
      <c r="N983" s="3" t="s">
        <v>325</v>
      </c>
      <c r="O983" s="3"/>
    </row>
    <row r="984" spans="1:15" ht="27.6">
      <c r="A984" t="s">
        <v>1709</v>
      </c>
      <c r="B984" t="s">
        <v>616</v>
      </c>
      <c r="C984">
        <v>941602</v>
      </c>
      <c r="D984" s="16">
        <v>941.60199999999998</v>
      </c>
      <c r="E984" t="s">
        <v>730</v>
      </c>
      <c r="F984" s="16">
        <v>169.92</v>
      </c>
      <c r="G984" s="16">
        <v>1.6991999999999998</v>
      </c>
      <c r="H984" s="16">
        <v>1.6991999999999998</v>
      </c>
      <c r="I984" t="s">
        <v>107</v>
      </c>
      <c r="J984">
        <v>1</v>
      </c>
      <c r="K984" t="s">
        <v>761</v>
      </c>
      <c r="L984" t="s">
        <v>571</v>
      </c>
      <c r="M984">
        <v>0</v>
      </c>
      <c r="N984" s="3" t="s">
        <v>325</v>
      </c>
      <c r="O984" s="3"/>
    </row>
    <row r="985" spans="1:15" ht="27.6">
      <c r="A985" t="s">
        <v>1710</v>
      </c>
      <c r="B985" t="s">
        <v>617</v>
      </c>
      <c r="C985">
        <v>946603</v>
      </c>
      <c r="D985" s="16">
        <v>946.60299999999995</v>
      </c>
      <c r="E985" t="s">
        <v>719</v>
      </c>
      <c r="F985" s="16">
        <v>28.2</v>
      </c>
      <c r="G985" s="16">
        <v>28.2</v>
      </c>
      <c r="H985" s="16">
        <v>28.2</v>
      </c>
      <c r="I985" t="s">
        <v>98</v>
      </c>
      <c r="J985">
        <v>1</v>
      </c>
      <c r="K985" t="s">
        <v>720</v>
      </c>
      <c r="L985" t="s">
        <v>571</v>
      </c>
      <c r="M985">
        <v>0</v>
      </c>
      <c r="N985" s="3" t="s">
        <v>325</v>
      </c>
      <c r="O985" s="3"/>
    </row>
    <row r="986" spans="1:15" ht="27.6">
      <c r="A986" t="s">
        <v>1711</v>
      </c>
      <c r="B986" t="s">
        <v>617</v>
      </c>
      <c r="C986">
        <v>946603</v>
      </c>
      <c r="D986" s="16">
        <v>946.60299999999995</v>
      </c>
      <c r="E986" t="s">
        <v>722</v>
      </c>
      <c r="F986" s="16">
        <v>70</v>
      </c>
      <c r="G986" s="16">
        <v>70</v>
      </c>
      <c r="H986" s="16">
        <v>70</v>
      </c>
      <c r="I986" t="s">
        <v>140</v>
      </c>
      <c r="J986">
        <v>1</v>
      </c>
      <c r="K986" t="s">
        <v>720</v>
      </c>
      <c r="L986" t="s">
        <v>571</v>
      </c>
      <c r="M986">
        <v>0</v>
      </c>
      <c r="N986" s="3" t="s">
        <v>325</v>
      </c>
      <c r="O986" s="3"/>
    </row>
    <row r="987" spans="1:15" ht="27.6">
      <c r="A987" t="s">
        <v>1712</v>
      </c>
      <c r="B987" t="s">
        <v>617</v>
      </c>
      <c r="C987">
        <v>946603</v>
      </c>
      <c r="D987" s="16">
        <v>946.60299999999995</v>
      </c>
      <c r="E987" t="s">
        <v>724</v>
      </c>
      <c r="F987" s="16">
        <v>-1.7</v>
      </c>
      <c r="G987" s="16">
        <v>1.7</v>
      </c>
      <c r="H987" s="16">
        <v>1.7</v>
      </c>
      <c r="I987" t="s">
        <v>125</v>
      </c>
      <c r="J987">
        <v>1</v>
      </c>
      <c r="K987" t="s">
        <v>725</v>
      </c>
      <c r="L987" t="s">
        <v>571</v>
      </c>
      <c r="M987">
        <v>0</v>
      </c>
      <c r="N987" s="3" t="s">
        <v>325</v>
      </c>
      <c r="O987" s="3"/>
    </row>
    <row r="988" spans="1:15" ht="27.6">
      <c r="A988" t="s">
        <v>1713</v>
      </c>
      <c r="B988" t="s">
        <v>617</v>
      </c>
      <c r="C988">
        <v>946603</v>
      </c>
      <c r="D988" s="16">
        <v>946.60299999999995</v>
      </c>
      <c r="E988" t="s">
        <v>727</v>
      </c>
      <c r="F988" s="16">
        <v>1</v>
      </c>
      <c r="G988" s="16">
        <v>1</v>
      </c>
      <c r="H988" s="16">
        <v>1</v>
      </c>
      <c r="I988" t="s">
        <v>728</v>
      </c>
      <c r="J988">
        <v>1</v>
      </c>
      <c r="K988" t="s">
        <v>720</v>
      </c>
      <c r="L988" t="s">
        <v>571</v>
      </c>
      <c r="M988">
        <v>0</v>
      </c>
      <c r="N988" s="3" t="s">
        <v>325</v>
      </c>
      <c r="O988" s="3"/>
    </row>
    <row r="989" spans="1:15" ht="27.6">
      <c r="A989" t="s">
        <v>1714</v>
      </c>
      <c r="B989" t="s">
        <v>617</v>
      </c>
      <c r="C989">
        <v>946603</v>
      </c>
      <c r="D989" s="16">
        <v>946.60299999999995</v>
      </c>
      <c r="E989" t="s">
        <v>730</v>
      </c>
      <c r="F989" s="16">
        <v>496.29300000000001</v>
      </c>
      <c r="G989" s="16">
        <v>4.9629300000000001</v>
      </c>
      <c r="H989" s="16">
        <v>4.9629300000000001</v>
      </c>
      <c r="I989" t="s">
        <v>107</v>
      </c>
      <c r="J989">
        <v>1</v>
      </c>
      <c r="K989" t="s">
        <v>761</v>
      </c>
      <c r="L989" t="s">
        <v>571</v>
      </c>
      <c r="M989">
        <v>0</v>
      </c>
      <c r="N989" s="3" t="s">
        <v>325</v>
      </c>
      <c r="O989" s="3"/>
    </row>
    <row r="990" spans="1:15">
      <c r="A990" t="s">
        <v>1715</v>
      </c>
      <c r="B990" t="s">
        <v>618</v>
      </c>
      <c r="C990">
        <v>951603</v>
      </c>
      <c r="D990" s="16">
        <v>951.60299999999995</v>
      </c>
      <c r="E990" t="s">
        <v>719</v>
      </c>
      <c r="F990" s="16">
        <v>28.1</v>
      </c>
      <c r="G990" s="16">
        <v>28.1</v>
      </c>
      <c r="H990" s="16">
        <v>28.1</v>
      </c>
      <c r="I990" t="s">
        <v>98</v>
      </c>
      <c r="J990">
        <v>1</v>
      </c>
      <c r="K990" t="s">
        <v>720</v>
      </c>
      <c r="L990" t="s">
        <v>571</v>
      </c>
      <c r="M990">
        <v>1</v>
      </c>
      <c r="N990" s="3" t="s">
        <v>619</v>
      </c>
      <c r="O990" s="3"/>
    </row>
    <row r="991" spans="1:15">
      <c r="A991" t="s">
        <v>1716</v>
      </c>
      <c r="B991" t="s">
        <v>618</v>
      </c>
      <c r="C991">
        <v>951603</v>
      </c>
      <c r="D991" s="16">
        <v>951.60299999999995</v>
      </c>
      <c r="E991" t="s">
        <v>722</v>
      </c>
      <c r="F991" s="16">
        <v>70.3</v>
      </c>
      <c r="G991" s="16">
        <v>70.3</v>
      </c>
      <c r="H991" s="16">
        <v>70.3</v>
      </c>
      <c r="I991" t="s">
        <v>140</v>
      </c>
      <c r="J991">
        <v>1</v>
      </c>
      <c r="K991" t="s">
        <v>720</v>
      </c>
      <c r="L991" t="s">
        <v>571</v>
      </c>
      <c r="M991">
        <v>1</v>
      </c>
      <c r="N991" s="3" t="s">
        <v>619</v>
      </c>
      <c r="O991" s="3"/>
    </row>
    <row r="992" spans="1:15">
      <c r="A992" t="s">
        <v>1717</v>
      </c>
      <c r="B992" t="s">
        <v>618</v>
      </c>
      <c r="C992">
        <v>951603</v>
      </c>
      <c r="D992" s="16">
        <v>951.60299999999995</v>
      </c>
      <c r="E992" t="s">
        <v>724</v>
      </c>
      <c r="F992" s="16">
        <v>4280.8</v>
      </c>
      <c r="G992" s="16">
        <v>4280.8</v>
      </c>
      <c r="H992" s="16">
        <v>4280.8</v>
      </c>
      <c r="I992" t="s">
        <v>125</v>
      </c>
      <c r="J992">
        <v>1</v>
      </c>
      <c r="K992" t="s">
        <v>720</v>
      </c>
      <c r="L992" t="s">
        <v>571</v>
      </c>
      <c r="M992">
        <v>1</v>
      </c>
      <c r="N992" s="3" t="s">
        <v>619</v>
      </c>
      <c r="O992" s="3"/>
    </row>
    <row r="993" spans="1:15">
      <c r="A993" t="s">
        <v>1718</v>
      </c>
      <c r="B993" t="s">
        <v>618</v>
      </c>
      <c r="C993">
        <v>951603</v>
      </c>
      <c r="D993" s="16">
        <v>951.60299999999995</v>
      </c>
      <c r="E993" t="s">
        <v>727</v>
      </c>
      <c r="F993" s="16">
        <v>1</v>
      </c>
      <c r="G993" s="16">
        <v>1</v>
      </c>
      <c r="H993" s="16">
        <v>1</v>
      </c>
      <c r="I993" t="s">
        <v>728</v>
      </c>
      <c r="J993">
        <v>1</v>
      </c>
      <c r="K993" t="s">
        <v>720</v>
      </c>
      <c r="L993" t="s">
        <v>571</v>
      </c>
      <c r="M993">
        <v>1</v>
      </c>
      <c r="N993" s="3" t="s">
        <v>619</v>
      </c>
      <c r="O993" s="3"/>
    </row>
    <row r="994" spans="1:15">
      <c r="A994" t="s">
        <v>1719</v>
      </c>
      <c r="B994" t="s">
        <v>618</v>
      </c>
      <c r="C994">
        <v>951603</v>
      </c>
      <c r="D994" s="16">
        <v>951.60299999999995</v>
      </c>
      <c r="E994" t="s">
        <v>730</v>
      </c>
      <c r="F994" s="16">
        <v>278.34699999999998</v>
      </c>
      <c r="G994" s="16">
        <v>2.7834699999999999</v>
      </c>
      <c r="H994" s="16">
        <v>2.7834699999999999</v>
      </c>
      <c r="I994" t="s">
        <v>107</v>
      </c>
      <c r="J994">
        <v>1</v>
      </c>
      <c r="K994" t="s">
        <v>761</v>
      </c>
      <c r="L994" t="s">
        <v>571</v>
      </c>
      <c r="M994">
        <v>1</v>
      </c>
      <c r="N994" s="3" t="s">
        <v>619</v>
      </c>
      <c r="O994" s="3"/>
    </row>
    <row r="995" spans="1:15">
      <c r="A995" t="s">
        <v>1720</v>
      </c>
      <c r="B995" t="s">
        <v>620</v>
      </c>
      <c r="C995">
        <v>956603</v>
      </c>
      <c r="D995" s="16">
        <v>956.60299999999995</v>
      </c>
      <c r="E995" t="s">
        <v>719</v>
      </c>
      <c r="F995" s="16">
        <v>28.1</v>
      </c>
      <c r="G995" s="16">
        <v>28.1</v>
      </c>
      <c r="H995" s="16">
        <v>28.1</v>
      </c>
      <c r="I995" t="s">
        <v>98</v>
      </c>
      <c r="J995">
        <v>1</v>
      </c>
      <c r="K995" t="s">
        <v>720</v>
      </c>
      <c r="L995" t="s">
        <v>571</v>
      </c>
      <c r="M995">
        <v>1</v>
      </c>
      <c r="N995" s="3" t="s">
        <v>619</v>
      </c>
      <c r="O995" s="3"/>
    </row>
    <row r="996" spans="1:15">
      <c r="A996" t="s">
        <v>1721</v>
      </c>
      <c r="B996" t="s">
        <v>620</v>
      </c>
      <c r="C996">
        <v>956603</v>
      </c>
      <c r="D996" s="16">
        <v>956.60299999999995</v>
      </c>
      <c r="E996" t="s">
        <v>722</v>
      </c>
      <c r="F996" s="16">
        <v>70</v>
      </c>
      <c r="G996" s="16">
        <v>70</v>
      </c>
      <c r="H996" s="16">
        <v>70</v>
      </c>
      <c r="I996" t="s">
        <v>140</v>
      </c>
      <c r="J996">
        <v>1</v>
      </c>
      <c r="K996" t="s">
        <v>720</v>
      </c>
      <c r="L996" t="s">
        <v>571</v>
      </c>
      <c r="M996">
        <v>1</v>
      </c>
      <c r="N996" s="3" t="s">
        <v>619</v>
      </c>
      <c r="O996" s="3"/>
    </row>
    <row r="997" spans="1:15">
      <c r="A997" t="s">
        <v>1722</v>
      </c>
      <c r="B997" t="s">
        <v>620</v>
      </c>
      <c r="C997">
        <v>956603</v>
      </c>
      <c r="D997" s="16">
        <v>956.60299999999995</v>
      </c>
      <c r="E997" t="s">
        <v>724</v>
      </c>
      <c r="F997" s="16">
        <v>2001.3</v>
      </c>
      <c r="G997" s="16">
        <v>2001.3</v>
      </c>
      <c r="H997" s="16">
        <v>2001.3</v>
      </c>
      <c r="I997" t="s">
        <v>125</v>
      </c>
      <c r="J997">
        <v>1</v>
      </c>
      <c r="K997" t="s">
        <v>720</v>
      </c>
      <c r="L997" t="s">
        <v>571</v>
      </c>
      <c r="M997">
        <v>1</v>
      </c>
      <c r="N997" s="3" t="s">
        <v>619</v>
      </c>
      <c r="O997" s="3"/>
    </row>
    <row r="998" spans="1:15">
      <c r="A998" t="s">
        <v>1723</v>
      </c>
      <c r="B998" t="s">
        <v>620</v>
      </c>
      <c r="C998">
        <v>956603</v>
      </c>
      <c r="D998" s="16">
        <v>956.60299999999995</v>
      </c>
      <c r="E998" t="s">
        <v>727</v>
      </c>
      <c r="F998" s="16">
        <v>1</v>
      </c>
      <c r="G998" s="16">
        <v>1</v>
      </c>
      <c r="H998" s="16">
        <v>1</v>
      </c>
      <c r="I998" t="s">
        <v>728</v>
      </c>
      <c r="J998">
        <v>1</v>
      </c>
      <c r="K998" t="s">
        <v>720</v>
      </c>
      <c r="L998" t="s">
        <v>571</v>
      </c>
      <c r="M998">
        <v>1</v>
      </c>
      <c r="N998" s="3" t="s">
        <v>619</v>
      </c>
      <c r="O998" s="3"/>
    </row>
    <row r="999" spans="1:15">
      <c r="A999" t="s">
        <v>1724</v>
      </c>
      <c r="B999" t="s">
        <v>620</v>
      </c>
      <c r="C999">
        <v>956603</v>
      </c>
      <c r="D999" s="16">
        <v>956.60299999999995</v>
      </c>
      <c r="E999" t="s">
        <v>730</v>
      </c>
      <c r="F999" s="16">
        <v>187.387</v>
      </c>
      <c r="G999" s="16">
        <v>1.8738699999999999</v>
      </c>
      <c r="H999" s="16">
        <v>1.8738699999999999</v>
      </c>
      <c r="I999" t="s">
        <v>107</v>
      </c>
      <c r="J999">
        <v>1</v>
      </c>
      <c r="K999" t="s">
        <v>761</v>
      </c>
      <c r="L999" t="s">
        <v>571</v>
      </c>
      <c r="M999">
        <v>1</v>
      </c>
      <c r="N999" s="3" t="s">
        <v>619</v>
      </c>
      <c r="O999" s="3"/>
    </row>
    <row r="1000" spans="1:15" ht="27.6">
      <c r="A1000" t="s">
        <v>1725</v>
      </c>
      <c r="B1000" t="s">
        <v>621</v>
      </c>
      <c r="C1000">
        <v>962184</v>
      </c>
      <c r="D1000" s="16">
        <v>962.18399999999997</v>
      </c>
      <c r="E1000" t="s">
        <v>719</v>
      </c>
      <c r="F1000" s="16">
        <v>28</v>
      </c>
      <c r="G1000" s="16">
        <v>28</v>
      </c>
      <c r="H1000" s="16">
        <v>28</v>
      </c>
      <c r="I1000" t="s">
        <v>98</v>
      </c>
      <c r="J1000">
        <v>1</v>
      </c>
      <c r="K1000" t="s">
        <v>720</v>
      </c>
      <c r="L1000" t="s">
        <v>571</v>
      </c>
      <c r="M1000">
        <v>1</v>
      </c>
      <c r="N1000" s="3" t="s">
        <v>325</v>
      </c>
      <c r="O1000" s="3"/>
    </row>
    <row r="1001" spans="1:15" ht="27.6">
      <c r="A1001" t="s">
        <v>1726</v>
      </c>
      <c r="B1001" t="s">
        <v>621</v>
      </c>
      <c r="C1001">
        <v>962184</v>
      </c>
      <c r="D1001" s="16">
        <v>962.18399999999997</v>
      </c>
      <c r="E1001" t="s">
        <v>722</v>
      </c>
      <c r="F1001" s="16">
        <v>70</v>
      </c>
      <c r="G1001" s="16">
        <v>70</v>
      </c>
      <c r="H1001" s="16">
        <v>70</v>
      </c>
      <c r="I1001" t="s">
        <v>140</v>
      </c>
      <c r="J1001">
        <v>1</v>
      </c>
      <c r="K1001" t="s">
        <v>720</v>
      </c>
      <c r="L1001" t="s">
        <v>571</v>
      </c>
      <c r="M1001">
        <v>1</v>
      </c>
      <c r="N1001" s="3" t="s">
        <v>325</v>
      </c>
      <c r="O1001" s="3"/>
    </row>
    <row r="1002" spans="1:15" ht="27.6">
      <c r="A1002" t="s">
        <v>1727</v>
      </c>
      <c r="B1002" t="s">
        <v>621</v>
      </c>
      <c r="C1002">
        <v>962184</v>
      </c>
      <c r="D1002" s="16">
        <v>962.18399999999997</v>
      </c>
      <c r="E1002" t="s">
        <v>724</v>
      </c>
      <c r="F1002" s="16">
        <v>-69.7</v>
      </c>
      <c r="G1002" s="16">
        <v>69.7</v>
      </c>
      <c r="H1002" s="16">
        <v>69.7</v>
      </c>
      <c r="I1002" t="s">
        <v>125</v>
      </c>
      <c r="J1002">
        <v>1</v>
      </c>
      <c r="K1002" t="s">
        <v>725</v>
      </c>
      <c r="L1002" t="s">
        <v>571</v>
      </c>
      <c r="M1002">
        <v>1</v>
      </c>
      <c r="N1002" s="3" t="s">
        <v>325</v>
      </c>
      <c r="O1002" s="3"/>
    </row>
    <row r="1003" spans="1:15" ht="27.6">
      <c r="A1003" t="s">
        <v>1728</v>
      </c>
      <c r="B1003" t="s">
        <v>621</v>
      </c>
      <c r="C1003">
        <v>962184</v>
      </c>
      <c r="D1003" s="16">
        <v>962.18399999999997</v>
      </c>
      <c r="E1003" t="s">
        <v>727</v>
      </c>
      <c r="F1003" s="16">
        <v>1</v>
      </c>
      <c r="G1003" s="16">
        <v>1</v>
      </c>
      <c r="H1003" s="16">
        <v>1</v>
      </c>
      <c r="I1003" t="s">
        <v>728</v>
      </c>
      <c r="J1003">
        <v>1</v>
      </c>
      <c r="K1003" t="s">
        <v>720</v>
      </c>
      <c r="L1003" t="s">
        <v>571</v>
      </c>
      <c r="M1003">
        <v>1</v>
      </c>
      <c r="N1003" s="3" t="s">
        <v>325</v>
      </c>
      <c r="O1003" s="3"/>
    </row>
    <row r="1004" spans="1:15" ht="27.6">
      <c r="A1004" t="s">
        <v>1729</v>
      </c>
      <c r="B1004" t="s">
        <v>621</v>
      </c>
      <c r="C1004">
        <v>962184</v>
      </c>
      <c r="D1004" s="16">
        <v>962.18399999999997</v>
      </c>
      <c r="E1004" t="s">
        <v>730</v>
      </c>
      <c r="F1004" s="16">
        <v>157.733</v>
      </c>
      <c r="G1004" s="16">
        <v>1.5773300000000001</v>
      </c>
      <c r="H1004" s="16">
        <v>1.5773300000000001</v>
      </c>
      <c r="I1004" t="s">
        <v>107</v>
      </c>
      <c r="J1004">
        <v>1</v>
      </c>
      <c r="K1004" t="s">
        <v>761</v>
      </c>
      <c r="L1004" t="s">
        <v>571</v>
      </c>
      <c r="M1004">
        <v>1</v>
      </c>
      <c r="N1004" s="3" t="s">
        <v>325</v>
      </c>
      <c r="O1004" s="3"/>
    </row>
    <row r="1005" spans="1:15" ht="41.4">
      <c r="A1005" t="s">
        <v>1730</v>
      </c>
      <c r="B1005" t="s">
        <v>623</v>
      </c>
      <c r="C1005">
        <v>967358</v>
      </c>
      <c r="D1005" s="16">
        <v>967.35799999999995</v>
      </c>
      <c r="E1005" t="s">
        <v>719</v>
      </c>
      <c r="F1005" s="16">
        <v>-1</v>
      </c>
      <c r="G1005" s="16"/>
      <c r="H1005" s="16">
        <v>28</v>
      </c>
      <c r="I1005" t="s">
        <v>98</v>
      </c>
      <c r="J1005">
        <v>0</v>
      </c>
      <c r="K1005" t="s">
        <v>1610</v>
      </c>
      <c r="L1005" t="s">
        <v>571</v>
      </c>
      <c r="M1005">
        <v>0</v>
      </c>
      <c r="N1005" s="3" t="s">
        <v>330</v>
      </c>
      <c r="O1005" s="3"/>
    </row>
    <row r="1006" spans="1:15" ht="41.4">
      <c r="A1006" t="s">
        <v>1731</v>
      </c>
      <c r="B1006" t="s">
        <v>623</v>
      </c>
      <c r="C1006">
        <v>967358</v>
      </c>
      <c r="D1006" s="16">
        <v>967.35799999999995</v>
      </c>
      <c r="E1006" t="s">
        <v>722</v>
      </c>
      <c r="F1006" s="16">
        <v>-1</v>
      </c>
      <c r="G1006" s="16"/>
      <c r="H1006" s="16">
        <v>70</v>
      </c>
      <c r="I1006" t="s">
        <v>140</v>
      </c>
      <c r="J1006">
        <v>0</v>
      </c>
      <c r="K1006" t="s">
        <v>1610</v>
      </c>
      <c r="L1006" t="s">
        <v>571</v>
      </c>
      <c r="M1006">
        <v>0</v>
      </c>
      <c r="N1006" s="3" t="s">
        <v>330</v>
      </c>
      <c r="O1006" s="3"/>
    </row>
    <row r="1007" spans="1:15" ht="41.4">
      <c r="A1007" t="s">
        <v>1732</v>
      </c>
      <c r="B1007" t="s">
        <v>623</v>
      </c>
      <c r="C1007">
        <v>967358</v>
      </c>
      <c r="D1007" s="16">
        <v>967.35799999999995</v>
      </c>
      <c r="E1007" t="s">
        <v>724</v>
      </c>
      <c r="F1007" s="16">
        <v>-1.7</v>
      </c>
      <c r="G1007" s="16">
        <v>1.7</v>
      </c>
      <c r="H1007" s="16">
        <v>1.7</v>
      </c>
      <c r="I1007" t="s">
        <v>125</v>
      </c>
      <c r="J1007">
        <v>1</v>
      </c>
      <c r="K1007" t="s">
        <v>725</v>
      </c>
      <c r="L1007" t="s">
        <v>571</v>
      </c>
      <c r="M1007">
        <v>0</v>
      </c>
      <c r="N1007" s="3" t="s">
        <v>330</v>
      </c>
      <c r="O1007" s="3"/>
    </row>
    <row r="1008" spans="1:15" ht="41.4">
      <c r="A1008" t="s">
        <v>1733</v>
      </c>
      <c r="B1008" t="s">
        <v>623</v>
      </c>
      <c r="C1008">
        <v>967358</v>
      </c>
      <c r="D1008" s="16">
        <v>967.35799999999995</v>
      </c>
      <c r="E1008" t="s">
        <v>727</v>
      </c>
      <c r="F1008" s="16">
        <v>1</v>
      </c>
      <c r="G1008" s="16">
        <v>1</v>
      </c>
      <c r="H1008" s="16">
        <v>1</v>
      </c>
      <c r="I1008" t="s">
        <v>728</v>
      </c>
      <c r="J1008">
        <v>1</v>
      </c>
      <c r="K1008" t="s">
        <v>720</v>
      </c>
      <c r="L1008" t="s">
        <v>571</v>
      </c>
      <c r="M1008">
        <v>0</v>
      </c>
      <c r="N1008" s="3" t="s">
        <v>330</v>
      </c>
      <c r="O1008" s="3"/>
    </row>
    <row r="1009" spans="1:15" ht="41.4">
      <c r="A1009" t="s">
        <v>1734</v>
      </c>
      <c r="B1009" t="s">
        <v>623</v>
      </c>
      <c r="C1009">
        <v>967358</v>
      </c>
      <c r="D1009" s="16">
        <v>967.35799999999995</v>
      </c>
      <c r="E1009" t="s">
        <v>730</v>
      </c>
      <c r="F1009" s="16">
        <v>112.373</v>
      </c>
      <c r="G1009" s="16">
        <v>1.1237300000000001</v>
      </c>
      <c r="H1009" s="16">
        <v>1.1237300000000001</v>
      </c>
      <c r="I1009" t="s">
        <v>107</v>
      </c>
      <c r="J1009">
        <v>1</v>
      </c>
      <c r="K1009" t="s">
        <v>761</v>
      </c>
      <c r="L1009" t="s">
        <v>571</v>
      </c>
      <c r="M1009">
        <v>0</v>
      </c>
      <c r="N1009" s="3" t="s">
        <v>330</v>
      </c>
      <c r="O1009" s="3"/>
    </row>
    <row r="1010" spans="1:15" ht="27.6">
      <c r="A1010" t="s">
        <v>1735</v>
      </c>
      <c r="B1010" t="s">
        <v>624</v>
      </c>
      <c r="C1010">
        <v>972325</v>
      </c>
      <c r="D1010" s="16">
        <v>972.32500000000005</v>
      </c>
      <c r="E1010" t="s">
        <v>719</v>
      </c>
      <c r="F1010" s="16">
        <v>27.9</v>
      </c>
      <c r="G1010" s="16">
        <v>27.9</v>
      </c>
      <c r="H1010" s="16">
        <v>27.9</v>
      </c>
      <c r="I1010" t="s">
        <v>98</v>
      </c>
      <c r="J1010">
        <v>1</v>
      </c>
      <c r="K1010" t="s">
        <v>720</v>
      </c>
      <c r="L1010" t="s">
        <v>571</v>
      </c>
      <c r="M1010">
        <v>0</v>
      </c>
      <c r="N1010" s="3" t="s">
        <v>325</v>
      </c>
      <c r="O1010" s="3"/>
    </row>
    <row r="1011" spans="1:15" ht="27.6">
      <c r="A1011" t="s">
        <v>1736</v>
      </c>
      <c r="B1011" t="s">
        <v>624</v>
      </c>
      <c r="C1011">
        <v>972325</v>
      </c>
      <c r="D1011" s="16">
        <v>972.32500000000005</v>
      </c>
      <c r="E1011" t="s">
        <v>722</v>
      </c>
      <c r="F1011" s="16">
        <v>70.099999999999994</v>
      </c>
      <c r="G1011" s="16">
        <v>70.099999999999994</v>
      </c>
      <c r="H1011" s="16">
        <v>70.099999999999994</v>
      </c>
      <c r="I1011" t="s">
        <v>140</v>
      </c>
      <c r="J1011">
        <v>1</v>
      </c>
      <c r="K1011" t="s">
        <v>720</v>
      </c>
      <c r="L1011" t="s">
        <v>571</v>
      </c>
      <c r="M1011">
        <v>0</v>
      </c>
      <c r="N1011" s="3" t="s">
        <v>325</v>
      </c>
      <c r="O1011" s="3"/>
    </row>
    <row r="1012" spans="1:15" ht="27.6">
      <c r="A1012" t="s">
        <v>1737</v>
      </c>
      <c r="B1012" t="s">
        <v>624</v>
      </c>
      <c r="C1012">
        <v>972325</v>
      </c>
      <c r="D1012" s="16">
        <v>972.32500000000005</v>
      </c>
      <c r="E1012" t="s">
        <v>724</v>
      </c>
      <c r="F1012" s="16">
        <v>-1.1000000000000001</v>
      </c>
      <c r="G1012" s="16">
        <v>1.1000000000000001</v>
      </c>
      <c r="H1012" s="16">
        <v>1.1000000000000001</v>
      </c>
      <c r="I1012" t="s">
        <v>125</v>
      </c>
      <c r="J1012">
        <v>1</v>
      </c>
      <c r="K1012" t="s">
        <v>725</v>
      </c>
      <c r="L1012" t="s">
        <v>571</v>
      </c>
      <c r="M1012">
        <v>0</v>
      </c>
      <c r="N1012" s="3" t="s">
        <v>325</v>
      </c>
      <c r="O1012" s="3"/>
    </row>
    <row r="1013" spans="1:15" ht="27.6">
      <c r="A1013" t="s">
        <v>1738</v>
      </c>
      <c r="B1013" t="s">
        <v>624</v>
      </c>
      <c r="C1013">
        <v>972325</v>
      </c>
      <c r="D1013" s="16">
        <v>972.32500000000005</v>
      </c>
      <c r="E1013" t="s">
        <v>727</v>
      </c>
      <c r="F1013" s="16">
        <v>1</v>
      </c>
      <c r="G1013" s="16">
        <v>1</v>
      </c>
      <c r="H1013" s="16">
        <v>1</v>
      </c>
      <c r="I1013" t="s">
        <v>728</v>
      </c>
      <c r="J1013">
        <v>1</v>
      </c>
      <c r="K1013" t="s">
        <v>720</v>
      </c>
      <c r="L1013" t="s">
        <v>571</v>
      </c>
      <c r="M1013">
        <v>0</v>
      </c>
      <c r="N1013" s="3" t="s">
        <v>325</v>
      </c>
      <c r="O1013" s="3"/>
    </row>
    <row r="1014" spans="1:15" ht="27.6">
      <c r="A1014" t="s">
        <v>1739</v>
      </c>
      <c r="B1014" t="s">
        <v>624</v>
      </c>
      <c r="C1014">
        <v>972325</v>
      </c>
      <c r="D1014" s="16">
        <v>972.32500000000005</v>
      </c>
      <c r="E1014" t="s">
        <v>730</v>
      </c>
      <c r="F1014" s="16">
        <v>105.12</v>
      </c>
      <c r="G1014" s="16">
        <v>1.0512000000000001</v>
      </c>
      <c r="H1014" s="16">
        <v>1.0512000000000001</v>
      </c>
      <c r="I1014" t="s">
        <v>107</v>
      </c>
      <c r="J1014">
        <v>1</v>
      </c>
      <c r="K1014" t="s">
        <v>761</v>
      </c>
      <c r="L1014" t="s">
        <v>571</v>
      </c>
      <c r="M1014">
        <v>0</v>
      </c>
      <c r="N1014" s="3" t="s">
        <v>325</v>
      </c>
      <c r="O1014" s="3"/>
    </row>
    <row r="1015" spans="1:15" ht="27.6">
      <c r="A1015" t="s">
        <v>1740</v>
      </c>
      <c r="B1015" t="s">
        <v>625</v>
      </c>
      <c r="C1015">
        <v>977326</v>
      </c>
      <c r="D1015" s="16">
        <v>977.32600000000002</v>
      </c>
      <c r="E1015" t="s">
        <v>719</v>
      </c>
      <c r="F1015" s="16">
        <v>27.9</v>
      </c>
      <c r="G1015" s="16">
        <v>27.9</v>
      </c>
      <c r="H1015" s="16">
        <v>27.9</v>
      </c>
      <c r="I1015" t="s">
        <v>98</v>
      </c>
      <c r="J1015">
        <v>1</v>
      </c>
      <c r="K1015" t="s">
        <v>720</v>
      </c>
      <c r="L1015" t="s">
        <v>571</v>
      </c>
      <c r="M1015">
        <v>0</v>
      </c>
      <c r="N1015" s="3" t="s">
        <v>325</v>
      </c>
      <c r="O1015" s="3"/>
    </row>
    <row r="1016" spans="1:15" ht="27.6">
      <c r="A1016" t="s">
        <v>1741</v>
      </c>
      <c r="B1016" t="s">
        <v>625</v>
      </c>
      <c r="C1016">
        <v>977326</v>
      </c>
      <c r="D1016" s="16">
        <v>977.32600000000002</v>
      </c>
      <c r="E1016" t="s">
        <v>722</v>
      </c>
      <c r="F1016" s="16">
        <v>70.099999999999994</v>
      </c>
      <c r="G1016" s="16">
        <v>70.099999999999994</v>
      </c>
      <c r="H1016" s="16">
        <v>70.099999999999994</v>
      </c>
      <c r="I1016" t="s">
        <v>140</v>
      </c>
      <c r="J1016">
        <v>1</v>
      </c>
      <c r="K1016" t="s">
        <v>720</v>
      </c>
      <c r="L1016" t="s">
        <v>571</v>
      </c>
      <c r="M1016">
        <v>0</v>
      </c>
      <c r="N1016" s="3" t="s">
        <v>325</v>
      </c>
      <c r="O1016" s="3"/>
    </row>
    <row r="1017" spans="1:15" ht="27.6">
      <c r="A1017" t="s">
        <v>1742</v>
      </c>
      <c r="B1017" t="s">
        <v>625</v>
      </c>
      <c r="C1017">
        <v>977326</v>
      </c>
      <c r="D1017" s="16">
        <v>977.32600000000002</v>
      </c>
      <c r="E1017" t="s">
        <v>724</v>
      </c>
      <c r="F1017" s="16">
        <v>-1.7</v>
      </c>
      <c r="G1017" s="16">
        <v>1.7</v>
      </c>
      <c r="H1017" s="16">
        <v>1.7</v>
      </c>
      <c r="I1017" t="s">
        <v>125</v>
      </c>
      <c r="J1017">
        <v>1</v>
      </c>
      <c r="K1017" t="s">
        <v>725</v>
      </c>
      <c r="L1017" t="s">
        <v>571</v>
      </c>
      <c r="M1017">
        <v>0</v>
      </c>
      <c r="N1017" s="3" t="s">
        <v>325</v>
      </c>
      <c r="O1017" s="3"/>
    </row>
    <row r="1018" spans="1:15" ht="27.6">
      <c r="A1018" t="s">
        <v>1743</v>
      </c>
      <c r="B1018" t="s">
        <v>625</v>
      </c>
      <c r="C1018">
        <v>977326</v>
      </c>
      <c r="D1018" s="16">
        <v>977.32600000000002</v>
      </c>
      <c r="E1018" t="s">
        <v>727</v>
      </c>
      <c r="F1018" s="16">
        <v>1</v>
      </c>
      <c r="G1018" s="16">
        <v>1</v>
      </c>
      <c r="H1018" s="16">
        <v>1</v>
      </c>
      <c r="I1018" t="s">
        <v>728</v>
      </c>
      <c r="J1018">
        <v>1</v>
      </c>
      <c r="K1018" t="s">
        <v>720</v>
      </c>
      <c r="L1018" t="s">
        <v>571</v>
      </c>
      <c r="M1018">
        <v>0</v>
      </c>
      <c r="N1018" s="3" t="s">
        <v>325</v>
      </c>
      <c r="O1018" s="3"/>
    </row>
    <row r="1019" spans="1:15" ht="27.6">
      <c r="A1019" t="s">
        <v>1744</v>
      </c>
      <c r="B1019" t="s">
        <v>625</v>
      </c>
      <c r="C1019">
        <v>977326</v>
      </c>
      <c r="D1019" s="16">
        <v>977.32600000000002</v>
      </c>
      <c r="E1019" t="s">
        <v>730</v>
      </c>
      <c r="F1019" s="16">
        <v>100.88</v>
      </c>
      <c r="G1019" s="16">
        <v>1.0087999999999999</v>
      </c>
      <c r="H1019" s="16">
        <v>1.0087999999999999</v>
      </c>
      <c r="I1019" t="s">
        <v>107</v>
      </c>
      <c r="J1019">
        <v>1</v>
      </c>
      <c r="K1019" t="s">
        <v>761</v>
      </c>
      <c r="L1019" t="s">
        <v>571</v>
      </c>
      <c r="M1019">
        <v>0</v>
      </c>
      <c r="N1019" s="3" t="s">
        <v>325</v>
      </c>
      <c r="O1019" s="3"/>
    </row>
    <row r="1020" spans="1:15" ht="27.6">
      <c r="A1020" t="s">
        <v>1745</v>
      </c>
      <c r="B1020" t="s">
        <v>626</v>
      </c>
      <c r="C1020">
        <v>982326</v>
      </c>
      <c r="D1020" s="16">
        <v>982.32600000000002</v>
      </c>
      <c r="E1020" t="s">
        <v>719</v>
      </c>
      <c r="F1020" s="16">
        <v>27.8</v>
      </c>
      <c r="G1020" s="16">
        <v>27.8</v>
      </c>
      <c r="H1020" s="16">
        <v>27.8</v>
      </c>
      <c r="I1020" t="s">
        <v>98</v>
      </c>
      <c r="J1020">
        <v>1</v>
      </c>
      <c r="K1020" t="s">
        <v>720</v>
      </c>
      <c r="L1020" t="s">
        <v>571</v>
      </c>
      <c r="M1020">
        <v>0</v>
      </c>
      <c r="N1020" s="3" t="s">
        <v>325</v>
      </c>
      <c r="O1020" s="3"/>
    </row>
    <row r="1021" spans="1:15" ht="27.6">
      <c r="A1021" t="s">
        <v>1746</v>
      </c>
      <c r="B1021" t="s">
        <v>626</v>
      </c>
      <c r="C1021">
        <v>982326</v>
      </c>
      <c r="D1021" s="16">
        <v>982.32600000000002</v>
      </c>
      <c r="E1021" t="s">
        <v>722</v>
      </c>
      <c r="F1021" s="16">
        <v>70.2</v>
      </c>
      <c r="G1021" s="16">
        <v>70.2</v>
      </c>
      <c r="H1021" s="16">
        <v>70.2</v>
      </c>
      <c r="I1021" t="s">
        <v>140</v>
      </c>
      <c r="J1021">
        <v>1</v>
      </c>
      <c r="K1021" t="s">
        <v>720</v>
      </c>
      <c r="L1021" t="s">
        <v>571</v>
      </c>
      <c r="M1021">
        <v>0</v>
      </c>
      <c r="N1021" s="3" t="s">
        <v>325</v>
      </c>
      <c r="O1021" s="3"/>
    </row>
    <row r="1022" spans="1:15" ht="27.6">
      <c r="A1022" t="s">
        <v>1747</v>
      </c>
      <c r="B1022" t="s">
        <v>626</v>
      </c>
      <c r="C1022">
        <v>982326</v>
      </c>
      <c r="D1022" s="16">
        <v>982.32600000000002</v>
      </c>
      <c r="E1022" t="s">
        <v>724</v>
      </c>
      <c r="F1022" s="16">
        <v>-0.3</v>
      </c>
      <c r="G1022" s="16">
        <v>0.3</v>
      </c>
      <c r="H1022" s="16">
        <v>0.3</v>
      </c>
      <c r="I1022" t="s">
        <v>125</v>
      </c>
      <c r="J1022">
        <v>1</v>
      </c>
      <c r="K1022" t="s">
        <v>725</v>
      </c>
      <c r="L1022" t="s">
        <v>571</v>
      </c>
      <c r="M1022">
        <v>0</v>
      </c>
      <c r="N1022" s="3" t="s">
        <v>325</v>
      </c>
      <c r="O1022" s="3"/>
    </row>
    <row r="1023" spans="1:15" ht="27.6">
      <c r="A1023" t="s">
        <v>1748</v>
      </c>
      <c r="B1023" t="s">
        <v>626</v>
      </c>
      <c r="C1023">
        <v>982326</v>
      </c>
      <c r="D1023" s="16">
        <v>982.32600000000002</v>
      </c>
      <c r="E1023" t="s">
        <v>727</v>
      </c>
      <c r="F1023" s="16">
        <v>1</v>
      </c>
      <c r="G1023" s="16">
        <v>1</v>
      </c>
      <c r="H1023" s="16">
        <v>1</v>
      </c>
      <c r="I1023" t="s">
        <v>728</v>
      </c>
      <c r="J1023">
        <v>1</v>
      </c>
      <c r="K1023" t="s">
        <v>720</v>
      </c>
      <c r="L1023" t="s">
        <v>571</v>
      </c>
      <c r="M1023">
        <v>0</v>
      </c>
      <c r="N1023" s="3" t="s">
        <v>325</v>
      </c>
      <c r="O1023" s="3"/>
    </row>
    <row r="1024" spans="1:15" ht="27.6">
      <c r="A1024" t="s">
        <v>1749</v>
      </c>
      <c r="B1024" t="s">
        <v>626</v>
      </c>
      <c r="C1024">
        <v>982326</v>
      </c>
      <c r="D1024" s="16">
        <v>982.32600000000002</v>
      </c>
      <c r="E1024" t="s">
        <v>730</v>
      </c>
      <c r="F1024" s="16">
        <v>97.04</v>
      </c>
      <c r="G1024" s="16">
        <v>0.97040000000000004</v>
      </c>
      <c r="H1024" s="16">
        <v>0.97040000000000004</v>
      </c>
      <c r="I1024" t="s">
        <v>107</v>
      </c>
      <c r="J1024">
        <v>1</v>
      </c>
      <c r="K1024" t="s">
        <v>761</v>
      </c>
      <c r="L1024" t="s">
        <v>571</v>
      </c>
      <c r="M1024">
        <v>0</v>
      </c>
      <c r="N1024" s="3" t="s">
        <v>325</v>
      </c>
      <c r="O1024" s="3"/>
    </row>
    <row r="1025" spans="1:15" ht="27.6">
      <c r="A1025" t="s">
        <v>1750</v>
      </c>
      <c r="B1025" t="s">
        <v>627</v>
      </c>
      <c r="C1025">
        <v>987326</v>
      </c>
      <c r="D1025" s="16">
        <v>987.32600000000002</v>
      </c>
      <c r="E1025" t="s">
        <v>719</v>
      </c>
      <c r="F1025" s="16">
        <v>27.8</v>
      </c>
      <c r="G1025" s="16">
        <v>27.8</v>
      </c>
      <c r="H1025" s="16">
        <v>27.8</v>
      </c>
      <c r="I1025" t="s">
        <v>98</v>
      </c>
      <c r="J1025">
        <v>1</v>
      </c>
      <c r="K1025" t="s">
        <v>720</v>
      </c>
      <c r="L1025" t="s">
        <v>571</v>
      </c>
      <c r="M1025">
        <v>0</v>
      </c>
      <c r="N1025" s="3" t="s">
        <v>325</v>
      </c>
      <c r="O1025" s="3"/>
    </row>
    <row r="1026" spans="1:15" ht="27.6">
      <c r="A1026" t="s">
        <v>1751</v>
      </c>
      <c r="B1026" t="s">
        <v>627</v>
      </c>
      <c r="C1026">
        <v>987326</v>
      </c>
      <c r="D1026" s="16">
        <v>987.32600000000002</v>
      </c>
      <c r="E1026" t="s">
        <v>722</v>
      </c>
      <c r="F1026" s="16">
        <v>70.400000000000006</v>
      </c>
      <c r="G1026" s="16">
        <v>70.400000000000006</v>
      </c>
      <c r="H1026" s="16">
        <v>70.400000000000006</v>
      </c>
      <c r="I1026" t="s">
        <v>140</v>
      </c>
      <c r="J1026">
        <v>1</v>
      </c>
      <c r="K1026" t="s">
        <v>720</v>
      </c>
      <c r="L1026" t="s">
        <v>571</v>
      </c>
      <c r="M1026">
        <v>0</v>
      </c>
      <c r="N1026" s="3" t="s">
        <v>325</v>
      </c>
      <c r="O1026" s="3"/>
    </row>
    <row r="1027" spans="1:15" ht="27.6">
      <c r="A1027" t="s">
        <v>1752</v>
      </c>
      <c r="B1027" t="s">
        <v>627</v>
      </c>
      <c r="C1027">
        <v>987326</v>
      </c>
      <c r="D1027" s="16">
        <v>987.32600000000002</v>
      </c>
      <c r="E1027" t="s">
        <v>724</v>
      </c>
      <c r="F1027" s="16">
        <v>-1.9</v>
      </c>
      <c r="G1027" s="16">
        <v>1.9</v>
      </c>
      <c r="H1027" s="16">
        <v>1.9</v>
      </c>
      <c r="I1027" t="s">
        <v>125</v>
      </c>
      <c r="J1027">
        <v>1</v>
      </c>
      <c r="K1027" t="s">
        <v>725</v>
      </c>
      <c r="L1027" t="s">
        <v>571</v>
      </c>
      <c r="M1027">
        <v>0</v>
      </c>
      <c r="N1027" s="3" t="s">
        <v>325</v>
      </c>
      <c r="O1027" s="3"/>
    </row>
    <row r="1028" spans="1:15" ht="27.6">
      <c r="A1028" t="s">
        <v>1753</v>
      </c>
      <c r="B1028" t="s">
        <v>627</v>
      </c>
      <c r="C1028">
        <v>987326</v>
      </c>
      <c r="D1028" s="16">
        <v>987.32600000000002</v>
      </c>
      <c r="E1028" t="s">
        <v>727</v>
      </c>
      <c r="F1028" s="16">
        <v>1</v>
      </c>
      <c r="G1028" s="16">
        <v>1</v>
      </c>
      <c r="H1028" s="16">
        <v>1</v>
      </c>
      <c r="I1028" t="s">
        <v>728</v>
      </c>
      <c r="J1028">
        <v>1</v>
      </c>
      <c r="K1028" t="s">
        <v>720</v>
      </c>
      <c r="L1028" t="s">
        <v>571</v>
      </c>
      <c r="M1028">
        <v>0</v>
      </c>
      <c r="N1028" s="3" t="s">
        <v>325</v>
      </c>
      <c r="O1028" s="3"/>
    </row>
    <row r="1029" spans="1:15" ht="27.6">
      <c r="A1029" t="s">
        <v>1754</v>
      </c>
      <c r="B1029" t="s">
        <v>627</v>
      </c>
      <c r="C1029">
        <v>987326</v>
      </c>
      <c r="D1029" s="16">
        <v>987.32600000000002</v>
      </c>
      <c r="E1029" t="s">
        <v>730</v>
      </c>
      <c r="F1029" s="16">
        <v>90</v>
      </c>
      <c r="G1029" s="16">
        <v>0.9</v>
      </c>
      <c r="H1029" s="16">
        <v>0.9</v>
      </c>
      <c r="I1029" t="s">
        <v>107</v>
      </c>
      <c r="J1029">
        <v>1</v>
      </c>
      <c r="K1029" t="s">
        <v>761</v>
      </c>
      <c r="L1029" t="s">
        <v>571</v>
      </c>
      <c r="M1029">
        <v>0</v>
      </c>
      <c r="N1029" s="3" t="s">
        <v>325</v>
      </c>
      <c r="O1029" s="3"/>
    </row>
    <row r="1030" spans="1:15" ht="41.4">
      <c r="A1030" t="s">
        <v>1755</v>
      </c>
      <c r="B1030" t="s">
        <v>629</v>
      </c>
      <c r="C1030">
        <v>992736</v>
      </c>
      <c r="D1030" s="16">
        <v>992.73599999999999</v>
      </c>
      <c r="E1030" t="s">
        <v>719</v>
      </c>
      <c r="F1030" s="16">
        <v>-1</v>
      </c>
      <c r="G1030" s="16"/>
      <c r="H1030" s="16">
        <v>27.8</v>
      </c>
      <c r="I1030" t="s">
        <v>98</v>
      </c>
      <c r="J1030">
        <v>0</v>
      </c>
      <c r="K1030" t="s">
        <v>1610</v>
      </c>
      <c r="L1030" t="s">
        <v>571</v>
      </c>
      <c r="M1030">
        <v>1</v>
      </c>
      <c r="N1030" s="3" t="s">
        <v>330</v>
      </c>
      <c r="O1030" s="3"/>
    </row>
    <row r="1031" spans="1:15" ht="41.4">
      <c r="A1031" t="s">
        <v>1756</v>
      </c>
      <c r="B1031" t="s">
        <v>629</v>
      </c>
      <c r="C1031">
        <v>992736</v>
      </c>
      <c r="D1031" s="16">
        <v>992.73599999999999</v>
      </c>
      <c r="E1031" t="s">
        <v>722</v>
      </c>
      <c r="F1031" s="16">
        <v>-1</v>
      </c>
      <c r="G1031" s="16"/>
      <c r="H1031" s="16">
        <v>70.400000000000006</v>
      </c>
      <c r="I1031" t="s">
        <v>140</v>
      </c>
      <c r="J1031">
        <v>0</v>
      </c>
      <c r="K1031" t="s">
        <v>1610</v>
      </c>
      <c r="L1031" t="s">
        <v>571</v>
      </c>
      <c r="M1031">
        <v>1</v>
      </c>
      <c r="N1031" s="3" t="s">
        <v>330</v>
      </c>
      <c r="O1031" s="3"/>
    </row>
    <row r="1032" spans="1:15" ht="41.4">
      <c r="A1032" t="s">
        <v>1757</v>
      </c>
      <c r="B1032" t="s">
        <v>629</v>
      </c>
      <c r="C1032">
        <v>992736</v>
      </c>
      <c r="D1032" s="16">
        <v>992.73599999999999</v>
      </c>
      <c r="E1032" t="s">
        <v>724</v>
      </c>
      <c r="F1032" s="16">
        <v>-71.900000000000006</v>
      </c>
      <c r="G1032" s="16">
        <v>71.900000000000006</v>
      </c>
      <c r="H1032" s="16">
        <v>71.900000000000006</v>
      </c>
      <c r="I1032" t="s">
        <v>125</v>
      </c>
      <c r="J1032">
        <v>1</v>
      </c>
      <c r="K1032" t="s">
        <v>725</v>
      </c>
      <c r="L1032" t="s">
        <v>571</v>
      </c>
      <c r="M1032">
        <v>1</v>
      </c>
      <c r="N1032" s="3" t="s">
        <v>330</v>
      </c>
      <c r="O1032" s="3"/>
    </row>
    <row r="1033" spans="1:15" ht="41.4">
      <c r="A1033" t="s">
        <v>1758</v>
      </c>
      <c r="B1033" t="s">
        <v>629</v>
      </c>
      <c r="C1033">
        <v>992736</v>
      </c>
      <c r="D1033" s="16">
        <v>992.73599999999999</v>
      </c>
      <c r="E1033" t="s">
        <v>727</v>
      </c>
      <c r="F1033" s="16">
        <v>1</v>
      </c>
      <c r="G1033" s="16">
        <v>1</v>
      </c>
      <c r="H1033" s="16">
        <v>1</v>
      </c>
      <c r="I1033" t="s">
        <v>728</v>
      </c>
      <c r="J1033">
        <v>1</v>
      </c>
      <c r="K1033" t="s">
        <v>720</v>
      </c>
      <c r="L1033" t="s">
        <v>571</v>
      </c>
      <c r="M1033">
        <v>1</v>
      </c>
      <c r="N1033" s="3" t="s">
        <v>330</v>
      </c>
      <c r="O1033" s="3"/>
    </row>
    <row r="1034" spans="1:15" ht="41.4">
      <c r="A1034" t="s">
        <v>1759</v>
      </c>
      <c r="B1034" t="s">
        <v>629</v>
      </c>
      <c r="C1034">
        <v>992736</v>
      </c>
      <c r="D1034" s="16">
        <v>992.73599999999999</v>
      </c>
      <c r="E1034" t="s">
        <v>730</v>
      </c>
      <c r="F1034" s="16">
        <v>96.72</v>
      </c>
      <c r="G1034" s="16">
        <v>0.96719999999999995</v>
      </c>
      <c r="H1034" s="16">
        <v>0.96719999999999995</v>
      </c>
      <c r="I1034" t="s">
        <v>107</v>
      </c>
      <c r="J1034">
        <v>1</v>
      </c>
      <c r="K1034" t="s">
        <v>761</v>
      </c>
      <c r="L1034" t="s">
        <v>571</v>
      </c>
      <c r="M1034">
        <v>1</v>
      </c>
      <c r="N1034" s="3" t="s">
        <v>330</v>
      </c>
      <c r="O1034" s="3"/>
    </row>
    <row r="1035" spans="1:15" ht="41.4">
      <c r="A1035" t="s">
        <v>1760</v>
      </c>
      <c r="B1035" t="s">
        <v>631</v>
      </c>
      <c r="C1035">
        <v>997836</v>
      </c>
      <c r="D1035" s="16">
        <v>997.83600000000001</v>
      </c>
      <c r="E1035" t="s">
        <v>719</v>
      </c>
      <c r="F1035" s="16">
        <v>-1</v>
      </c>
      <c r="G1035" s="16"/>
      <c r="H1035" s="16">
        <v>27.8</v>
      </c>
      <c r="I1035" t="s">
        <v>98</v>
      </c>
      <c r="J1035">
        <v>0</v>
      </c>
      <c r="K1035" t="s">
        <v>1610</v>
      </c>
      <c r="L1035" t="s">
        <v>571</v>
      </c>
      <c r="M1035">
        <v>0</v>
      </c>
      <c r="N1035" s="3" t="s">
        <v>330</v>
      </c>
      <c r="O1035" s="3"/>
    </row>
    <row r="1036" spans="1:15" ht="41.4">
      <c r="A1036" t="s">
        <v>1761</v>
      </c>
      <c r="B1036" t="s">
        <v>631</v>
      </c>
      <c r="C1036">
        <v>997836</v>
      </c>
      <c r="D1036" s="16">
        <v>997.83600000000001</v>
      </c>
      <c r="E1036" t="s">
        <v>722</v>
      </c>
      <c r="F1036" s="16">
        <v>-1</v>
      </c>
      <c r="G1036" s="16"/>
      <c r="H1036" s="16">
        <v>70.400000000000006</v>
      </c>
      <c r="I1036" t="s">
        <v>140</v>
      </c>
      <c r="J1036">
        <v>0</v>
      </c>
      <c r="K1036" t="s">
        <v>1610</v>
      </c>
      <c r="L1036" t="s">
        <v>571</v>
      </c>
      <c r="M1036">
        <v>0</v>
      </c>
      <c r="N1036" s="3" t="s">
        <v>330</v>
      </c>
      <c r="O1036" s="3"/>
    </row>
    <row r="1037" spans="1:15" ht="41.4">
      <c r="A1037" t="s">
        <v>1762</v>
      </c>
      <c r="B1037" t="s">
        <v>631</v>
      </c>
      <c r="C1037">
        <v>997836</v>
      </c>
      <c r="D1037" s="16">
        <v>997.83600000000001</v>
      </c>
      <c r="E1037" t="s">
        <v>724</v>
      </c>
      <c r="F1037" s="16">
        <v>-2.5</v>
      </c>
      <c r="G1037" s="16">
        <v>2.5</v>
      </c>
      <c r="H1037" s="16">
        <v>2.5</v>
      </c>
      <c r="I1037" t="s">
        <v>125</v>
      </c>
      <c r="J1037">
        <v>1</v>
      </c>
      <c r="K1037" t="s">
        <v>725</v>
      </c>
      <c r="L1037" t="s">
        <v>571</v>
      </c>
      <c r="M1037">
        <v>0</v>
      </c>
      <c r="N1037" s="3" t="s">
        <v>330</v>
      </c>
      <c r="O1037" s="3"/>
    </row>
    <row r="1038" spans="1:15" ht="41.4">
      <c r="A1038" t="s">
        <v>1763</v>
      </c>
      <c r="B1038" t="s">
        <v>631</v>
      </c>
      <c r="C1038">
        <v>997836</v>
      </c>
      <c r="D1038" s="16">
        <v>997.83600000000001</v>
      </c>
      <c r="E1038" t="s">
        <v>727</v>
      </c>
      <c r="F1038" s="16">
        <v>1</v>
      </c>
      <c r="G1038" s="16">
        <v>1</v>
      </c>
      <c r="H1038" s="16">
        <v>1</v>
      </c>
      <c r="I1038" t="s">
        <v>728</v>
      </c>
      <c r="J1038">
        <v>1</v>
      </c>
      <c r="K1038" t="s">
        <v>720</v>
      </c>
      <c r="L1038" t="s">
        <v>571</v>
      </c>
      <c r="M1038">
        <v>0</v>
      </c>
      <c r="N1038" s="3" t="s">
        <v>330</v>
      </c>
      <c r="O1038" s="3"/>
    </row>
    <row r="1039" spans="1:15" ht="41.4">
      <c r="A1039" t="s">
        <v>1764</v>
      </c>
      <c r="B1039" t="s">
        <v>631</v>
      </c>
      <c r="C1039">
        <v>997836</v>
      </c>
      <c r="D1039" s="16">
        <v>997.83600000000001</v>
      </c>
      <c r="E1039" t="s">
        <v>730</v>
      </c>
      <c r="F1039" s="16">
        <v>92.88</v>
      </c>
      <c r="G1039" s="16">
        <v>0.92879999999999996</v>
      </c>
      <c r="H1039" s="16">
        <v>0.92879999999999996</v>
      </c>
      <c r="I1039" t="s">
        <v>107</v>
      </c>
      <c r="J1039">
        <v>1</v>
      </c>
      <c r="K1039" t="s">
        <v>761</v>
      </c>
      <c r="L1039" t="s">
        <v>571</v>
      </c>
      <c r="M1039">
        <v>0</v>
      </c>
      <c r="N1039" s="3" t="s">
        <v>330</v>
      </c>
      <c r="O1039" s="3"/>
    </row>
    <row r="1040" spans="1:15" ht="27.6">
      <c r="A1040" t="s">
        <v>1765</v>
      </c>
      <c r="B1040" t="s">
        <v>633</v>
      </c>
      <c r="C1040">
        <v>1002823</v>
      </c>
      <c r="D1040" s="16">
        <v>1002.823</v>
      </c>
      <c r="E1040" t="s">
        <v>719</v>
      </c>
      <c r="F1040" s="16">
        <v>27.7</v>
      </c>
      <c r="G1040" s="16">
        <v>27.7</v>
      </c>
      <c r="H1040" s="16">
        <v>27.7</v>
      </c>
      <c r="I1040" t="s">
        <v>98</v>
      </c>
      <c r="J1040">
        <v>1</v>
      </c>
      <c r="K1040" t="s">
        <v>720</v>
      </c>
      <c r="L1040" t="s">
        <v>604</v>
      </c>
      <c r="M1040">
        <v>0</v>
      </c>
      <c r="N1040" s="3" t="s">
        <v>325</v>
      </c>
      <c r="O1040" s="3"/>
    </row>
    <row r="1041" spans="1:15" ht="27.6">
      <c r="A1041" t="s">
        <v>1766</v>
      </c>
      <c r="B1041" t="s">
        <v>633</v>
      </c>
      <c r="C1041">
        <v>1002823</v>
      </c>
      <c r="D1041" s="16">
        <v>1002.823</v>
      </c>
      <c r="E1041" t="s">
        <v>722</v>
      </c>
      <c r="F1041" s="16">
        <v>70.400000000000006</v>
      </c>
      <c r="G1041" s="16">
        <v>70.400000000000006</v>
      </c>
      <c r="H1041" s="16">
        <v>70.400000000000006</v>
      </c>
      <c r="I1041" t="s">
        <v>140</v>
      </c>
      <c r="J1041">
        <v>1</v>
      </c>
      <c r="K1041" t="s">
        <v>720</v>
      </c>
      <c r="L1041" t="s">
        <v>604</v>
      </c>
      <c r="M1041">
        <v>0</v>
      </c>
      <c r="N1041" s="3" t="s">
        <v>325</v>
      </c>
      <c r="O1041" s="3"/>
    </row>
    <row r="1042" spans="1:15" ht="27.6">
      <c r="A1042" t="s">
        <v>1767</v>
      </c>
      <c r="B1042" t="s">
        <v>633</v>
      </c>
      <c r="C1042">
        <v>1002823</v>
      </c>
      <c r="D1042" s="16">
        <v>1002.823</v>
      </c>
      <c r="E1042" t="s">
        <v>724</v>
      </c>
      <c r="F1042" s="16">
        <v>-1.7</v>
      </c>
      <c r="G1042" s="16">
        <v>1.7</v>
      </c>
      <c r="H1042" s="16">
        <v>1.7</v>
      </c>
      <c r="I1042" t="s">
        <v>125</v>
      </c>
      <c r="J1042">
        <v>1</v>
      </c>
      <c r="K1042" t="s">
        <v>725</v>
      </c>
      <c r="L1042" t="s">
        <v>604</v>
      </c>
      <c r="M1042">
        <v>0</v>
      </c>
      <c r="N1042" s="3" t="s">
        <v>325</v>
      </c>
      <c r="O1042" s="3"/>
    </row>
    <row r="1043" spans="1:15" ht="27.6">
      <c r="A1043" t="s">
        <v>1768</v>
      </c>
      <c r="B1043" t="s">
        <v>633</v>
      </c>
      <c r="C1043">
        <v>1002823</v>
      </c>
      <c r="D1043" s="16">
        <v>1002.823</v>
      </c>
      <c r="E1043" t="s">
        <v>727</v>
      </c>
      <c r="F1043" s="16">
        <v>1</v>
      </c>
      <c r="G1043" s="16">
        <v>1</v>
      </c>
      <c r="H1043" s="16">
        <v>1</v>
      </c>
      <c r="I1043" t="s">
        <v>728</v>
      </c>
      <c r="J1043">
        <v>1</v>
      </c>
      <c r="K1043" t="s">
        <v>720</v>
      </c>
      <c r="L1043" t="s">
        <v>604</v>
      </c>
      <c r="M1043">
        <v>0</v>
      </c>
      <c r="N1043" s="3" t="s">
        <v>325</v>
      </c>
      <c r="O1043" s="3"/>
    </row>
    <row r="1044" spans="1:15" ht="27.6">
      <c r="A1044" t="s">
        <v>1769</v>
      </c>
      <c r="B1044" t="s">
        <v>633</v>
      </c>
      <c r="C1044">
        <v>1002823</v>
      </c>
      <c r="D1044" s="16">
        <v>1002.823</v>
      </c>
      <c r="E1044" t="s">
        <v>730</v>
      </c>
      <c r="F1044" s="16">
        <v>88.16</v>
      </c>
      <c r="G1044" s="16">
        <v>0.88159999999999994</v>
      </c>
      <c r="H1044" s="16">
        <v>0.88159999999999994</v>
      </c>
      <c r="I1044" t="s">
        <v>107</v>
      </c>
      <c r="J1044">
        <v>1</v>
      </c>
      <c r="K1044" t="s">
        <v>761</v>
      </c>
      <c r="L1044" t="s">
        <v>604</v>
      </c>
      <c r="M1044">
        <v>0</v>
      </c>
      <c r="N1044" s="3" t="s">
        <v>325</v>
      </c>
      <c r="O1044" s="3"/>
    </row>
    <row r="1045" spans="1:15">
      <c r="A1045" t="s">
        <v>1770</v>
      </c>
      <c r="B1045" t="s">
        <v>634</v>
      </c>
      <c r="C1045">
        <v>1007805</v>
      </c>
      <c r="D1045" s="16">
        <v>1007.8049999999999</v>
      </c>
      <c r="E1045" t="s">
        <v>719</v>
      </c>
      <c r="F1045" s="16">
        <v>27.7</v>
      </c>
      <c r="G1045" s="16">
        <v>27.7</v>
      </c>
      <c r="H1045" s="16">
        <v>27.7</v>
      </c>
      <c r="I1045" t="s">
        <v>98</v>
      </c>
      <c r="J1045">
        <v>1</v>
      </c>
      <c r="K1045" t="s">
        <v>720</v>
      </c>
      <c r="L1045" t="s">
        <v>604</v>
      </c>
      <c r="M1045">
        <v>0</v>
      </c>
      <c r="N1045" s="3" t="s">
        <v>238</v>
      </c>
      <c r="O1045" s="3"/>
    </row>
    <row r="1046" spans="1:15">
      <c r="A1046" t="s">
        <v>1771</v>
      </c>
      <c r="B1046" t="s">
        <v>634</v>
      </c>
      <c r="C1046">
        <v>1007805</v>
      </c>
      <c r="D1046" s="16">
        <v>1007.8049999999999</v>
      </c>
      <c r="E1046" t="s">
        <v>722</v>
      </c>
      <c r="F1046" s="16">
        <v>72</v>
      </c>
      <c r="G1046" s="16">
        <v>72</v>
      </c>
      <c r="H1046" s="16">
        <v>72</v>
      </c>
      <c r="I1046" t="s">
        <v>140</v>
      </c>
      <c r="J1046">
        <v>1</v>
      </c>
      <c r="K1046" t="s">
        <v>720</v>
      </c>
      <c r="L1046" t="s">
        <v>604</v>
      </c>
      <c r="M1046">
        <v>0</v>
      </c>
      <c r="N1046" s="3" t="s">
        <v>238</v>
      </c>
      <c r="O1046" s="3"/>
    </row>
    <row r="1047" spans="1:15">
      <c r="A1047" t="s">
        <v>1772</v>
      </c>
      <c r="B1047" t="s">
        <v>634</v>
      </c>
      <c r="C1047">
        <v>1007805</v>
      </c>
      <c r="D1047" s="16">
        <v>1007.8049999999999</v>
      </c>
      <c r="E1047" t="s">
        <v>724</v>
      </c>
      <c r="F1047" s="16">
        <v>-1.9</v>
      </c>
      <c r="G1047" s="16">
        <v>1.9</v>
      </c>
      <c r="H1047" s="16">
        <v>1.9</v>
      </c>
      <c r="I1047" t="s">
        <v>125</v>
      </c>
      <c r="J1047">
        <v>1</v>
      </c>
      <c r="K1047" t="s">
        <v>725</v>
      </c>
      <c r="L1047" t="s">
        <v>604</v>
      </c>
      <c r="M1047">
        <v>0</v>
      </c>
      <c r="N1047" s="3" t="s">
        <v>238</v>
      </c>
      <c r="O1047" s="3"/>
    </row>
    <row r="1048" spans="1:15">
      <c r="A1048" t="s">
        <v>1773</v>
      </c>
      <c r="B1048" t="s">
        <v>634</v>
      </c>
      <c r="C1048">
        <v>1007805</v>
      </c>
      <c r="D1048" s="16">
        <v>1007.8049999999999</v>
      </c>
      <c r="E1048" t="s">
        <v>727</v>
      </c>
      <c r="F1048" s="16">
        <v>1</v>
      </c>
      <c r="G1048" s="16">
        <v>1</v>
      </c>
      <c r="H1048" s="16">
        <v>1</v>
      </c>
      <c r="I1048" t="s">
        <v>728</v>
      </c>
      <c r="J1048">
        <v>1</v>
      </c>
      <c r="K1048" t="s">
        <v>720</v>
      </c>
      <c r="L1048" t="s">
        <v>604</v>
      </c>
      <c r="M1048">
        <v>0</v>
      </c>
      <c r="N1048" s="3" t="s">
        <v>238</v>
      </c>
      <c r="O1048" s="3"/>
    </row>
    <row r="1049" spans="1:15">
      <c r="A1049" t="s">
        <v>1774</v>
      </c>
      <c r="B1049" t="s">
        <v>634</v>
      </c>
      <c r="C1049">
        <v>1007805</v>
      </c>
      <c r="D1049" s="16">
        <v>1007.8049999999999</v>
      </c>
      <c r="E1049" t="s">
        <v>730</v>
      </c>
      <c r="F1049" s="16">
        <v>0.107</v>
      </c>
      <c r="G1049" s="16">
        <v>0.107</v>
      </c>
      <c r="H1049" s="16">
        <v>0.107</v>
      </c>
      <c r="I1049" t="s">
        <v>107</v>
      </c>
      <c r="J1049">
        <v>1</v>
      </c>
      <c r="K1049" t="s">
        <v>720</v>
      </c>
      <c r="L1049" t="s">
        <v>604</v>
      </c>
      <c r="M1049">
        <v>0</v>
      </c>
      <c r="N1049" s="3" t="s">
        <v>238</v>
      </c>
      <c r="O1049" s="3"/>
    </row>
    <row r="1050" spans="1:15">
      <c r="A1050" t="s">
        <v>1775</v>
      </c>
      <c r="B1050" t="s">
        <v>636</v>
      </c>
      <c r="C1050">
        <v>1012823</v>
      </c>
      <c r="D1050" s="16">
        <v>1012.823</v>
      </c>
      <c r="E1050" t="s">
        <v>719</v>
      </c>
      <c r="F1050" s="16">
        <v>27.8</v>
      </c>
      <c r="G1050" s="16">
        <v>27.8</v>
      </c>
      <c r="H1050" s="16">
        <v>27.8</v>
      </c>
      <c r="I1050" t="s">
        <v>98</v>
      </c>
      <c r="J1050">
        <v>1</v>
      </c>
      <c r="K1050" t="s">
        <v>720</v>
      </c>
      <c r="L1050" t="s">
        <v>610</v>
      </c>
      <c r="M1050">
        <v>0</v>
      </c>
      <c r="N1050" s="3" t="s">
        <v>238</v>
      </c>
      <c r="O1050" s="3"/>
    </row>
    <row r="1051" spans="1:15">
      <c r="A1051" t="s">
        <v>1776</v>
      </c>
      <c r="B1051" t="s">
        <v>636</v>
      </c>
      <c r="C1051">
        <v>1012823</v>
      </c>
      <c r="D1051" s="16">
        <v>1012.823</v>
      </c>
      <c r="E1051" t="s">
        <v>722</v>
      </c>
      <c r="F1051" s="16">
        <v>76.900000000000006</v>
      </c>
      <c r="G1051" s="16">
        <v>76.900000000000006</v>
      </c>
      <c r="H1051" s="16">
        <v>76.900000000000006</v>
      </c>
      <c r="I1051" t="s">
        <v>140</v>
      </c>
      <c r="J1051">
        <v>1</v>
      </c>
      <c r="K1051" t="s">
        <v>720</v>
      </c>
      <c r="L1051" t="s">
        <v>610</v>
      </c>
      <c r="M1051">
        <v>0</v>
      </c>
      <c r="N1051" s="3" t="s">
        <v>238</v>
      </c>
      <c r="O1051" s="3"/>
    </row>
    <row r="1052" spans="1:15">
      <c r="A1052" t="s">
        <v>1777</v>
      </c>
      <c r="B1052" t="s">
        <v>636</v>
      </c>
      <c r="C1052">
        <v>1012823</v>
      </c>
      <c r="D1052" s="16">
        <v>1012.823</v>
      </c>
      <c r="E1052" t="s">
        <v>724</v>
      </c>
      <c r="F1052" s="16">
        <v>-1.8</v>
      </c>
      <c r="G1052" s="16">
        <v>1.8</v>
      </c>
      <c r="H1052" s="16">
        <v>1.8</v>
      </c>
      <c r="I1052" t="s">
        <v>125</v>
      </c>
      <c r="J1052">
        <v>1</v>
      </c>
      <c r="K1052" t="s">
        <v>725</v>
      </c>
      <c r="L1052" t="s">
        <v>610</v>
      </c>
      <c r="M1052">
        <v>0</v>
      </c>
      <c r="N1052" s="3" t="s">
        <v>238</v>
      </c>
      <c r="O1052" s="3"/>
    </row>
    <row r="1053" spans="1:15">
      <c r="A1053" t="s">
        <v>1778</v>
      </c>
      <c r="B1053" t="s">
        <v>636</v>
      </c>
      <c r="C1053">
        <v>1012823</v>
      </c>
      <c r="D1053" s="16">
        <v>1012.823</v>
      </c>
      <c r="E1053" t="s">
        <v>727</v>
      </c>
      <c r="F1053" s="16">
        <v>1</v>
      </c>
      <c r="G1053" s="16">
        <v>1</v>
      </c>
      <c r="H1053" s="16">
        <v>1</v>
      </c>
      <c r="I1053" t="s">
        <v>728</v>
      </c>
      <c r="J1053">
        <v>1</v>
      </c>
      <c r="K1053" t="s">
        <v>720</v>
      </c>
      <c r="L1053" t="s">
        <v>610</v>
      </c>
      <c r="M1053">
        <v>0</v>
      </c>
      <c r="N1053" s="3" t="s">
        <v>238</v>
      </c>
      <c r="O1053" s="3"/>
    </row>
    <row r="1054" spans="1:15">
      <c r="A1054" t="s">
        <v>1779</v>
      </c>
      <c r="B1054" t="s">
        <v>636</v>
      </c>
      <c r="C1054">
        <v>1012823</v>
      </c>
      <c r="D1054" s="16">
        <v>1012.823</v>
      </c>
      <c r="E1054" t="s">
        <v>730</v>
      </c>
      <c r="F1054" s="16">
        <v>0</v>
      </c>
      <c r="G1054" s="16">
        <v>0</v>
      </c>
      <c r="H1054" s="16">
        <v>0</v>
      </c>
      <c r="I1054" t="s">
        <v>107</v>
      </c>
      <c r="J1054">
        <v>1</v>
      </c>
      <c r="K1054" t="s">
        <v>720</v>
      </c>
      <c r="L1054" t="s">
        <v>610</v>
      </c>
      <c r="M1054">
        <v>0</v>
      </c>
      <c r="N1054" s="3" t="s">
        <v>238</v>
      </c>
      <c r="O1054" s="3"/>
    </row>
    <row r="1055" spans="1:15">
      <c r="A1055" t="s">
        <v>1780</v>
      </c>
      <c r="B1055" t="s">
        <v>637</v>
      </c>
      <c r="C1055">
        <v>1017824</v>
      </c>
      <c r="D1055" s="16">
        <v>1017.824</v>
      </c>
      <c r="E1055" t="s">
        <v>719</v>
      </c>
      <c r="F1055" s="16">
        <v>27.8</v>
      </c>
      <c r="G1055" s="16">
        <v>27.8</v>
      </c>
      <c r="H1055" s="16">
        <v>27.8</v>
      </c>
      <c r="I1055" t="s">
        <v>98</v>
      </c>
      <c r="J1055">
        <v>1</v>
      </c>
      <c r="K1055" t="s">
        <v>720</v>
      </c>
      <c r="L1055" t="s">
        <v>385</v>
      </c>
      <c r="M1055">
        <v>0</v>
      </c>
      <c r="N1055" s="3" t="s">
        <v>238</v>
      </c>
      <c r="O1055" s="3"/>
    </row>
    <row r="1056" spans="1:15">
      <c r="A1056" t="s">
        <v>1781</v>
      </c>
      <c r="B1056" t="s">
        <v>637</v>
      </c>
      <c r="C1056">
        <v>1017824</v>
      </c>
      <c r="D1056" s="16">
        <v>1017.824</v>
      </c>
      <c r="E1056" t="s">
        <v>722</v>
      </c>
      <c r="F1056" s="16">
        <v>77</v>
      </c>
      <c r="G1056" s="16">
        <v>77</v>
      </c>
      <c r="H1056" s="16">
        <v>77</v>
      </c>
      <c r="I1056" t="s">
        <v>140</v>
      </c>
      <c r="J1056">
        <v>1</v>
      </c>
      <c r="K1056" t="s">
        <v>720</v>
      </c>
      <c r="L1056" t="s">
        <v>385</v>
      </c>
      <c r="M1056">
        <v>0</v>
      </c>
      <c r="N1056" s="3" t="s">
        <v>238</v>
      </c>
      <c r="O1056" s="3"/>
    </row>
    <row r="1057" spans="1:15">
      <c r="A1057" t="s">
        <v>1782</v>
      </c>
      <c r="B1057" t="s">
        <v>637</v>
      </c>
      <c r="C1057">
        <v>1017824</v>
      </c>
      <c r="D1057" s="16">
        <v>1017.824</v>
      </c>
      <c r="E1057" t="s">
        <v>724</v>
      </c>
      <c r="F1057" s="16">
        <v>-2.2000000000000002</v>
      </c>
      <c r="G1057" s="16">
        <v>2.2000000000000002</v>
      </c>
      <c r="H1057" s="16">
        <v>2.2000000000000002</v>
      </c>
      <c r="I1057" t="s">
        <v>125</v>
      </c>
      <c r="J1057">
        <v>1</v>
      </c>
      <c r="K1057" t="s">
        <v>725</v>
      </c>
      <c r="L1057" t="s">
        <v>385</v>
      </c>
      <c r="M1057">
        <v>0</v>
      </c>
      <c r="N1057" s="3" t="s">
        <v>238</v>
      </c>
      <c r="O1057" s="3"/>
    </row>
    <row r="1058" spans="1:15">
      <c r="A1058" t="s">
        <v>1783</v>
      </c>
      <c r="B1058" t="s">
        <v>637</v>
      </c>
      <c r="C1058">
        <v>1017824</v>
      </c>
      <c r="D1058" s="16">
        <v>1017.824</v>
      </c>
      <c r="E1058" t="s">
        <v>727</v>
      </c>
      <c r="F1058" s="16">
        <v>1</v>
      </c>
      <c r="G1058" s="16">
        <v>1</v>
      </c>
      <c r="H1058" s="16">
        <v>1</v>
      </c>
      <c r="I1058" t="s">
        <v>728</v>
      </c>
      <c r="J1058">
        <v>1</v>
      </c>
      <c r="K1058" t="s">
        <v>720</v>
      </c>
      <c r="L1058" t="s">
        <v>385</v>
      </c>
      <c r="M1058">
        <v>0</v>
      </c>
      <c r="N1058" s="3" t="s">
        <v>238</v>
      </c>
      <c r="O1058" s="3"/>
    </row>
    <row r="1059" spans="1:15">
      <c r="A1059" t="s">
        <v>1784</v>
      </c>
      <c r="B1059" t="s">
        <v>637</v>
      </c>
      <c r="C1059">
        <v>1017824</v>
      </c>
      <c r="D1059" s="16">
        <v>1017.824</v>
      </c>
      <c r="E1059" t="s">
        <v>730</v>
      </c>
      <c r="F1059" s="16">
        <v>0</v>
      </c>
      <c r="G1059" s="16">
        <v>0</v>
      </c>
      <c r="H1059" s="16">
        <v>0</v>
      </c>
      <c r="I1059" t="s">
        <v>107</v>
      </c>
      <c r="J1059">
        <v>1</v>
      </c>
      <c r="K1059" t="s">
        <v>720</v>
      </c>
      <c r="L1059" t="s">
        <v>385</v>
      </c>
      <c r="M1059">
        <v>0</v>
      </c>
      <c r="N1059" s="3" t="s">
        <v>238</v>
      </c>
      <c r="O1059" s="3"/>
    </row>
    <row r="1060" spans="1:15">
      <c r="A1060" t="s">
        <v>1785</v>
      </c>
      <c r="B1060" t="s">
        <v>638</v>
      </c>
      <c r="C1060">
        <v>1022841</v>
      </c>
      <c r="D1060" s="16">
        <v>1022.841</v>
      </c>
      <c r="E1060" t="s">
        <v>719</v>
      </c>
      <c r="F1060" s="16">
        <v>27.8</v>
      </c>
      <c r="G1060" s="16">
        <v>27.8</v>
      </c>
      <c r="H1060" s="16">
        <v>27.8</v>
      </c>
      <c r="I1060" t="s">
        <v>98</v>
      </c>
      <c r="J1060">
        <v>1</v>
      </c>
      <c r="K1060" t="s">
        <v>720</v>
      </c>
      <c r="L1060" t="s">
        <v>385</v>
      </c>
      <c r="M1060">
        <v>0</v>
      </c>
      <c r="N1060" s="3" t="s">
        <v>238</v>
      </c>
      <c r="O1060" s="3"/>
    </row>
    <row r="1061" spans="1:15">
      <c r="A1061" t="s">
        <v>1786</v>
      </c>
      <c r="B1061" t="s">
        <v>638</v>
      </c>
      <c r="C1061">
        <v>1022841</v>
      </c>
      <c r="D1061" s="16">
        <v>1022.841</v>
      </c>
      <c r="E1061" t="s">
        <v>722</v>
      </c>
      <c r="F1061" s="16">
        <v>78.2</v>
      </c>
      <c r="G1061" s="16">
        <v>78.2</v>
      </c>
      <c r="H1061" s="16">
        <v>78.2</v>
      </c>
      <c r="I1061" t="s">
        <v>140</v>
      </c>
      <c r="J1061">
        <v>1</v>
      </c>
      <c r="K1061" t="s">
        <v>720</v>
      </c>
      <c r="L1061" t="s">
        <v>385</v>
      </c>
      <c r="M1061">
        <v>0</v>
      </c>
      <c r="N1061" s="3" t="s">
        <v>238</v>
      </c>
      <c r="O1061" s="3"/>
    </row>
    <row r="1062" spans="1:15">
      <c r="A1062" t="s">
        <v>1787</v>
      </c>
      <c r="B1062" t="s">
        <v>638</v>
      </c>
      <c r="C1062">
        <v>1022841</v>
      </c>
      <c r="D1062" s="16">
        <v>1022.841</v>
      </c>
      <c r="E1062" t="s">
        <v>724</v>
      </c>
      <c r="F1062" s="16">
        <v>-2.2000000000000002</v>
      </c>
      <c r="G1062" s="16">
        <v>2.2000000000000002</v>
      </c>
      <c r="H1062" s="16">
        <v>2.2000000000000002</v>
      </c>
      <c r="I1062" t="s">
        <v>125</v>
      </c>
      <c r="J1062">
        <v>1</v>
      </c>
      <c r="K1062" t="s">
        <v>725</v>
      </c>
      <c r="L1062" t="s">
        <v>385</v>
      </c>
      <c r="M1062">
        <v>0</v>
      </c>
      <c r="N1062" s="3" t="s">
        <v>238</v>
      </c>
      <c r="O1062" s="3"/>
    </row>
    <row r="1063" spans="1:15">
      <c r="A1063" t="s">
        <v>1788</v>
      </c>
      <c r="B1063" t="s">
        <v>638</v>
      </c>
      <c r="C1063">
        <v>1022841</v>
      </c>
      <c r="D1063" s="16">
        <v>1022.841</v>
      </c>
      <c r="E1063" t="s">
        <v>727</v>
      </c>
      <c r="F1063" s="16">
        <v>1</v>
      </c>
      <c r="G1063" s="16">
        <v>1</v>
      </c>
      <c r="H1063" s="16">
        <v>1</v>
      </c>
      <c r="I1063" t="s">
        <v>728</v>
      </c>
      <c r="J1063">
        <v>1</v>
      </c>
      <c r="K1063" t="s">
        <v>720</v>
      </c>
      <c r="L1063" t="s">
        <v>385</v>
      </c>
      <c r="M1063">
        <v>0</v>
      </c>
      <c r="N1063" s="3" t="s">
        <v>238</v>
      </c>
      <c r="O1063" s="3"/>
    </row>
    <row r="1064" spans="1:15">
      <c r="A1064" t="s">
        <v>1789</v>
      </c>
      <c r="B1064" t="s">
        <v>638</v>
      </c>
      <c r="C1064">
        <v>1022841</v>
      </c>
      <c r="D1064" s="16">
        <v>1022.841</v>
      </c>
      <c r="E1064" t="s">
        <v>730</v>
      </c>
      <c r="F1064" s="16">
        <v>0</v>
      </c>
      <c r="G1064" s="16">
        <v>0</v>
      </c>
      <c r="H1064" s="16">
        <v>0</v>
      </c>
      <c r="I1064" t="s">
        <v>107</v>
      </c>
      <c r="J1064">
        <v>1</v>
      </c>
      <c r="K1064" t="s">
        <v>720</v>
      </c>
      <c r="L1064" t="s">
        <v>385</v>
      </c>
      <c r="M1064">
        <v>0</v>
      </c>
      <c r="N1064" s="3" t="s">
        <v>238</v>
      </c>
      <c r="O1064" s="3"/>
    </row>
    <row r="1065" spans="1:15">
      <c r="A1065" t="s">
        <v>1790</v>
      </c>
      <c r="B1065" t="s">
        <v>639</v>
      </c>
      <c r="C1065">
        <v>1027859</v>
      </c>
      <c r="D1065" s="16">
        <v>1027.8589999999999</v>
      </c>
      <c r="E1065" t="s">
        <v>719</v>
      </c>
      <c r="F1065" s="16">
        <v>27.8</v>
      </c>
      <c r="G1065" s="16">
        <v>27.8</v>
      </c>
      <c r="H1065" s="16">
        <v>27.8</v>
      </c>
      <c r="I1065" t="s">
        <v>98</v>
      </c>
      <c r="J1065">
        <v>1</v>
      </c>
      <c r="K1065" t="s">
        <v>720</v>
      </c>
      <c r="L1065" t="s">
        <v>385</v>
      </c>
      <c r="M1065">
        <v>0</v>
      </c>
      <c r="N1065" s="3" t="s">
        <v>238</v>
      </c>
      <c r="O1065" s="3"/>
    </row>
    <row r="1066" spans="1:15">
      <c r="A1066" t="s">
        <v>1791</v>
      </c>
      <c r="B1066" t="s">
        <v>639</v>
      </c>
      <c r="C1066">
        <v>1027859</v>
      </c>
      <c r="D1066" s="16">
        <v>1027.8589999999999</v>
      </c>
      <c r="E1066" t="s">
        <v>722</v>
      </c>
      <c r="F1066" s="16">
        <v>78.7</v>
      </c>
      <c r="G1066" s="16">
        <v>78.7</v>
      </c>
      <c r="H1066" s="16">
        <v>78.7</v>
      </c>
      <c r="I1066" t="s">
        <v>140</v>
      </c>
      <c r="J1066">
        <v>1</v>
      </c>
      <c r="K1066" t="s">
        <v>720</v>
      </c>
      <c r="L1066" t="s">
        <v>385</v>
      </c>
      <c r="M1066">
        <v>0</v>
      </c>
      <c r="N1066" s="3" t="s">
        <v>238</v>
      </c>
      <c r="O1066" s="3"/>
    </row>
    <row r="1067" spans="1:15">
      <c r="A1067" t="s">
        <v>1792</v>
      </c>
      <c r="B1067" t="s">
        <v>639</v>
      </c>
      <c r="C1067">
        <v>1027859</v>
      </c>
      <c r="D1067" s="16">
        <v>1027.8589999999999</v>
      </c>
      <c r="E1067" t="s">
        <v>724</v>
      </c>
      <c r="F1067" s="16">
        <v>-2.2999999999999998</v>
      </c>
      <c r="G1067" s="16">
        <v>2.2999999999999998</v>
      </c>
      <c r="H1067" s="16">
        <v>2.2999999999999998</v>
      </c>
      <c r="I1067" t="s">
        <v>125</v>
      </c>
      <c r="J1067">
        <v>1</v>
      </c>
      <c r="K1067" t="s">
        <v>725</v>
      </c>
      <c r="L1067" t="s">
        <v>385</v>
      </c>
      <c r="M1067">
        <v>0</v>
      </c>
      <c r="N1067" s="3" t="s">
        <v>238</v>
      </c>
      <c r="O1067" s="3"/>
    </row>
    <row r="1068" spans="1:15">
      <c r="A1068" t="s">
        <v>1793</v>
      </c>
      <c r="B1068" t="s">
        <v>639</v>
      </c>
      <c r="C1068">
        <v>1027859</v>
      </c>
      <c r="D1068" s="16">
        <v>1027.8589999999999</v>
      </c>
      <c r="E1068" t="s">
        <v>727</v>
      </c>
      <c r="F1068" s="16">
        <v>1</v>
      </c>
      <c r="G1068" s="16">
        <v>1</v>
      </c>
      <c r="H1068" s="16">
        <v>1</v>
      </c>
      <c r="I1068" t="s">
        <v>728</v>
      </c>
      <c r="J1068">
        <v>1</v>
      </c>
      <c r="K1068" t="s">
        <v>720</v>
      </c>
      <c r="L1068" t="s">
        <v>385</v>
      </c>
      <c r="M1068">
        <v>0</v>
      </c>
      <c r="N1068" s="3" t="s">
        <v>238</v>
      </c>
      <c r="O1068" s="3"/>
    </row>
    <row r="1069" spans="1:15">
      <c r="A1069" t="s">
        <v>1794</v>
      </c>
      <c r="B1069" t="s">
        <v>639</v>
      </c>
      <c r="C1069">
        <v>1027859</v>
      </c>
      <c r="D1069" s="16">
        <v>1027.8589999999999</v>
      </c>
      <c r="E1069" t="s">
        <v>730</v>
      </c>
      <c r="F1069" s="16">
        <v>0</v>
      </c>
      <c r="G1069" s="16">
        <v>0</v>
      </c>
      <c r="H1069" s="16">
        <v>0</v>
      </c>
      <c r="I1069" t="s">
        <v>107</v>
      </c>
      <c r="J1069">
        <v>1</v>
      </c>
      <c r="K1069" t="s">
        <v>720</v>
      </c>
      <c r="L1069" t="s">
        <v>385</v>
      </c>
      <c r="M1069">
        <v>0</v>
      </c>
      <c r="N1069" s="3" t="s">
        <v>238</v>
      </c>
      <c r="O1069" s="3"/>
    </row>
    <row r="1070" spans="1:15">
      <c r="A1070" t="s">
        <v>1795</v>
      </c>
      <c r="B1070" t="s">
        <v>640</v>
      </c>
      <c r="C1070">
        <v>1032878</v>
      </c>
      <c r="D1070" s="16">
        <v>1032.8779999999999</v>
      </c>
      <c r="E1070" t="s">
        <v>719</v>
      </c>
      <c r="F1070" s="16">
        <v>27.8</v>
      </c>
      <c r="G1070" s="16">
        <v>27.8</v>
      </c>
      <c r="H1070" s="16">
        <v>27.8</v>
      </c>
      <c r="I1070" t="s">
        <v>98</v>
      </c>
      <c r="J1070">
        <v>1</v>
      </c>
      <c r="K1070" t="s">
        <v>720</v>
      </c>
      <c r="L1070" t="s">
        <v>385</v>
      </c>
      <c r="M1070">
        <v>0</v>
      </c>
      <c r="N1070" s="3" t="s">
        <v>238</v>
      </c>
      <c r="O1070" s="3"/>
    </row>
    <row r="1071" spans="1:15">
      <c r="A1071" t="s">
        <v>1796</v>
      </c>
      <c r="B1071" t="s">
        <v>640</v>
      </c>
      <c r="C1071">
        <v>1032878</v>
      </c>
      <c r="D1071" s="16">
        <v>1032.8779999999999</v>
      </c>
      <c r="E1071" t="s">
        <v>722</v>
      </c>
      <c r="F1071" s="16">
        <v>79</v>
      </c>
      <c r="G1071" s="16">
        <v>79</v>
      </c>
      <c r="H1071" s="16">
        <v>79</v>
      </c>
      <c r="I1071" t="s">
        <v>140</v>
      </c>
      <c r="J1071">
        <v>1</v>
      </c>
      <c r="K1071" t="s">
        <v>720</v>
      </c>
      <c r="L1071" t="s">
        <v>385</v>
      </c>
      <c r="M1071">
        <v>0</v>
      </c>
      <c r="N1071" s="3" t="s">
        <v>238</v>
      </c>
      <c r="O1071" s="3"/>
    </row>
    <row r="1072" spans="1:15">
      <c r="A1072" t="s">
        <v>1797</v>
      </c>
      <c r="B1072" t="s">
        <v>640</v>
      </c>
      <c r="C1072">
        <v>1032878</v>
      </c>
      <c r="D1072" s="16">
        <v>1032.8779999999999</v>
      </c>
      <c r="E1072" t="s">
        <v>724</v>
      </c>
      <c r="F1072" s="16">
        <v>-2</v>
      </c>
      <c r="G1072" s="16">
        <v>2</v>
      </c>
      <c r="H1072" s="16">
        <v>2</v>
      </c>
      <c r="I1072" t="s">
        <v>125</v>
      </c>
      <c r="J1072">
        <v>1</v>
      </c>
      <c r="K1072" t="s">
        <v>725</v>
      </c>
      <c r="L1072" t="s">
        <v>385</v>
      </c>
      <c r="M1072">
        <v>0</v>
      </c>
      <c r="N1072" s="3" t="s">
        <v>238</v>
      </c>
      <c r="O1072" s="3"/>
    </row>
    <row r="1073" spans="1:15">
      <c r="A1073" t="s">
        <v>1798</v>
      </c>
      <c r="B1073" t="s">
        <v>640</v>
      </c>
      <c r="C1073">
        <v>1032878</v>
      </c>
      <c r="D1073" s="16">
        <v>1032.8779999999999</v>
      </c>
      <c r="E1073" t="s">
        <v>727</v>
      </c>
      <c r="F1073" s="16">
        <v>1</v>
      </c>
      <c r="G1073" s="16">
        <v>1</v>
      </c>
      <c r="H1073" s="16">
        <v>1</v>
      </c>
      <c r="I1073" t="s">
        <v>728</v>
      </c>
      <c r="J1073">
        <v>1</v>
      </c>
      <c r="K1073" t="s">
        <v>720</v>
      </c>
      <c r="L1073" t="s">
        <v>385</v>
      </c>
      <c r="M1073">
        <v>0</v>
      </c>
      <c r="N1073" s="3" t="s">
        <v>238</v>
      </c>
      <c r="O1073" s="3"/>
    </row>
    <row r="1074" spans="1:15">
      <c r="A1074" t="s">
        <v>1799</v>
      </c>
      <c r="B1074" t="s">
        <v>640</v>
      </c>
      <c r="C1074">
        <v>1032878</v>
      </c>
      <c r="D1074" s="16">
        <v>1032.8779999999999</v>
      </c>
      <c r="E1074" t="s">
        <v>730</v>
      </c>
      <c r="F1074" s="16">
        <v>0</v>
      </c>
      <c r="G1074" s="16">
        <v>0</v>
      </c>
      <c r="H1074" s="16">
        <v>0</v>
      </c>
      <c r="I1074" t="s">
        <v>107</v>
      </c>
      <c r="J1074">
        <v>1</v>
      </c>
      <c r="K1074" t="s">
        <v>720</v>
      </c>
      <c r="L1074" t="s">
        <v>385</v>
      </c>
      <c r="M1074">
        <v>0</v>
      </c>
      <c r="N1074" s="3" t="s">
        <v>238</v>
      </c>
      <c r="O1074" s="3"/>
    </row>
    <row r="1075" spans="1:15">
      <c r="A1075" t="s">
        <v>1800</v>
      </c>
      <c r="B1075" t="s">
        <v>641</v>
      </c>
      <c r="C1075">
        <v>1037896</v>
      </c>
      <c r="D1075" s="16">
        <v>1037.896</v>
      </c>
      <c r="E1075" t="s">
        <v>719</v>
      </c>
      <c r="F1075" s="16">
        <v>27.9</v>
      </c>
      <c r="G1075" s="16">
        <v>27.9</v>
      </c>
      <c r="H1075" s="16">
        <v>27.9</v>
      </c>
      <c r="I1075" t="s">
        <v>98</v>
      </c>
      <c r="J1075">
        <v>1</v>
      </c>
      <c r="K1075" t="s">
        <v>720</v>
      </c>
      <c r="L1075" t="s">
        <v>385</v>
      </c>
      <c r="M1075">
        <v>0</v>
      </c>
      <c r="N1075" s="3" t="s">
        <v>238</v>
      </c>
      <c r="O1075" s="3" t="s">
        <v>642</v>
      </c>
    </row>
    <row r="1076" spans="1:15">
      <c r="A1076" t="s">
        <v>1801</v>
      </c>
      <c r="B1076" t="s">
        <v>641</v>
      </c>
      <c r="C1076">
        <v>1037896</v>
      </c>
      <c r="D1076" s="16">
        <v>1037.896</v>
      </c>
      <c r="E1076" t="s">
        <v>722</v>
      </c>
      <c r="F1076" s="16">
        <v>80.599999999999994</v>
      </c>
      <c r="G1076" s="16">
        <v>80.599999999999994</v>
      </c>
      <c r="H1076" s="16">
        <v>80.599999999999994</v>
      </c>
      <c r="I1076" t="s">
        <v>140</v>
      </c>
      <c r="J1076">
        <v>1</v>
      </c>
      <c r="K1076" t="s">
        <v>720</v>
      </c>
      <c r="L1076" t="s">
        <v>385</v>
      </c>
      <c r="M1076">
        <v>0</v>
      </c>
      <c r="N1076" s="3" t="s">
        <v>238</v>
      </c>
      <c r="O1076" s="3" t="s">
        <v>642</v>
      </c>
    </row>
    <row r="1077" spans="1:15">
      <c r="A1077" t="s">
        <v>1802</v>
      </c>
      <c r="B1077" t="s">
        <v>641</v>
      </c>
      <c r="C1077">
        <v>1037896</v>
      </c>
      <c r="D1077" s="16">
        <v>1037.896</v>
      </c>
      <c r="E1077" t="s">
        <v>724</v>
      </c>
      <c r="F1077" s="16">
        <v>-2.1</v>
      </c>
      <c r="G1077" s="16">
        <v>2.1</v>
      </c>
      <c r="H1077" s="16">
        <v>2.1</v>
      </c>
      <c r="I1077" t="s">
        <v>125</v>
      </c>
      <c r="J1077">
        <v>1</v>
      </c>
      <c r="K1077" t="s">
        <v>725</v>
      </c>
      <c r="L1077" t="s">
        <v>385</v>
      </c>
      <c r="M1077">
        <v>0</v>
      </c>
      <c r="N1077" s="3" t="s">
        <v>238</v>
      </c>
      <c r="O1077" s="3" t="s">
        <v>642</v>
      </c>
    </row>
    <row r="1078" spans="1:15">
      <c r="A1078" t="s">
        <v>1803</v>
      </c>
      <c r="B1078" t="s">
        <v>641</v>
      </c>
      <c r="C1078">
        <v>1037896</v>
      </c>
      <c r="D1078" s="16">
        <v>1037.896</v>
      </c>
      <c r="E1078" t="s">
        <v>727</v>
      </c>
      <c r="F1078" s="16">
        <v>1</v>
      </c>
      <c r="G1078" s="16">
        <v>1</v>
      </c>
      <c r="H1078" s="16">
        <v>1</v>
      </c>
      <c r="I1078" t="s">
        <v>728</v>
      </c>
      <c r="J1078">
        <v>1</v>
      </c>
      <c r="K1078" t="s">
        <v>720</v>
      </c>
      <c r="L1078" t="s">
        <v>385</v>
      </c>
      <c r="M1078">
        <v>0</v>
      </c>
      <c r="N1078" s="3" t="s">
        <v>238</v>
      </c>
      <c r="O1078" s="3" t="s">
        <v>642</v>
      </c>
    </row>
    <row r="1079" spans="1:15">
      <c r="A1079" t="s">
        <v>1804</v>
      </c>
      <c r="B1079" t="s">
        <v>641</v>
      </c>
      <c r="C1079">
        <v>1037896</v>
      </c>
      <c r="D1079" s="16">
        <v>1037.896</v>
      </c>
      <c r="E1079" t="s">
        <v>730</v>
      </c>
      <c r="F1079" s="16">
        <v>0</v>
      </c>
      <c r="G1079" s="16">
        <v>0</v>
      </c>
      <c r="H1079" s="16">
        <v>0</v>
      </c>
      <c r="I1079" t="s">
        <v>107</v>
      </c>
      <c r="J1079">
        <v>1</v>
      </c>
      <c r="K1079" t="s">
        <v>720</v>
      </c>
      <c r="L1079" t="s">
        <v>385</v>
      </c>
      <c r="M1079">
        <v>0</v>
      </c>
      <c r="N1079" s="3" t="s">
        <v>238</v>
      </c>
      <c r="O1079" s="3" t="s">
        <v>642</v>
      </c>
    </row>
    <row r="1080" spans="1:15">
      <c r="A1080" t="s">
        <v>1805</v>
      </c>
      <c r="B1080" t="s">
        <v>645</v>
      </c>
      <c r="C1080">
        <v>1042970</v>
      </c>
      <c r="D1080" s="16">
        <v>1042.97</v>
      </c>
      <c r="E1080" t="s">
        <v>719</v>
      </c>
      <c r="F1080" s="16">
        <v>28.1</v>
      </c>
      <c r="G1080" s="16">
        <v>28.1</v>
      </c>
      <c r="H1080" s="16">
        <v>28.1</v>
      </c>
      <c r="I1080" t="s">
        <v>98</v>
      </c>
      <c r="J1080">
        <v>1</v>
      </c>
      <c r="K1080" t="s">
        <v>720</v>
      </c>
      <c r="L1080" t="s">
        <v>567</v>
      </c>
      <c r="M1080">
        <v>0</v>
      </c>
      <c r="N1080" s="3" t="s">
        <v>238</v>
      </c>
      <c r="O1080" s="3"/>
    </row>
    <row r="1081" spans="1:15">
      <c r="A1081" t="s">
        <v>1806</v>
      </c>
      <c r="B1081" t="s">
        <v>645</v>
      </c>
      <c r="C1081">
        <v>1042970</v>
      </c>
      <c r="D1081" s="16">
        <v>1042.97</v>
      </c>
      <c r="E1081" t="s">
        <v>722</v>
      </c>
      <c r="F1081" s="16">
        <v>84.2</v>
      </c>
      <c r="G1081" s="16">
        <v>84.2</v>
      </c>
      <c r="H1081" s="16">
        <v>84.2</v>
      </c>
      <c r="I1081" t="s">
        <v>140</v>
      </c>
      <c r="J1081">
        <v>1</v>
      </c>
      <c r="K1081" t="s">
        <v>720</v>
      </c>
      <c r="L1081" t="s">
        <v>567</v>
      </c>
      <c r="M1081">
        <v>0</v>
      </c>
      <c r="N1081" s="3" t="s">
        <v>238</v>
      </c>
      <c r="O1081" s="3"/>
    </row>
    <row r="1082" spans="1:15">
      <c r="A1082" t="s">
        <v>1807</v>
      </c>
      <c r="B1082" t="s">
        <v>645</v>
      </c>
      <c r="C1082">
        <v>1042970</v>
      </c>
      <c r="D1082" s="16">
        <v>1042.97</v>
      </c>
      <c r="E1082" t="s">
        <v>724</v>
      </c>
      <c r="F1082" s="16">
        <v>-1.9</v>
      </c>
      <c r="G1082" s="16">
        <v>1.9</v>
      </c>
      <c r="H1082" s="16">
        <v>1.9</v>
      </c>
      <c r="I1082" t="s">
        <v>125</v>
      </c>
      <c r="J1082">
        <v>1</v>
      </c>
      <c r="K1082" t="s">
        <v>725</v>
      </c>
      <c r="L1082" t="s">
        <v>567</v>
      </c>
      <c r="M1082">
        <v>0</v>
      </c>
      <c r="N1082" s="3" t="s">
        <v>238</v>
      </c>
      <c r="O1082" s="3"/>
    </row>
    <row r="1083" spans="1:15">
      <c r="A1083" t="s">
        <v>1808</v>
      </c>
      <c r="B1083" t="s">
        <v>645</v>
      </c>
      <c r="C1083">
        <v>1042970</v>
      </c>
      <c r="D1083" s="16">
        <v>1042.97</v>
      </c>
      <c r="E1083" t="s">
        <v>727</v>
      </c>
      <c r="F1083" s="16">
        <v>1</v>
      </c>
      <c r="G1083" s="16">
        <v>1</v>
      </c>
      <c r="H1083" s="16">
        <v>1</v>
      </c>
      <c r="I1083" t="s">
        <v>728</v>
      </c>
      <c r="J1083">
        <v>1</v>
      </c>
      <c r="K1083" t="s">
        <v>720</v>
      </c>
      <c r="L1083" t="s">
        <v>567</v>
      </c>
      <c r="M1083">
        <v>0</v>
      </c>
      <c r="N1083" s="3" t="s">
        <v>238</v>
      </c>
      <c r="O1083" s="3"/>
    </row>
    <row r="1084" spans="1:15">
      <c r="A1084" t="s">
        <v>1809</v>
      </c>
      <c r="B1084" t="s">
        <v>645</v>
      </c>
      <c r="C1084">
        <v>1042970</v>
      </c>
      <c r="D1084" s="16">
        <v>1042.97</v>
      </c>
      <c r="E1084" t="s">
        <v>730</v>
      </c>
      <c r="F1084" s="16">
        <v>0</v>
      </c>
      <c r="G1084" s="16">
        <v>0</v>
      </c>
      <c r="H1084" s="16">
        <v>0</v>
      </c>
      <c r="I1084" t="s">
        <v>107</v>
      </c>
      <c r="J1084">
        <v>1</v>
      </c>
      <c r="K1084" t="s">
        <v>720</v>
      </c>
      <c r="L1084" t="s">
        <v>567</v>
      </c>
      <c r="M1084">
        <v>0</v>
      </c>
      <c r="N1084" s="3" t="s">
        <v>238</v>
      </c>
      <c r="O1084" s="3"/>
    </row>
    <row r="1085" spans="1:15">
      <c r="A1085" t="s">
        <v>1810</v>
      </c>
      <c r="B1085" t="s">
        <v>647</v>
      </c>
      <c r="C1085">
        <v>1047928</v>
      </c>
      <c r="D1085" s="16">
        <v>1047.9280000000001</v>
      </c>
      <c r="E1085" t="s">
        <v>719</v>
      </c>
      <c r="F1085" s="16">
        <v>28.4</v>
      </c>
      <c r="G1085" s="16">
        <v>28.4</v>
      </c>
      <c r="H1085" s="16">
        <v>28.4</v>
      </c>
      <c r="I1085" t="s">
        <v>98</v>
      </c>
      <c r="J1085">
        <v>1</v>
      </c>
      <c r="K1085" t="s">
        <v>720</v>
      </c>
      <c r="L1085" t="s">
        <v>571</v>
      </c>
      <c r="M1085">
        <v>0</v>
      </c>
      <c r="N1085" s="3" t="s">
        <v>238</v>
      </c>
      <c r="O1085" s="3"/>
    </row>
    <row r="1086" spans="1:15">
      <c r="A1086" t="s">
        <v>1811</v>
      </c>
      <c r="B1086" t="s">
        <v>647</v>
      </c>
      <c r="C1086">
        <v>1047928</v>
      </c>
      <c r="D1086" s="16">
        <v>1047.9280000000001</v>
      </c>
      <c r="E1086" t="s">
        <v>722</v>
      </c>
      <c r="F1086" s="16">
        <v>86.5</v>
      </c>
      <c r="G1086" s="16">
        <v>86.5</v>
      </c>
      <c r="H1086" s="16">
        <v>86.5</v>
      </c>
      <c r="I1086" t="s">
        <v>140</v>
      </c>
      <c r="J1086">
        <v>1</v>
      </c>
      <c r="K1086" t="s">
        <v>720</v>
      </c>
      <c r="L1086" t="s">
        <v>571</v>
      </c>
      <c r="M1086">
        <v>0</v>
      </c>
      <c r="N1086" s="3" t="s">
        <v>238</v>
      </c>
      <c r="O1086" s="3"/>
    </row>
    <row r="1087" spans="1:15">
      <c r="A1087" t="s">
        <v>1812</v>
      </c>
      <c r="B1087" t="s">
        <v>647</v>
      </c>
      <c r="C1087">
        <v>1047928</v>
      </c>
      <c r="D1087" s="16">
        <v>1047.9280000000001</v>
      </c>
      <c r="E1087" t="s">
        <v>724</v>
      </c>
      <c r="F1087" s="16">
        <v>-1.6</v>
      </c>
      <c r="G1087" s="16">
        <v>1.6</v>
      </c>
      <c r="H1087" s="16">
        <v>1.6</v>
      </c>
      <c r="I1087" t="s">
        <v>125</v>
      </c>
      <c r="J1087">
        <v>1</v>
      </c>
      <c r="K1087" t="s">
        <v>725</v>
      </c>
      <c r="L1087" t="s">
        <v>571</v>
      </c>
      <c r="M1087">
        <v>0</v>
      </c>
      <c r="N1087" s="3" t="s">
        <v>238</v>
      </c>
      <c r="O1087" s="3"/>
    </row>
    <row r="1088" spans="1:15">
      <c r="A1088" t="s">
        <v>1813</v>
      </c>
      <c r="B1088" t="s">
        <v>647</v>
      </c>
      <c r="C1088">
        <v>1047928</v>
      </c>
      <c r="D1088" s="16">
        <v>1047.9280000000001</v>
      </c>
      <c r="E1088" t="s">
        <v>727</v>
      </c>
      <c r="F1088" s="16">
        <v>1</v>
      </c>
      <c r="G1088" s="16">
        <v>1</v>
      </c>
      <c r="H1088" s="16">
        <v>1</v>
      </c>
      <c r="I1088" t="s">
        <v>728</v>
      </c>
      <c r="J1088">
        <v>1</v>
      </c>
      <c r="K1088" t="s">
        <v>720</v>
      </c>
      <c r="L1088" t="s">
        <v>571</v>
      </c>
      <c r="M1088">
        <v>0</v>
      </c>
      <c r="N1088" s="3" t="s">
        <v>238</v>
      </c>
      <c r="O1088" s="3"/>
    </row>
    <row r="1089" spans="1:15">
      <c r="A1089" t="s">
        <v>1814</v>
      </c>
      <c r="B1089" t="s">
        <v>647</v>
      </c>
      <c r="C1089">
        <v>1047928</v>
      </c>
      <c r="D1089" s="16">
        <v>1047.9280000000001</v>
      </c>
      <c r="E1089" t="s">
        <v>730</v>
      </c>
      <c r="F1089" s="16">
        <v>0</v>
      </c>
      <c r="G1089" s="16">
        <v>0</v>
      </c>
      <c r="H1089" s="16">
        <v>0</v>
      </c>
      <c r="I1089" t="s">
        <v>107</v>
      </c>
      <c r="J1089">
        <v>1</v>
      </c>
      <c r="K1089" t="s">
        <v>720</v>
      </c>
      <c r="L1089" t="s">
        <v>571</v>
      </c>
      <c r="M1089">
        <v>0</v>
      </c>
      <c r="N1089" s="3" t="s">
        <v>238</v>
      </c>
      <c r="O1089" s="3"/>
    </row>
    <row r="1090" spans="1:15" ht="41.4">
      <c r="A1090" t="s">
        <v>1815</v>
      </c>
      <c r="B1090" t="s">
        <v>649</v>
      </c>
      <c r="C1090">
        <v>1052972</v>
      </c>
      <c r="D1090" s="16">
        <v>1052.972</v>
      </c>
      <c r="E1090" t="s">
        <v>719</v>
      </c>
      <c r="F1090" s="16">
        <v>-1</v>
      </c>
      <c r="G1090" s="16"/>
      <c r="H1090" s="16">
        <v>28.4</v>
      </c>
      <c r="I1090" t="s">
        <v>98</v>
      </c>
      <c r="J1090">
        <v>0</v>
      </c>
      <c r="K1090" t="s">
        <v>1610</v>
      </c>
      <c r="L1090" t="s">
        <v>571</v>
      </c>
      <c r="M1090">
        <v>0</v>
      </c>
      <c r="N1090" s="3" t="s">
        <v>330</v>
      </c>
      <c r="O1090" s="3"/>
    </row>
    <row r="1091" spans="1:15" ht="41.4">
      <c r="A1091" t="s">
        <v>1816</v>
      </c>
      <c r="B1091" t="s">
        <v>649</v>
      </c>
      <c r="C1091">
        <v>1052972</v>
      </c>
      <c r="D1091" s="16">
        <v>1052.972</v>
      </c>
      <c r="E1091" t="s">
        <v>722</v>
      </c>
      <c r="F1091" s="16">
        <v>-1</v>
      </c>
      <c r="G1091" s="16"/>
      <c r="H1091" s="16">
        <v>86.5</v>
      </c>
      <c r="I1091" t="s">
        <v>140</v>
      </c>
      <c r="J1091">
        <v>0</v>
      </c>
      <c r="K1091" t="s">
        <v>1610</v>
      </c>
      <c r="L1091" t="s">
        <v>571</v>
      </c>
      <c r="M1091">
        <v>0</v>
      </c>
      <c r="N1091" s="3" t="s">
        <v>330</v>
      </c>
      <c r="O1091" s="3"/>
    </row>
    <row r="1092" spans="1:15" ht="41.4">
      <c r="A1092" t="s">
        <v>1817</v>
      </c>
      <c r="B1092" t="s">
        <v>649</v>
      </c>
      <c r="C1092">
        <v>1052972</v>
      </c>
      <c r="D1092" s="16">
        <v>1052.972</v>
      </c>
      <c r="E1092" t="s">
        <v>724</v>
      </c>
      <c r="F1092" s="16">
        <v>-1.5</v>
      </c>
      <c r="G1092" s="16">
        <v>1.5</v>
      </c>
      <c r="H1092" s="16">
        <v>1.5</v>
      </c>
      <c r="I1092" t="s">
        <v>125</v>
      </c>
      <c r="J1092">
        <v>1</v>
      </c>
      <c r="K1092" t="s">
        <v>725</v>
      </c>
      <c r="L1092" t="s">
        <v>571</v>
      </c>
      <c r="M1092">
        <v>0</v>
      </c>
      <c r="N1092" s="3" t="s">
        <v>330</v>
      </c>
      <c r="O1092" s="3"/>
    </row>
    <row r="1093" spans="1:15" ht="41.4">
      <c r="A1093" t="s">
        <v>1818</v>
      </c>
      <c r="B1093" t="s">
        <v>649</v>
      </c>
      <c r="C1093">
        <v>1052972</v>
      </c>
      <c r="D1093" s="16">
        <v>1052.972</v>
      </c>
      <c r="E1093" t="s">
        <v>727</v>
      </c>
      <c r="F1093" s="16">
        <v>1</v>
      </c>
      <c r="G1093" s="16">
        <v>1</v>
      </c>
      <c r="H1093" s="16">
        <v>1</v>
      </c>
      <c r="I1093" t="s">
        <v>728</v>
      </c>
      <c r="J1093">
        <v>1</v>
      </c>
      <c r="K1093" t="s">
        <v>720</v>
      </c>
      <c r="L1093" t="s">
        <v>571</v>
      </c>
      <c r="M1093">
        <v>0</v>
      </c>
      <c r="N1093" s="3" t="s">
        <v>330</v>
      </c>
      <c r="O1093" s="3"/>
    </row>
    <row r="1094" spans="1:15" ht="41.4">
      <c r="A1094" t="s">
        <v>1819</v>
      </c>
      <c r="B1094" t="s">
        <v>649</v>
      </c>
      <c r="C1094">
        <v>1052972</v>
      </c>
      <c r="D1094" s="16">
        <v>1052.972</v>
      </c>
      <c r="E1094" t="s">
        <v>730</v>
      </c>
      <c r="F1094" s="16">
        <v>86.266999999999996</v>
      </c>
      <c r="G1094" s="16">
        <v>0.86266999999999994</v>
      </c>
      <c r="H1094" s="16">
        <v>0.86266999999999994</v>
      </c>
      <c r="I1094" t="s">
        <v>107</v>
      </c>
      <c r="J1094">
        <v>1</v>
      </c>
      <c r="K1094" t="s">
        <v>761</v>
      </c>
      <c r="L1094" t="s">
        <v>571</v>
      </c>
      <c r="M1094">
        <v>0</v>
      </c>
      <c r="N1094" s="3" t="s">
        <v>330</v>
      </c>
      <c r="O1094" s="3"/>
    </row>
    <row r="1095" spans="1:15" ht="41.4">
      <c r="A1095" t="s">
        <v>1820</v>
      </c>
      <c r="B1095" t="s">
        <v>651</v>
      </c>
      <c r="C1095">
        <v>1057940</v>
      </c>
      <c r="D1095" s="16">
        <v>1057.94</v>
      </c>
      <c r="E1095" t="s">
        <v>719</v>
      </c>
      <c r="F1095" s="16">
        <v>7.1</v>
      </c>
      <c r="G1095" s="16">
        <v>7.1</v>
      </c>
      <c r="H1095" s="16">
        <v>7.1</v>
      </c>
      <c r="I1095" t="s">
        <v>98</v>
      </c>
      <c r="J1095">
        <v>1</v>
      </c>
      <c r="K1095" t="s">
        <v>720</v>
      </c>
      <c r="L1095" t="s">
        <v>571</v>
      </c>
      <c r="M1095">
        <v>0</v>
      </c>
      <c r="N1095" s="3" t="s">
        <v>652</v>
      </c>
      <c r="O1095" s="3"/>
    </row>
    <row r="1096" spans="1:15" ht="41.4">
      <c r="A1096" t="s">
        <v>1821</v>
      </c>
      <c r="B1096" t="s">
        <v>651</v>
      </c>
      <c r="C1096">
        <v>1057940</v>
      </c>
      <c r="D1096" s="16">
        <v>1057.94</v>
      </c>
      <c r="E1096" t="s">
        <v>722</v>
      </c>
      <c r="F1096" s="16">
        <v>223</v>
      </c>
      <c r="G1096" s="16"/>
      <c r="H1096" s="16">
        <v>86.5</v>
      </c>
      <c r="I1096" t="s">
        <v>140</v>
      </c>
      <c r="J1096">
        <v>0</v>
      </c>
      <c r="K1096" t="s">
        <v>763</v>
      </c>
      <c r="L1096" t="s">
        <v>571</v>
      </c>
      <c r="M1096">
        <v>0</v>
      </c>
      <c r="N1096" s="3" t="s">
        <v>652</v>
      </c>
      <c r="O1096" s="3"/>
    </row>
    <row r="1097" spans="1:15" ht="41.4">
      <c r="A1097" t="s">
        <v>1822</v>
      </c>
      <c r="B1097" t="s">
        <v>651</v>
      </c>
      <c r="C1097">
        <v>1057940</v>
      </c>
      <c r="D1097" s="16">
        <v>1057.94</v>
      </c>
      <c r="E1097" t="s">
        <v>724</v>
      </c>
      <c r="F1097" s="16">
        <v>-1.6</v>
      </c>
      <c r="G1097" s="16">
        <v>1.6</v>
      </c>
      <c r="H1097" s="16">
        <v>1.6</v>
      </c>
      <c r="I1097" t="s">
        <v>125</v>
      </c>
      <c r="J1097">
        <v>1</v>
      </c>
      <c r="K1097" t="s">
        <v>725</v>
      </c>
      <c r="L1097" t="s">
        <v>571</v>
      </c>
      <c r="M1097">
        <v>0</v>
      </c>
      <c r="N1097" s="3" t="s">
        <v>652</v>
      </c>
      <c r="O1097" s="3"/>
    </row>
    <row r="1098" spans="1:15" ht="41.4">
      <c r="A1098" t="s">
        <v>1823</v>
      </c>
      <c r="B1098" t="s">
        <v>651</v>
      </c>
      <c r="C1098">
        <v>1057940</v>
      </c>
      <c r="D1098" s="16">
        <v>1057.94</v>
      </c>
      <c r="E1098" t="s">
        <v>727</v>
      </c>
      <c r="F1098" s="16">
        <v>1</v>
      </c>
      <c r="G1098" s="16">
        <v>1</v>
      </c>
      <c r="H1098" s="16">
        <v>1</v>
      </c>
      <c r="I1098" t="s">
        <v>728</v>
      </c>
      <c r="J1098">
        <v>1</v>
      </c>
      <c r="K1098" t="s">
        <v>720</v>
      </c>
      <c r="L1098" t="s">
        <v>571</v>
      </c>
      <c r="M1098">
        <v>0</v>
      </c>
      <c r="N1098" s="3" t="s">
        <v>652</v>
      </c>
      <c r="O1098" s="3"/>
    </row>
    <row r="1099" spans="1:15" ht="41.4">
      <c r="A1099" t="s">
        <v>1824</v>
      </c>
      <c r="B1099" t="s">
        <v>651</v>
      </c>
      <c r="C1099">
        <v>1057940</v>
      </c>
      <c r="D1099" s="16">
        <v>1057.94</v>
      </c>
      <c r="E1099" t="s">
        <v>730</v>
      </c>
      <c r="F1099" s="16">
        <v>83.84</v>
      </c>
      <c r="G1099" s="16">
        <v>0.83840000000000003</v>
      </c>
      <c r="H1099" s="16">
        <v>0.83840000000000003</v>
      </c>
      <c r="I1099" t="s">
        <v>107</v>
      </c>
      <c r="J1099">
        <v>1</v>
      </c>
      <c r="K1099" t="s">
        <v>761</v>
      </c>
      <c r="L1099" t="s">
        <v>571</v>
      </c>
      <c r="M1099">
        <v>0</v>
      </c>
      <c r="N1099" s="3" t="s">
        <v>652</v>
      </c>
      <c r="O1099" s="3"/>
    </row>
    <row r="1100" spans="1:15" ht="41.4">
      <c r="A1100" t="s">
        <v>1825</v>
      </c>
      <c r="B1100" t="s">
        <v>654</v>
      </c>
      <c r="C1100">
        <v>1062969</v>
      </c>
      <c r="D1100" s="16">
        <v>1062.9690000000001</v>
      </c>
      <c r="E1100" t="s">
        <v>719</v>
      </c>
      <c r="F1100" s="16">
        <v>-1</v>
      </c>
      <c r="G1100" s="16"/>
      <c r="H1100" s="16">
        <v>7.1</v>
      </c>
      <c r="I1100" t="s">
        <v>98</v>
      </c>
      <c r="J1100">
        <v>0</v>
      </c>
      <c r="K1100" t="s">
        <v>1610</v>
      </c>
      <c r="L1100" t="s">
        <v>571</v>
      </c>
      <c r="M1100">
        <v>0</v>
      </c>
      <c r="N1100" s="3" t="s">
        <v>330</v>
      </c>
      <c r="O1100" s="3"/>
    </row>
    <row r="1101" spans="1:15" ht="41.4">
      <c r="A1101" t="s">
        <v>1826</v>
      </c>
      <c r="B1101" t="s">
        <v>654</v>
      </c>
      <c r="C1101">
        <v>1062969</v>
      </c>
      <c r="D1101" s="16">
        <v>1062.9690000000001</v>
      </c>
      <c r="E1101" t="s">
        <v>722</v>
      </c>
      <c r="F1101" s="16">
        <v>-1</v>
      </c>
      <c r="G1101" s="16"/>
      <c r="H1101" s="16">
        <v>86.5</v>
      </c>
      <c r="I1101" t="s">
        <v>140</v>
      </c>
      <c r="J1101">
        <v>0</v>
      </c>
      <c r="K1101" t="s">
        <v>1610</v>
      </c>
      <c r="L1101" t="s">
        <v>571</v>
      </c>
      <c r="M1101">
        <v>0</v>
      </c>
      <c r="N1101" s="3" t="s">
        <v>330</v>
      </c>
      <c r="O1101" s="3"/>
    </row>
    <row r="1102" spans="1:15" ht="41.4">
      <c r="A1102" t="s">
        <v>1827</v>
      </c>
      <c r="B1102" t="s">
        <v>654</v>
      </c>
      <c r="C1102">
        <v>1062969</v>
      </c>
      <c r="D1102" s="16">
        <v>1062.9690000000001</v>
      </c>
      <c r="E1102" t="s">
        <v>724</v>
      </c>
      <c r="F1102" s="16">
        <v>-1.6</v>
      </c>
      <c r="G1102" s="16">
        <v>1.6</v>
      </c>
      <c r="H1102" s="16">
        <v>1.6</v>
      </c>
      <c r="I1102" t="s">
        <v>125</v>
      </c>
      <c r="J1102">
        <v>1</v>
      </c>
      <c r="K1102" t="s">
        <v>725</v>
      </c>
      <c r="L1102" t="s">
        <v>571</v>
      </c>
      <c r="M1102">
        <v>0</v>
      </c>
      <c r="N1102" s="3" t="s">
        <v>330</v>
      </c>
      <c r="O1102" s="3"/>
    </row>
    <row r="1103" spans="1:15" ht="41.4">
      <c r="A1103" t="s">
        <v>1828</v>
      </c>
      <c r="B1103" t="s">
        <v>654</v>
      </c>
      <c r="C1103">
        <v>1062969</v>
      </c>
      <c r="D1103" s="16">
        <v>1062.9690000000001</v>
      </c>
      <c r="E1103" t="s">
        <v>727</v>
      </c>
      <c r="F1103" s="16">
        <v>1</v>
      </c>
      <c r="G1103" s="16">
        <v>1</v>
      </c>
      <c r="H1103" s="16">
        <v>1</v>
      </c>
      <c r="I1103" t="s">
        <v>728</v>
      </c>
      <c r="J1103">
        <v>1</v>
      </c>
      <c r="K1103" t="s">
        <v>720</v>
      </c>
      <c r="L1103" t="s">
        <v>571</v>
      </c>
      <c r="M1103">
        <v>0</v>
      </c>
      <c r="N1103" s="3" t="s">
        <v>330</v>
      </c>
      <c r="O1103" s="3"/>
    </row>
    <row r="1104" spans="1:15" ht="41.4">
      <c r="A1104" t="s">
        <v>1829</v>
      </c>
      <c r="B1104" t="s">
        <v>654</v>
      </c>
      <c r="C1104">
        <v>1062969</v>
      </c>
      <c r="D1104" s="16">
        <v>1062.9690000000001</v>
      </c>
      <c r="E1104" t="s">
        <v>730</v>
      </c>
      <c r="F1104" s="16">
        <v>80.266999999999996</v>
      </c>
      <c r="G1104" s="16">
        <v>0.80266999999999999</v>
      </c>
      <c r="H1104" s="16">
        <v>0.80266999999999999</v>
      </c>
      <c r="I1104" t="s">
        <v>107</v>
      </c>
      <c r="J1104">
        <v>1</v>
      </c>
      <c r="K1104" t="s">
        <v>761</v>
      </c>
      <c r="L1104" t="s">
        <v>571</v>
      </c>
      <c r="M1104">
        <v>0</v>
      </c>
      <c r="N1104" s="3" t="s">
        <v>330</v>
      </c>
      <c r="O1104" s="3"/>
    </row>
    <row r="1105" spans="1:15" ht="41.4">
      <c r="A1105" t="s">
        <v>1830</v>
      </c>
      <c r="B1105" t="s">
        <v>656</v>
      </c>
      <c r="C1105">
        <v>1068476</v>
      </c>
      <c r="D1105" s="16">
        <v>1068.4760000000001</v>
      </c>
      <c r="E1105" t="s">
        <v>719</v>
      </c>
      <c r="F1105" s="16">
        <v>-1</v>
      </c>
      <c r="G1105" s="16"/>
      <c r="H1105" s="16">
        <v>7.1</v>
      </c>
      <c r="I1105" t="s">
        <v>98</v>
      </c>
      <c r="J1105">
        <v>0</v>
      </c>
      <c r="K1105" t="s">
        <v>1610</v>
      </c>
      <c r="L1105" t="s">
        <v>571</v>
      </c>
      <c r="M1105">
        <v>1</v>
      </c>
      <c r="N1105" s="3" t="s">
        <v>599</v>
      </c>
      <c r="O1105" s="3"/>
    </row>
    <row r="1106" spans="1:15" ht="41.4">
      <c r="A1106" t="s">
        <v>1831</v>
      </c>
      <c r="B1106" t="s">
        <v>656</v>
      </c>
      <c r="C1106">
        <v>1068476</v>
      </c>
      <c r="D1106" s="16">
        <v>1068.4760000000001</v>
      </c>
      <c r="E1106" t="s">
        <v>722</v>
      </c>
      <c r="F1106" s="16">
        <v>-1</v>
      </c>
      <c r="G1106" s="16"/>
      <c r="H1106" s="16">
        <v>86.5</v>
      </c>
      <c r="I1106" t="s">
        <v>140</v>
      </c>
      <c r="J1106">
        <v>0</v>
      </c>
      <c r="K1106" t="s">
        <v>1610</v>
      </c>
      <c r="L1106" t="s">
        <v>571</v>
      </c>
      <c r="M1106">
        <v>1</v>
      </c>
      <c r="N1106" s="3" t="s">
        <v>599</v>
      </c>
      <c r="O1106" s="3"/>
    </row>
    <row r="1107" spans="1:15" ht="41.4">
      <c r="A1107" t="s">
        <v>1832</v>
      </c>
      <c r="B1107" t="s">
        <v>656</v>
      </c>
      <c r="C1107">
        <v>1068476</v>
      </c>
      <c r="D1107" s="16">
        <v>1068.4760000000001</v>
      </c>
      <c r="E1107" t="s">
        <v>724</v>
      </c>
      <c r="F1107" s="16">
        <v>344.2</v>
      </c>
      <c r="G1107" s="16">
        <v>344.2</v>
      </c>
      <c r="H1107" s="16">
        <v>344.2</v>
      </c>
      <c r="I1107" t="s">
        <v>125</v>
      </c>
      <c r="J1107">
        <v>1</v>
      </c>
      <c r="K1107" t="s">
        <v>720</v>
      </c>
      <c r="L1107" t="s">
        <v>571</v>
      </c>
      <c r="M1107">
        <v>1</v>
      </c>
      <c r="N1107" s="3" t="s">
        <v>599</v>
      </c>
      <c r="O1107" s="3"/>
    </row>
    <row r="1108" spans="1:15" ht="41.4">
      <c r="A1108" t="s">
        <v>1833</v>
      </c>
      <c r="B1108" t="s">
        <v>656</v>
      </c>
      <c r="C1108">
        <v>1068476</v>
      </c>
      <c r="D1108" s="16">
        <v>1068.4760000000001</v>
      </c>
      <c r="E1108" t="s">
        <v>727</v>
      </c>
      <c r="F1108" s="16">
        <v>1</v>
      </c>
      <c r="G1108" s="16">
        <v>1</v>
      </c>
      <c r="H1108" s="16">
        <v>1</v>
      </c>
      <c r="I1108" t="s">
        <v>728</v>
      </c>
      <c r="J1108">
        <v>1</v>
      </c>
      <c r="K1108" t="s">
        <v>720</v>
      </c>
      <c r="L1108" t="s">
        <v>571</v>
      </c>
      <c r="M1108">
        <v>1</v>
      </c>
      <c r="N1108" s="3" t="s">
        <v>599</v>
      </c>
      <c r="O1108" s="3"/>
    </row>
    <row r="1109" spans="1:15" ht="41.4">
      <c r="A1109" t="s">
        <v>1834</v>
      </c>
      <c r="B1109" t="s">
        <v>656</v>
      </c>
      <c r="C1109">
        <v>1068476</v>
      </c>
      <c r="D1109" s="16">
        <v>1068.4760000000001</v>
      </c>
      <c r="E1109" t="s">
        <v>730</v>
      </c>
      <c r="F1109" s="16">
        <v>88.052999999999997</v>
      </c>
      <c r="G1109" s="16">
        <v>0.88052999999999992</v>
      </c>
      <c r="H1109" s="16">
        <v>0.88052999999999992</v>
      </c>
      <c r="I1109" t="s">
        <v>107</v>
      </c>
      <c r="J1109">
        <v>1</v>
      </c>
      <c r="K1109" t="s">
        <v>761</v>
      </c>
      <c r="L1109" t="s">
        <v>571</v>
      </c>
      <c r="M1109">
        <v>1</v>
      </c>
      <c r="N1109" s="3" t="s">
        <v>599</v>
      </c>
      <c r="O1109" s="3"/>
    </row>
    <row r="1110" spans="1:15" ht="41.4">
      <c r="A1110" t="s">
        <v>1835</v>
      </c>
      <c r="B1110" t="s">
        <v>658</v>
      </c>
      <c r="C1110">
        <v>1073475</v>
      </c>
      <c r="D1110" s="16">
        <v>1073.4749999999999</v>
      </c>
      <c r="E1110" t="s">
        <v>719</v>
      </c>
      <c r="F1110" s="16">
        <v>-1</v>
      </c>
      <c r="G1110" s="16"/>
      <c r="H1110" s="16">
        <v>7.1</v>
      </c>
      <c r="I1110" t="s">
        <v>98</v>
      </c>
      <c r="J1110">
        <v>0</v>
      </c>
      <c r="K1110" t="s">
        <v>1610</v>
      </c>
      <c r="L1110" t="s">
        <v>571</v>
      </c>
      <c r="M1110">
        <v>0</v>
      </c>
      <c r="N1110" s="3" t="s">
        <v>330</v>
      </c>
      <c r="O1110" s="3"/>
    </row>
    <row r="1111" spans="1:15" ht="41.4">
      <c r="A1111" t="s">
        <v>1836</v>
      </c>
      <c r="B1111" t="s">
        <v>658</v>
      </c>
      <c r="C1111">
        <v>1073475</v>
      </c>
      <c r="D1111" s="16">
        <v>1073.4749999999999</v>
      </c>
      <c r="E1111" t="s">
        <v>722</v>
      </c>
      <c r="F1111" s="16">
        <v>-1</v>
      </c>
      <c r="G1111" s="16"/>
      <c r="H1111" s="16">
        <v>86.5</v>
      </c>
      <c r="I1111" t="s">
        <v>140</v>
      </c>
      <c r="J1111">
        <v>0</v>
      </c>
      <c r="K1111" t="s">
        <v>1610</v>
      </c>
      <c r="L1111" t="s">
        <v>571</v>
      </c>
      <c r="M1111">
        <v>0</v>
      </c>
      <c r="N1111" s="3" t="s">
        <v>330</v>
      </c>
      <c r="O1111" s="3"/>
    </row>
    <row r="1112" spans="1:15" ht="41.4">
      <c r="A1112" t="s">
        <v>1837</v>
      </c>
      <c r="B1112" t="s">
        <v>658</v>
      </c>
      <c r="C1112">
        <v>1073475</v>
      </c>
      <c r="D1112" s="16">
        <v>1073.4749999999999</v>
      </c>
      <c r="E1112" t="s">
        <v>724</v>
      </c>
      <c r="F1112" s="16">
        <v>-1.6</v>
      </c>
      <c r="G1112" s="16">
        <v>1.6</v>
      </c>
      <c r="H1112" s="16">
        <v>1.6</v>
      </c>
      <c r="I1112" t="s">
        <v>125</v>
      </c>
      <c r="J1112">
        <v>1</v>
      </c>
      <c r="K1112" t="s">
        <v>725</v>
      </c>
      <c r="L1112" t="s">
        <v>571</v>
      </c>
      <c r="M1112">
        <v>0</v>
      </c>
      <c r="N1112" s="3" t="s">
        <v>330</v>
      </c>
      <c r="O1112" s="3"/>
    </row>
    <row r="1113" spans="1:15" ht="41.4">
      <c r="A1113" t="s">
        <v>1838</v>
      </c>
      <c r="B1113" t="s">
        <v>658</v>
      </c>
      <c r="C1113">
        <v>1073475</v>
      </c>
      <c r="D1113" s="16">
        <v>1073.4749999999999</v>
      </c>
      <c r="E1113" t="s">
        <v>727</v>
      </c>
      <c r="F1113" s="16">
        <v>1</v>
      </c>
      <c r="G1113" s="16">
        <v>1</v>
      </c>
      <c r="H1113" s="16">
        <v>1</v>
      </c>
      <c r="I1113" t="s">
        <v>728</v>
      </c>
      <c r="J1113">
        <v>1</v>
      </c>
      <c r="K1113" t="s">
        <v>720</v>
      </c>
      <c r="L1113" t="s">
        <v>571</v>
      </c>
      <c r="M1113">
        <v>0</v>
      </c>
      <c r="N1113" s="3" t="s">
        <v>330</v>
      </c>
      <c r="O1113" s="3"/>
    </row>
    <row r="1114" spans="1:15" ht="41.4">
      <c r="A1114" t="s">
        <v>1839</v>
      </c>
      <c r="B1114" t="s">
        <v>658</v>
      </c>
      <c r="C1114">
        <v>1073475</v>
      </c>
      <c r="D1114" s="16">
        <v>1073.4749999999999</v>
      </c>
      <c r="E1114" t="s">
        <v>730</v>
      </c>
      <c r="F1114" s="16">
        <v>80.88</v>
      </c>
      <c r="G1114" s="16">
        <v>0.80879999999999996</v>
      </c>
      <c r="H1114" s="16">
        <v>0.80879999999999996</v>
      </c>
      <c r="I1114" t="s">
        <v>107</v>
      </c>
      <c r="J1114">
        <v>1</v>
      </c>
      <c r="K1114" t="s">
        <v>761</v>
      </c>
      <c r="L1114" t="s">
        <v>571</v>
      </c>
      <c r="M1114">
        <v>0</v>
      </c>
      <c r="N1114" s="3" t="s">
        <v>330</v>
      </c>
      <c r="O1114" s="3"/>
    </row>
    <row r="1115" spans="1:15" ht="27.6">
      <c r="A1115" t="s">
        <v>1840</v>
      </c>
      <c r="B1115" t="s">
        <v>660</v>
      </c>
      <c r="C1115">
        <v>1078444</v>
      </c>
      <c r="D1115" s="16">
        <v>1078.444</v>
      </c>
      <c r="E1115" t="s">
        <v>719</v>
      </c>
      <c r="F1115" s="16">
        <v>28.2</v>
      </c>
      <c r="G1115" s="16">
        <v>28.2</v>
      </c>
      <c r="H1115" s="16">
        <v>28.2</v>
      </c>
      <c r="I1115" t="s">
        <v>98</v>
      </c>
      <c r="J1115">
        <v>1</v>
      </c>
      <c r="K1115" t="s">
        <v>720</v>
      </c>
      <c r="L1115" t="s">
        <v>571</v>
      </c>
      <c r="M1115">
        <v>0</v>
      </c>
      <c r="N1115" s="3" t="s">
        <v>325</v>
      </c>
      <c r="O1115" s="3"/>
    </row>
    <row r="1116" spans="1:15" ht="27.6">
      <c r="A1116" t="s">
        <v>1841</v>
      </c>
      <c r="B1116" t="s">
        <v>660</v>
      </c>
      <c r="C1116">
        <v>1078444</v>
      </c>
      <c r="D1116" s="16">
        <v>1078.444</v>
      </c>
      <c r="E1116" t="s">
        <v>722</v>
      </c>
      <c r="F1116" s="16">
        <v>72.8</v>
      </c>
      <c r="G1116" s="16">
        <v>72.8</v>
      </c>
      <c r="H1116" s="16">
        <v>72.8</v>
      </c>
      <c r="I1116" t="s">
        <v>140</v>
      </c>
      <c r="J1116">
        <v>1</v>
      </c>
      <c r="K1116" t="s">
        <v>720</v>
      </c>
      <c r="L1116" t="s">
        <v>571</v>
      </c>
      <c r="M1116">
        <v>0</v>
      </c>
      <c r="N1116" s="3" t="s">
        <v>325</v>
      </c>
      <c r="O1116" s="3"/>
    </row>
    <row r="1117" spans="1:15" ht="27.6">
      <c r="A1117" t="s">
        <v>1842</v>
      </c>
      <c r="B1117" t="s">
        <v>660</v>
      </c>
      <c r="C1117">
        <v>1078444</v>
      </c>
      <c r="D1117" s="16">
        <v>1078.444</v>
      </c>
      <c r="E1117" t="s">
        <v>724</v>
      </c>
      <c r="F1117" s="16">
        <v>-1.6</v>
      </c>
      <c r="G1117" s="16">
        <v>1.6</v>
      </c>
      <c r="H1117" s="16">
        <v>1.6</v>
      </c>
      <c r="I1117" t="s">
        <v>125</v>
      </c>
      <c r="J1117">
        <v>1</v>
      </c>
      <c r="K1117" t="s">
        <v>725</v>
      </c>
      <c r="L1117" t="s">
        <v>571</v>
      </c>
      <c r="M1117">
        <v>0</v>
      </c>
      <c r="N1117" s="3" t="s">
        <v>325</v>
      </c>
      <c r="O1117" s="3"/>
    </row>
    <row r="1118" spans="1:15" ht="27.6">
      <c r="A1118" t="s">
        <v>1843</v>
      </c>
      <c r="B1118" t="s">
        <v>660</v>
      </c>
      <c r="C1118">
        <v>1078444</v>
      </c>
      <c r="D1118" s="16">
        <v>1078.444</v>
      </c>
      <c r="E1118" t="s">
        <v>727</v>
      </c>
      <c r="F1118" s="16">
        <v>1</v>
      </c>
      <c r="G1118" s="16">
        <v>1</v>
      </c>
      <c r="H1118" s="16">
        <v>1</v>
      </c>
      <c r="I1118" t="s">
        <v>728</v>
      </c>
      <c r="J1118">
        <v>1</v>
      </c>
      <c r="K1118" t="s">
        <v>720</v>
      </c>
      <c r="L1118" t="s">
        <v>571</v>
      </c>
      <c r="M1118">
        <v>0</v>
      </c>
      <c r="N1118" s="3" t="s">
        <v>325</v>
      </c>
      <c r="O1118" s="3"/>
    </row>
    <row r="1119" spans="1:15" ht="27.6">
      <c r="A1119" t="s">
        <v>1844</v>
      </c>
      <c r="B1119" t="s">
        <v>660</v>
      </c>
      <c r="C1119">
        <v>1078444</v>
      </c>
      <c r="D1119" s="16">
        <v>1078.444</v>
      </c>
      <c r="E1119" t="s">
        <v>730</v>
      </c>
      <c r="F1119" s="16">
        <v>78.772999999999996</v>
      </c>
      <c r="G1119" s="16">
        <v>0.78772999999999993</v>
      </c>
      <c r="H1119" s="16">
        <v>0.78772999999999993</v>
      </c>
      <c r="I1119" t="s">
        <v>107</v>
      </c>
      <c r="J1119">
        <v>1</v>
      </c>
      <c r="K1119" t="s">
        <v>761</v>
      </c>
      <c r="L1119" t="s">
        <v>571</v>
      </c>
      <c r="M1119">
        <v>0</v>
      </c>
      <c r="N1119" s="3" t="s">
        <v>325</v>
      </c>
      <c r="O1119" s="3"/>
    </row>
    <row r="1120" spans="1:15" ht="27.6">
      <c r="A1120" t="s">
        <v>1845</v>
      </c>
      <c r="B1120" t="s">
        <v>661</v>
      </c>
      <c r="C1120">
        <v>1083444</v>
      </c>
      <c r="D1120" s="16">
        <v>1083.444</v>
      </c>
      <c r="E1120" t="s">
        <v>719</v>
      </c>
      <c r="F1120" s="16">
        <v>28.2</v>
      </c>
      <c r="G1120" s="16">
        <v>28.2</v>
      </c>
      <c r="H1120" s="16">
        <v>28.2</v>
      </c>
      <c r="I1120" t="s">
        <v>98</v>
      </c>
      <c r="J1120">
        <v>1</v>
      </c>
      <c r="K1120" t="s">
        <v>720</v>
      </c>
      <c r="L1120" t="s">
        <v>571</v>
      </c>
      <c r="M1120">
        <v>0</v>
      </c>
      <c r="N1120" s="3" t="s">
        <v>325</v>
      </c>
      <c r="O1120" s="3"/>
    </row>
    <row r="1121" spans="1:15" ht="27.6">
      <c r="A1121" t="s">
        <v>1846</v>
      </c>
      <c r="B1121" t="s">
        <v>661</v>
      </c>
      <c r="C1121">
        <v>1083444</v>
      </c>
      <c r="D1121" s="16">
        <v>1083.444</v>
      </c>
      <c r="E1121" t="s">
        <v>722</v>
      </c>
      <c r="F1121" s="16">
        <v>72.5</v>
      </c>
      <c r="G1121" s="16">
        <v>72.5</v>
      </c>
      <c r="H1121" s="16">
        <v>72.5</v>
      </c>
      <c r="I1121" t="s">
        <v>140</v>
      </c>
      <c r="J1121">
        <v>1</v>
      </c>
      <c r="K1121" t="s">
        <v>720</v>
      </c>
      <c r="L1121" t="s">
        <v>571</v>
      </c>
      <c r="M1121">
        <v>0</v>
      </c>
      <c r="N1121" s="3" t="s">
        <v>325</v>
      </c>
      <c r="O1121" s="3"/>
    </row>
    <row r="1122" spans="1:15" ht="27.6">
      <c r="A1122" t="s">
        <v>1847</v>
      </c>
      <c r="B1122" t="s">
        <v>661</v>
      </c>
      <c r="C1122">
        <v>1083444</v>
      </c>
      <c r="D1122" s="16">
        <v>1083.444</v>
      </c>
      <c r="E1122" t="s">
        <v>724</v>
      </c>
      <c r="F1122" s="16">
        <v>-1.1000000000000001</v>
      </c>
      <c r="G1122" s="16">
        <v>1.1000000000000001</v>
      </c>
      <c r="H1122" s="16">
        <v>1.1000000000000001</v>
      </c>
      <c r="I1122" t="s">
        <v>125</v>
      </c>
      <c r="J1122">
        <v>1</v>
      </c>
      <c r="K1122" t="s">
        <v>725</v>
      </c>
      <c r="L1122" t="s">
        <v>571</v>
      </c>
      <c r="M1122">
        <v>0</v>
      </c>
      <c r="N1122" s="3" t="s">
        <v>325</v>
      </c>
      <c r="O1122" s="3"/>
    </row>
    <row r="1123" spans="1:15" ht="27.6">
      <c r="A1123" t="s">
        <v>1848</v>
      </c>
      <c r="B1123" t="s">
        <v>661</v>
      </c>
      <c r="C1123">
        <v>1083444</v>
      </c>
      <c r="D1123" s="16">
        <v>1083.444</v>
      </c>
      <c r="E1123" t="s">
        <v>727</v>
      </c>
      <c r="F1123" s="16">
        <v>1</v>
      </c>
      <c r="G1123" s="16">
        <v>1</v>
      </c>
      <c r="H1123" s="16">
        <v>1</v>
      </c>
      <c r="I1123" t="s">
        <v>728</v>
      </c>
      <c r="J1123">
        <v>1</v>
      </c>
      <c r="K1123" t="s">
        <v>720</v>
      </c>
      <c r="L1123" t="s">
        <v>571</v>
      </c>
      <c r="M1123">
        <v>0</v>
      </c>
      <c r="N1123" s="3" t="s">
        <v>325</v>
      </c>
      <c r="O1123" s="3"/>
    </row>
    <row r="1124" spans="1:15" ht="27.6">
      <c r="A1124" t="s">
        <v>1849</v>
      </c>
      <c r="B1124" t="s">
        <v>661</v>
      </c>
      <c r="C1124">
        <v>1083444</v>
      </c>
      <c r="D1124" s="16">
        <v>1083.444</v>
      </c>
      <c r="E1124" t="s">
        <v>730</v>
      </c>
      <c r="F1124" s="16">
        <v>81.332999999999998</v>
      </c>
      <c r="G1124" s="16">
        <v>0.81333</v>
      </c>
      <c r="H1124" s="16">
        <v>0.81333</v>
      </c>
      <c r="I1124" t="s">
        <v>107</v>
      </c>
      <c r="J1124">
        <v>1</v>
      </c>
      <c r="K1124" t="s">
        <v>761</v>
      </c>
      <c r="L1124" t="s">
        <v>571</v>
      </c>
      <c r="M1124">
        <v>0</v>
      </c>
      <c r="N1124" s="3" t="s">
        <v>325</v>
      </c>
      <c r="O1124" s="3"/>
    </row>
    <row r="1125" spans="1:15" ht="27.6">
      <c r="A1125" t="s">
        <v>1850</v>
      </c>
      <c r="B1125" t="s">
        <v>662</v>
      </c>
      <c r="C1125">
        <v>1088444</v>
      </c>
      <c r="D1125" s="16">
        <v>1088.444</v>
      </c>
      <c r="E1125" t="s">
        <v>719</v>
      </c>
      <c r="F1125" s="16">
        <v>28.1</v>
      </c>
      <c r="G1125" s="16">
        <v>28.1</v>
      </c>
      <c r="H1125" s="16">
        <v>28.1</v>
      </c>
      <c r="I1125" t="s">
        <v>98</v>
      </c>
      <c r="J1125">
        <v>1</v>
      </c>
      <c r="K1125" t="s">
        <v>720</v>
      </c>
      <c r="L1125" t="s">
        <v>571</v>
      </c>
      <c r="M1125">
        <v>0</v>
      </c>
      <c r="N1125" s="3" t="s">
        <v>325</v>
      </c>
      <c r="O1125" s="3"/>
    </row>
    <row r="1126" spans="1:15" ht="27.6">
      <c r="A1126" t="s">
        <v>1851</v>
      </c>
      <c r="B1126" t="s">
        <v>662</v>
      </c>
      <c r="C1126">
        <v>1088444</v>
      </c>
      <c r="D1126" s="16">
        <v>1088.444</v>
      </c>
      <c r="E1126" t="s">
        <v>722</v>
      </c>
      <c r="F1126" s="16">
        <v>72.3</v>
      </c>
      <c r="G1126" s="16">
        <v>72.3</v>
      </c>
      <c r="H1126" s="16">
        <v>72.3</v>
      </c>
      <c r="I1126" t="s">
        <v>140</v>
      </c>
      <c r="J1126">
        <v>1</v>
      </c>
      <c r="K1126" t="s">
        <v>720</v>
      </c>
      <c r="L1126" t="s">
        <v>571</v>
      </c>
      <c r="M1126">
        <v>0</v>
      </c>
      <c r="N1126" s="3" t="s">
        <v>325</v>
      </c>
      <c r="O1126" s="3"/>
    </row>
    <row r="1127" spans="1:15" ht="27.6">
      <c r="A1127" t="s">
        <v>1852</v>
      </c>
      <c r="B1127" t="s">
        <v>662</v>
      </c>
      <c r="C1127">
        <v>1088444</v>
      </c>
      <c r="D1127" s="16">
        <v>1088.444</v>
      </c>
      <c r="E1127" t="s">
        <v>724</v>
      </c>
      <c r="F1127" s="16">
        <v>-1.6</v>
      </c>
      <c r="G1127" s="16">
        <v>1.6</v>
      </c>
      <c r="H1127" s="16">
        <v>1.6</v>
      </c>
      <c r="I1127" t="s">
        <v>125</v>
      </c>
      <c r="J1127">
        <v>1</v>
      </c>
      <c r="K1127" t="s">
        <v>725</v>
      </c>
      <c r="L1127" t="s">
        <v>571</v>
      </c>
      <c r="M1127">
        <v>0</v>
      </c>
      <c r="N1127" s="3" t="s">
        <v>325</v>
      </c>
      <c r="O1127" s="3"/>
    </row>
    <row r="1128" spans="1:15" ht="27.6">
      <c r="A1128" t="s">
        <v>1853</v>
      </c>
      <c r="B1128" t="s">
        <v>662</v>
      </c>
      <c r="C1128">
        <v>1088444</v>
      </c>
      <c r="D1128" s="16">
        <v>1088.444</v>
      </c>
      <c r="E1128" t="s">
        <v>727</v>
      </c>
      <c r="F1128" s="16">
        <v>1</v>
      </c>
      <c r="G1128" s="16">
        <v>1</v>
      </c>
      <c r="H1128" s="16">
        <v>1</v>
      </c>
      <c r="I1128" t="s">
        <v>728</v>
      </c>
      <c r="J1128">
        <v>1</v>
      </c>
      <c r="K1128" t="s">
        <v>720</v>
      </c>
      <c r="L1128" t="s">
        <v>571</v>
      </c>
      <c r="M1128">
        <v>0</v>
      </c>
      <c r="N1128" s="3" t="s">
        <v>325</v>
      </c>
      <c r="O1128" s="3"/>
    </row>
    <row r="1129" spans="1:15" ht="27.6">
      <c r="A1129" t="s">
        <v>1854</v>
      </c>
      <c r="B1129" t="s">
        <v>662</v>
      </c>
      <c r="C1129">
        <v>1088444</v>
      </c>
      <c r="D1129" s="16">
        <v>1088.444</v>
      </c>
      <c r="E1129" t="s">
        <v>730</v>
      </c>
      <c r="F1129" s="16">
        <v>83.066999999999993</v>
      </c>
      <c r="G1129" s="16">
        <v>0.83066999999999991</v>
      </c>
      <c r="H1129" s="16">
        <v>0.83066999999999991</v>
      </c>
      <c r="I1129" t="s">
        <v>107</v>
      </c>
      <c r="J1129">
        <v>1</v>
      </c>
      <c r="K1129" t="s">
        <v>761</v>
      </c>
      <c r="L1129" t="s">
        <v>571</v>
      </c>
      <c r="M1129">
        <v>0</v>
      </c>
      <c r="N1129" s="3" t="s">
        <v>325</v>
      </c>
      <c r="O1129" s="3"/>
    </row>
    <row r="1130" spans="1:15">
      <c r="A1130" t="s">
        <v>1855</v>
      </c>
      <c r="B1130" t="s">
        <v>663</v>
      </c>
      <c r="C1130">
        <v>1093443</v>
      </c>
      <c r="D1130" s="16">
        <v>1093.443</v>
      </c>
      <c r="E1130" t="s">
        <v>719</v>
      </c>
      <c r="F1130" s="16">
        <v>28.1</v>
      </c>
      <c r="G1130" s="16">
        <v>28.1</v>
      </c>
      <c r="H1130" s="16">
        <v>28.1</v>
      </c>
      <c r="I1130" t="s">
        <v>98</v>
      </c>
      <c r="J1130">
        <v>1</v>
      </c>
      <c r="K1130" t="s">
        <v>720</v>
      </c>
      <c r="L1130" t="s">
        <v>571</v>
      </c>
      <c r="M1130">
        <v>0</v>
      </c>
      <c r="N1130" s="3" t="s">
        <v>619</v>
      </c>
      <c r="O1130" s="3"/>
    </row>
    <row r="1131" spans="1:15">
      <c r="A1131" t="s">
        <v>1856</v>
      </c>
      <c r="B1131" t="s">
        <v>663</v>
      </c>
      <c r="C1131">
        <v>1093443</v>
      </c>
      <c r="D1131" s="16">
        <v>1093.443</v>
      </c>
      <c r="E1131" t="s">
        <v>722</v>
      </c>
      <c r="F1131" s="16">
        <v>71.8</v>
      </c>
      <c r="G1131" s="16">
        <v>71.8</v>
      </c>
      <c r="H1131" s="16">
        <v>71.8</v>
      </c>
      <c r="I1131" t="s">
        <v>140</v>
      </c>
      <c r="J1131">
        <v>1</v>
      </c>
      <c r="K1131" t="s">
        <v>720</v>
      </c>
      <c r="L1131" t="s">
        <v>571</v>
      </c>
      <c r="M1131">
        <v>0</v>
      </c>
      <c r="N1131" s="3" t="s">
        <v>619</v>
      </c>
      <c r="O1131" s="3"/>
    </row>
    <row r="1132" spans="1:15">
      <c r="A1132" t="s">
        <v>1857</v>
      </c>
      <c r="B1132" t="s">
        <v>663</v>
      </c>
      <c r="C1132">
        <v>1093443</v>
      </c>
      <c r="D1132" s="16">
        <v>1093.443</v>
      </c>
      <c r="E1132" t="s">
        <v>724</v>
      </c>
      <c r="F1132" s="16">
        <v>4.2</v>
      </c>
      <c r="G1132" s="16">
        <v>4.2</v>
      </c>
      <c r="H1132" s="16">
        <v>4.2</v>
      </c>
      <c r="I1132" t="s">
        <v>125</v>
      </c>
      <c r="J1132">
        <v>1</v>
      </c>
      <c r="K1132" t="s">
        <v>720</v>
      </c>
      <c r="L1132" t="s">
        <v>571</v>
      </c>
      <c r="M1132">
        <v>0</v>
      </c>
      <c r="N1132" s="3" t="s">
        <v>619</v>
      </c>
      <c r="O1132" s="3"/>
    </row>
    <row r="1133" spans="1:15">
      <c r="A1133" t="s">
        <v>1858</v>
      </c>
      <c r="B1133" t="s">
        <v>663</v>
      </c>
      <c r="C1133">
        <v>1093443</v>
      </c>
      <c r="D1133" s="16">
        <v>1093.443</v>
      </c>
      <c r="E1133" t="s">
        <v>727</v>
      </c>
      <c r="F1133" s="16">
        <v>1</v>
      </c>
      <c r="G1133" s="16">
        <v>1</v>
      </c>
      <c r="H1133" s="16">
        <v>1</v>
      </c>
      <c r="I1133" t="s">
        <v>728</v>
      </c>
      <c r="J1133">
        <v>1</v>
      </c>
      <c r="K1133" t="s">
        <v>720</v>
      </c>
      <c r="L1133" t="s">
        <v>571</v>
      </c>
      <c r="M1133">
        <v>0</v>
      </c>
      <c r="N1133" s="3" t="s">
        <v>619</v>
      </c>
      <c r="O1133" s="3"/>
    </row>
    <row r="1134" spans="1:15">
      <c r="A1134" t="s">
        <v>1859</v>
      </c>
      <c r="B1134" t="s">
        <v>663</v>
      </c>
      <c r="C1134">
        <v>1093443</v>
      </c>
      <c r="D1134" s="16">
        <v>1093.443</v>
      </c>
      <c r="E1134" t="s">
        <v>730</v>
      </c>
      <c r="F1134" s="16">
        <v>81.787000000000006</v>
      </c>
      <c r="G1134" s="16">
        <v>0.8178700000000001</v>
      </c>
      <c r="H1134" s="16">
        <v>0.8178700000000001</v>
      </c>
      <c r="I1134" t="s">
        <v>107</v>
      </c>
      <c r="J1134">
        <v>1</v>
      </c>
      <c r="K1134" t="s">
        <v>761</v>
      </c>
      <c r="L1134" t="s">
        <v>571</v>
      </c>
      <c r="M1134">
        <v>0</v>
      </c>
      <c r="N1134" s="3" t="s">
        <v>619</v>
      </c>
      <c r="O1134" s="3"/>
    </row>
    <row r="1135" spans="1:15" ht="27.6">
      <c r="A1135" t="s">
        <v>1860</v>
      </c>
      <c r="B1135" t="s">
        <v>664</v>
      </c>
      <c r="C1135">
        <v>1098443</v>
      </c>
      <c r="D1135" s="16">
        <v>1098.443</v>
      </c>
      <c r="E1135" t="s">
        <v>719</v>
      </c>
      <c r="F1135" s="16">
        <v>28</v>
      </c>
      <c r="G1135" s="16">
        <v>28</v>
      </c>
      <c r="H1135" s="16">
        <v>28</v>
      </c>
      <c r="I1135" t="s">
        <v>98</v>
      </c>
      <c r="J1135">
        <v>1</v>
      </c>
      <c r="K1135" t="s">
        <v>720</v>
      </c>
      <c r="L1135" t="s">
        <v>571</v>
      </c>
      <c r="M1135">
        <v>0</v>
      </c>
      <c r="N1135" s="3" t="s">
        <v>325</v>
      </c>
      <c r="O1135" s="3"/>
    </row>
    <row r="1136" spans="1:15" ht="27.6">
      <c r="A1136" t="s">
        <v>1861</v>
      </c>
      <c r="B1136" t="s">
        <v>664</v>
      </c>
      <c r="C1136">
        <v>1098443</v>
      </c>
      <c r="D1136" s="16">
        <v>1098.443</v>
      </c>
      <c r="E1136" t="s">
        <v>722</v>
      </c>
      <c r="F1136" s="16">
        <v>71.599999999999994</v>
      </c>
      <c r="G1136" s="16">
        <v>71.599999999999994</v>
      </c>
      <c r="H1136" s="16">
        <v>71.599999999999994</v>
      </c>
      <c r="I1136" t="s">
        <v>140</v>
      </c>
      <c r="J1136">
        <v>1</v>
      </c>
      <c r="K1136" t="s">
        <v>720</v>
      </c>
      <c r="L1136" t="s">
        <v>571</v>
      </c>
      <c r="M1136">
        <v>0</v>
      </c>
      <c r="N1136" s="3" t="s">
        <v>325</v>
      </c>
      <c r="O1136" s="3"/>
    </row>
    <row r="1137" spans="1:15" ht="27.6">
      <c r="A1137" t="s">
        <v>1862</v>
      </c>
      <c r="B1137" t="s">
        <v>664</v>
      </c>
      <c r="C1137">
        <v>1098443</v>
      </c>
      <c r="D1137" s="16">
        <v>1098.443</v>
      </c>
      <c r="E1137" t="s">
        <v>724</v>
      </c>
      <c r="F1137" s="16">
        <v>-2.4</v>
      </c>
      <c r="G1137" s="16">
        <v>2.4</v>
      </c>
      <c r="H1137" s="16">
        <v>2.4</v>
      </c>
      <c r="I1137" t="s">
        <v>125</v>
      </c>
      <c r="J1137">
        <v>1</v>
      </c>
      <c r="K1137" t="s">
        <v>725</v>
      </c>
      <c r="L1137" t="s">
        <v>571</v>
      </c>
      <c r="M1137">
        <v>0</v>
      </c>
      <c r="N1137" s="3" t="s">
        <v>325</v>
      </c>
      <c r="O1137" s="3"/>
    </row>
    <row r="1138" spans="1:15" ht="27.6">
      <c r="A1138" t="s">
        <v>1863</v>
      </c>
      <c r="B1138" t="s">
        <v>664</v>
      </c>
      <c r="C1138">
        <v>1098443</v>
      </c>
      <c r="D1138" s="16">
        <v>1098.443</v>
      </c>
      <c r="E1138" t="s">
        <v>727</v>
      </c>
      <c r="F1138" s="16">
        <v>1</v>
      </c>
      <c r="G1138" s="16">
        <v>1</v>
      </c>
      <c r="H1138" s="16">
        <v>1</v>
      </c>
      <c r="I1138" t="s">
        <v>728</v>
      </c>
      <c r="J1138">
        <v>1</v>
      </c>
      <c r="K1138" t="s">
        <v>720</v>
      </c>
      <c r="L1138" t="s">
        <v>571</v>
      </c>
      <c r="M1138">
        <v>0</v>
      </c>
      <c r="N1138" s="3" t="s">
        <v>325</v>
      </c>
      <c r="O1138" s="3"/>
    </row>
    <row r="1139" spans="1:15" ht="27.6">
      <c r="A1139" t="s">
        <v>1864</v>
      </c>
      <c r="B1139" t="s">
        <v>664</v>
      </c>
      <c r="C1139">
        <v>1098443</v>
      </c>
      <c r="D1139" s="16">
        <v>1098.443</v>
      </c>
      <c r="E1139" t="s">
        <v>730</v>
      </c>
      <c r="F1139" s="16">
        <v>82.186999999999998</v>
      </c>
      <c r="G1139" s="16">
        <v>0.82186999999999999</v>
      </c>
      <c r="H1139" s="16">
        <v>0.82186999999999999</v>
      </c>
      <c r="I1139" t="s">
        <v>107</v>
      </c>
      <c r="J1139">
        <v>1</v>
      </c>
      <c r="K1139" t="s">
        <v>761</v>
      </c>
      <c r="L1139" t="s">
        <v>571</v>
      </c>
      <c r="M1139">
        <v>0</v>
      </c>
      <c r="N1139" s="3" t="s">
        <v>325</v>
      </c>
      <c r="O1139" s="3"/>
    </row>
    <row r="1140" spans="1:15" ht="27.6">
      <c r="A1140" t="s">
        <v>1865</v>
      </c>
      <c r="B1140" t="s">
        <v>666</v>
      </c>
      <c r="C1140">
        <v>1103461</v>
      </c>
      <c r="D1140" s="16">
        <v>1103.461</v>
      </c>
      <c r="E1140" t="s">
        <v>719</v>
      </c>
      <c r="F1140" s="16">
        <v>27.9</v>
      </c>
      <c r="G1140" s="16">
        <v>27.9</v>
      </c>
      <c r="H1140" s="16">
        <v>27.9</v>
      </c>
      <c r="I1140" t="s">
        <v>98</v>
      </c>
      <c r="J1140">
        <v>1</v>
      </c>
      <c r="K1140" t="s">
        <v>720</v>
      </c>
      <c r="L1140" t="s">
        <v>604</v>
      </c>
      <c r="M1140">
        <v>0</v>
      </c>
      <c r="N1140" s="3" t="s">
        <v>325</v>
      </c>
      <c r="O1140" s="3"/>
    </row>
    <row r="1141" spans="1:15" ht="27.6">
      <c r="A1141" t="s">
        <v>1866</v>
      </c>
      <c r="B1141" t="s">
        <v>666</v>
      </c>
      <c r="C1141">
        <v>1103461</v>
      </c>
      <c r="D1141" s="16">
        <v>1103.461</v>
      </c>
      <c r="E1141" t="s">
        <v>722</v>
      </c>
      <c r="F1141" s="16">
        <v>71.5</v>
      </c>
      <c r="G1141" s="16">
        <v>71.5</v>
      </c>
      <c r="H1141" s="16">
        <v>71.5</v>
      </c>
      <c r="I1141" t="s">
        <v>140</v>
      </c>
      <c r="J1141">
        <v>1</v>
      </c>
      <c r="K1141" t="s">
        <v>720</v>
      </c>
      <c r="L1141" t="s">
        <v>604</v>
      </c>
      <c r="M1141">
        <v>0</v>
      </c>
      <c r="N1141" s="3" t="s">
        <v>325</v>
      </c>
      <c r="O1141" s="3"/>
    </row>
    <row r="1142" spans="1:15" ht="27.6">
      <c r="A1142" t="s">
        <v>1867</v>
      </c>
      <c r="B1142" t="s">
        <v>666</v>
      </c>
      <c r="C1142">
        <v>1103461</v>
      </c>
      <c r="D1142" s="16">
        <v>1103.461</v>
      </c>
      <c r="E1142" t="s">
        <v>724</v>
      </c>
      <c r="F1142" s="16">
        <v>-2.2999999999999998</v>
      </c>
      <c r="G1142" s="16">
        <v>2.2999999999999998</v>
      </c>
      <c r="H1142" s="16">
        <v>2.2999999999999998</v>
      </c>
      <c r="I1142" t="s">
        <v>125</v>
      </c>
      <c r="J1142">
        <v>1</v>
      </c>
      <c r="K1142" t="s">
        <v>725</v>
      </c>
      <c r="L1142" t="s">
        <v>604</v>
      </c>
      <c r="M1142">
        <v>0</v>
      </c>
      <c r="N1142" s="3" t="s">
        <v>325</v>
      </c>
      <c r="O1142" s="3"/>
    </row>
    <row r="1143" spans="1:15" ht="27.6">
      <c r="A1143" t="s">
        <v>1868</v>
      </c>
      <c r="B1143" t="s">
        <v>666</v>
      </c>
      <c r="C1143">
        <v>1103461</v>
      </c>
      <c r="D1143" s="16">
        <v>1103.461</v>
      </c>
      <c r="E1143" t="s">
        <v>727</v>
      </c>
      <c r="F1143" s="16">
        <v>1</v>
      </c>
      <c r="G1143" s="16">
        <v>1</v>
      </c>
      <c r="H1143" s="16">
        <v>1</v>
      </c>
      <c r="I1143" t="s">
        <v>728</v>
      </c>
      <c r="J1143">
        <v>1</v>
      </c>
      <c r="K1143" t="s">
        <v>720</v>
      </c>
      <c r="L1143" t="s">
        <v>604</v>
      </c>
      <c r="M1143">
        <v>0</v>
      </c>
      <c r="N1143" s="3" t="s">
        <v>325</v>
      </c>
      <c r="O1143" s="3"/>
    </row>
    <row r="1144" spans="1:15" ht="27.6">
      <c r="A1144" t="s">
        <v>1869</v>
      </c>
      <c r="B1144" t="s">
        <v>666</v>
      </c>
      <c r="C1144">
        <v>1103461</v>
      </c>
      <c r="D1144" s="16">
        <v>1103.461</v>
      </c>
      <c r="E1144" t="s">
        <v>730</v>
      </c>
      <c r="F1144" s="16">
        <v>80.906999999999996</v>
      </c>
      <c r="G1144" s="16">
        <v>0.80906999999999996</v>
      </c>
      <c r="H1144" s="16">
        <v>0.80906999999999996</v>
      </c>
      <c r="I1144" t="s">
        <v>107</v>
      </c>
      <c r="J1144">
        <v>1</v>
      </c>
      <c r="K1144" t="s">
        <v>761</v>
      </c>
      <c r="L1144" t="s">
        <v>604</v>
      </c>
      <c r="M1144">
        <v>0</v>
      </c>
      <c r="N1144" s="3" t="s">
        <v>325</v>
      </c>
      <c r="O1144" s="3"/>
    </row>
    <row r="1145" spans="1:15">
      <c r="A1145" t="s">
        <v>1870</v>
      </c>
      <c r="B1145" t="s">
        <v>667</v>
      </c>
      <c r="C1145">
        <v>1108444</v>
      </c>
      <c r="D1145" s="16">
        <v>1108.444</v>
      </c>
      <c r="E1145" t="s">
        <v>719</v>
      </c>
      <c r="F1145" s="16">
        <v>27.9</v>
      </c>
      <c r="G1145" s="16">
        <v>27.9</v>
      </c>
      <c r="H1145" s="16">
        <v>27.9</v>
      </c>
      <c r="I1145" t="s">
        <v>98</v>
      </c>
      <c r="J1145">
        <v>1</v>
      </c>
      <c r="K1145" t="s">
        <v>720</v>
      </c>
      <c r="L1145" t="s">
        <v>604</v>
      </c>
      <c r="M1145">
        <v>0</v>
      </c>
      <c r="N1145" s="3" t="s">
        <v>238</v>
      </c>
      <c r="O1145" s="3"/>
    </row>
    <row r="1146" spans="1:15">
      <c r="A1146" t="s">
        <v>1871</v>
      </c>
      <c r="B1146" t="s">
        <v>667</v>
      </c>
      <c r="C1146">
        <v>1108444</v>
      </c>
      <c r="D1146" s="16">
        <v>1108.444</v>
      </c>
      <c r="E1146" t="s">
        <v>722</v>
      </c>
      <c r="F1146" s="16">
        <v>73.3</v>
      </c>
      <c r="G1146" s="16">
        <v>73.3</v>
      </c>
      <c r="H1146" s="16">
        <v>73.3</v>
      </c>
      <c r="I1146" t="s">
        <v>140</v>
      </c>
      <c r="J1146">
        <v>1</v>
      </c>
      <c r="K1146" t="s">
        <v>720</v>
      </c>
      <c r="L1146" t="s">
        <v>604</v>
      </c>
      <c r="M1146">
        <v>0</v>
      </c>
      <c r="N1146" s="3" t="s">
        <v>238</v>
      </c>
      <c r="O1146" s="3"/>
    </row>
    <row r="1147" spans="1:15">
      <c r="A1147" t="s">
        <v>1872</v>
      </c>
      <c r="B1147" t="s">
        <v>667</v>
      </c>
      <c r="C1147">
        <v>1108444</v>
      </c>
      <c r="D1147" s="16">
        <v>1108.444</v>
      </c>
      <c r="E1147" t="s">
        <v>724</v>
      </c>
      <c r="F1147" s="16">
        <v>-2</v>
      </c>
      <c r="G1147" s="16">
        <v>2</v>
      </c>
      <c r="H1147" s="16">
        <v>2</v>
      </c>
      <c r="I1147" t="s">
        <v>125</v>
      </c>
      <c r="J1147">
        <v>1</v>
      </c>
      <c r="K1147" t="s">
        <v>725</v>
      </c>
      <c r="L1147" t="s">
        <v>604</v>
      </c>
      <c r="M1147">
        <v>0</v>
      </c>
      <c r="N1147" s="3" t="s">
        <v>238</v>
      </c>
      <c r="O1147" s="3"/>
    </row>
    <row r="1148" spans="1:15">
      <c r="A1148" t="s">
        <v>1873</v>
      </c>
      <c r="B1148" t="s">
        <v>667</v>
      </c>
      <c r="C1148">
        <v>1108444</v>
      </c>
      <c r="D1148" s="16">
        <v>1108.444</v>
      </c>
      <c r="E1148" t="s">
        <v>727</v>
      </c>
      <c r="F1148" s="16">
        <v>1</v>
      </c>
      <c r="G1148" s="16">
        <v>1</v>
      </c>
      <c r="H1148" s="16">
        <v>1</v>
      </c>
      <c r="I1148" t="s">
        <v>728</v>
      </c>
      <c r="J1148">
        <v>1</v>
      </c>
      <c r="K1148" t="s">
        <v>720</v>
      </c>
      <c r="L1148" t="s">
        <v>604</v>
      </c>
      <c r="M1148">
        <v>0</v>
      </c>
      <c r="N1148" s="3" t="s">
        <v>238</v>
      </c>
      <c r="O1148" s="3"/>
    </row>
    <row r="1149" spans="1:15">
      <c r="A1149" t="s">
        <v>1874</v>
      </c>
      <c r="B1149" t="s">
        <v>667</v>
      </c>
      <c r="C1149">
        <v>1108444</v>
      </c>
      <c r="D1149" s="16">
        <v>1108.444</v>
      </c>
      <c r="E1149" t="s">
        <v>730</v>
      </c>
      <c r="F1149" s="16">
        <v>0.107</v>
      </c>
      <c r="G1149" s="16">
        <v>0.107</v>
      </c>
      <c r="H1149" s="16">
        <v>0.107</v>
      </c>
      <c r="I1149" t="s">
        <v>107</v>
      </c>
      <c r="J1149">
        <v>1</v>
      </c>
      <c r="K1149" t="s">
        <v>720</v>
      </c>
      <c r="L1149" t="s">
        <v>604</v>
      </c>
      <c r="M1149">
        <v>0</v>
      </c>
      <c r="N1149" s="3" t="s">
        <v>238</v>
      </c>
      <c r="O1149" s="3"/>
    </row>
    <row r="1150" spans="1:15">
      <c r="A1150" t="s">
        <v>1875</v>
      </c>
      <c r="B1150" t="s">
        <v>669</v>
      </c>
      <c r="C1150">
        <v>1113458</v>
      </c>
      <c r="D1150" s="16">
        <v>1113.4580000000001</v>
      </c>
      <c r="E1150" t="s">
        <v>719</v>
      </c>
      <c r="F1150" s="16">
        <v>28</v>
      </c>
      <c r="G1150" s="16">
        <v>28</v>
      </c>
      <c r="H1150" s="16">
        <v>28</v>
      </c>
      <c r="I1150" t="s">
        <v>98</v>
      </c>
      <c r="J1150">
        <v>1</v>
      </c>
      <c r="K1150" t="s">
        <v>720</v>
      </c>
      <c r="L1150" t="s">
        <v>610</v>
      </c>
      <c r="M1150">
        <v>0</v>
      </c>
      <c r="N1150" s="3" t="s">
        <v>238</v>
      </c>
      <c r="O1150" s="3"/>
    </row>
    <row r="1151" spans="1:15">
      <c r="A1151" t="s">
        <v>1876</v>
      </c>
      <c r="B1151" t="s">
        <v>669</v>
      </c>
      <c r="C1151">
        <v>1113458</v>
      </c>
      <c r="D1151" s="16">
        <v>1113.4580000000001</v>
      </c>
      <c r="E1151" t="s">
        <v>722</v>
      </c>
      <c r="F1151" s="16">
        <v>78.7</v>
      </c>
      <c r="G1151" s="16">
        <v>78.7</v>
      </c>
      <c r="H1151" s="16">
        <v>78.7</v>
      </c>
      <c r="I1151" t="s">
        <v>140</v>
      </c>
      <c r="J1151">
        <v>1</v>
      </c>
      <c r="K1151" t="s">
        <v>720</v>
      </c>
      <c r="L1151" t="s">
        <v>610</v>
      </c>
      <c r="M1151">
        <v>0</v>
      </c>
      <c r="N1151" s="3" t="s">
        <v>238</v>
      </c>
      <c r="O1151" s="3"/>
    </row>
    <row r="1152" spans="1:15">
      <c r="A1152" t="s">
        <v>1877</v>
      </c>
      <c r="B1152" t="s">
        <v>669</v>
      </c>
      <c r="C1152">
        <v>1113458</v>
      </c>
      <c r="D1152" s="16">
        <v>1113.4580000000001</v>
      </c>
      <c r="E1152" t="s">
        <v>724</v>
      </c>
      <c r="F1152" s="16">
        <v>-2.1</v>
      </c>
      <c r="G1152" s="16">
        <v>2.1</v>
      </c>
      <c r="H1152" s="16">
        <v>2.1</v>
      </c>
      <c r="I1152" t="s">
        <v>125</v>
      </c>
      <c r="J1152">
        <v>1</v>
      </c>
      <c r="K1152" t="s">
        <v>725</v>
      </c>
      <c r="L1152" t="s">
        <v>610</v>
      </c>
      <c r="M1152">
        <v>0</v>
      </c>
      <c r="N1152" s="3" t="s">
        <v>238</v>
      </c>
      <c r="O1152" s="3"/>
    </row>
    <row r="1153" spans="1:15">
      <c r="A1153" t="s">
        <v>1878</v>
      </c>
      <c r="B1153" t="s">
        <v>669</v>
      </c>
      <c r="C1153">
        <v>1113458</v>
      </c>
      <c r="D1153" s="16">
        <v>1113.4580000000001</v>
      </c>
      <c r="E1153" t="s">
        <v>727</v>
      </c>
      <c r="F1153" s="16">
        <v>1</v>
      </c>
      <c r="G1153" s="16">
        <v>1</v>
      </c>
      <c r="H1153" s="16">
        <v>1</v>
      </c>
      <c r="I1153" t="s">
        <v>728</v>
      </c>
      <c r="J1153">
        <v>1</v>
      </c>
      <c r="K1153" t="s">
        <v>720</v>
      </c>
      <c r="L1153" t="s">
        <v>610</v>
      </c>
      <c r="M1153">
        <v>0</v>
      </c>
      <c r="N1153" s="3" t="s">
        <v>238</v>
      </c>
      <c r="O1153" s="3"/>
    </row>
    <row r="1154" spans="1:15">
      <c r="A1154" t="s">
        <v>1879</v>
      </c>
      <c r="B1154" t="s">
        <v>669</v>
      </c>
      <c r="C1154">
        <v>1113458</v>
      </c>
      <c r="D1154" s="16">
        <v>1113.4580000000001</v>
      </c>
      <c r="E1154" t="s">
        <v>730</v>
      </c>
      <c r="F1154" s="16">
        <v>0</v>
      </c>
      <c r="G1154" s="16">
        <v>0</v>
      </c>
      <c r="H1154" s="16">
        <v>0</v>
      </c>
      <c r="I1154" t="s">
        <v>107</v>
      </c>
      <c r="J1154">
        <v>1</v>
      </c>
      <c r="K1154" t="s">
        <v>720</v>
      </c>
      <c r="L1154" t="s">
        <v>610</v>
      </c>
      <c r="M1154">
        <v>0</v>
      </c>
      <c r="N1154" s="3" t="s">
        <v>238</v>
      </c>
      <c r="O1154" s="3"/>
    </row>
    <row r="1155" spans="1:15">
      <c r="A1155" t="s">
        <v>1880</v>
      </c>
      <c r="B1155" t="s">
        <v>670</v>
      </c>
      <c r="C1155">
        <v>1118443</v>
      </c>
      <c r="D1155" s="16">
        <v>1118.443</v>
      </c>
      <c r="E1155" t="s">
        <v>719</v>
      </c>
      <c r="F1155" s="16">
        <v>28</v>
      </c>
      <c r="G1155" s="16">
        <v>28</v>
      </c>
      <c r="H1155" s="16">
        <v>28</v>
      </c>
      <c r="I1155" t="s">
        <v>98</v>
      </c>
      <c r="J1155">
        <v>1</v>
      </c>
      <c r="K1155" t="s">
        <v>720</v>
      </c>
      <c r="L1155" t="s">
        <v>385</v>
      </c>
      <c r="M1155">
        <v>0</v>
      </c>
      <c r="N1155" s="3" t="s">
        <v>238</v>
      </c>
      <c r="O1155" s="3" t="s">
        <v>671</v>
      </c>
    </row>
    <row r="1156" spans="1:15">
      <c r="A1156" t="s">
        <v>1881</v>
      </c>
      <c r="B1156" t="s">
        <v>670</v>
      </c>
      <c r="C1156">
        <v>1118443</v>
      </c>
      <c r="D1156" s="16">
        <v>1118.443</v>
      </c>
      <c r="E1156" t="s">
        <v>722</v>
      </c>
      <c r="F1156" s="16">
        <v>79.8</v>
      </c>
      <c r="G1156" s="16">
        <v>79.8</v>
      </c>
      <c r="H1156" s="16">
        <v>79.8</v>
      </c>
      <c r="I1156" t="s">
        <v>140</v>
      </c>
      <c r="J1156">
        <v>1</v>
      </c>
      <c r="K1156" t="s">
        <v>720</v>
      </c>
      <c r="L1156" t="s">
        <v>385</v>
      </c>
      <c r="M1156">
        <v>0</v>
      </c>
      <c r="N1156" s="3" t="s">
        <v>238</v>
      </c>
      <c r="O1156" s="3" t="s">
        <v>671</v>
      </c>
    </row>
    <row r="1157" spans="1:15">
      <c r="A1157" t="s">
        <v>1882</v>
      </c>
      <c r="B1157" t="s">
        <v>670</v>
      </c>
      <c r="C1157">
        <v>1118443</v>
      </c>
      <c r="D1157" s="16">
        <v>1118.443</v>
      </c>
      <c r="E1157" t="s">
        <v>724</v>
      </c>
      <c r="F1157" s="16">
        <v>-2.8</v>
      </c>
      <c r="G1157" s="16">
        <v>2.8</v>
      </c>
      <c r="H1157" s="16">
        <v>2.8</v>
      </c>
      <c r="I1157" t="s">
        <v>125</v>
      </c>
      <c r="J1157">
        <v>1</v>
      </c>
      <c r="K1157" t="s">
        <v>725</v>
      </c>
      <c r="L1157" t="s">
        <v>385</v>
      </c>
      <c r="M1157">
        <v>0</v>
      </c>
      <c r="N1157" s="3" t="s">
        <v>238</v>
      </c>
      <c r="O1157" s="3" t="s">
        <v>671</v>
      </c>
    </row>
    <row r="1158" spans="1:15">
      <c r="A1158" t="s">
        <v>1883</v>
      </c>
      <c r="B1158" t="s">
        <v>670</v>
      </c>
      <c r="C1158">
        <v>1118443</v>
      </c>
      <c r="D1158" s="16">
        <v>1118.443</v>
      </c>
      <c r="E1158" t="s">
        <v>727</v>
      </c>
      <c r="F1158" s="16">
        <v>1</v>
      </c>
      <c r="G1158" s="16">
        <v>1</v>
      </c>
      <c r="H1158" s="16">
        <v>1</v>
      </c>
      <c r="I1158" t="s">
        <v>728</v>
      </c>
      <c r="J1158">
        <v>1</v>
      </c>
      <c r="K1158" t="s">
        <v>720</v>
      </c>
      <c r="L1158" t="s">
        <v>385</v>
      </c>
      <c r="M1158">
        <v>0</v>
      </c>
      <c r="N1158" s="3" t="s">
        <v>238</v>
      </c>
      <c r="O1158" s="3" t="s">
        <v>671</v>
      </c>
    </row>
    <row r="1159" spans="1:15">
      <c r="A1159" t="s">
        <v>1884</v>
      </c>
      <c r="B1159" t="s">
        <v>670</v>
      </c>
      <c r="C1159">
        <v>1118443</v>
      </c>
      <c r="D1159" s="16">
        <v>1118.443</v>
      </c>
      <c r="E1159" t="s">
        <v>730</v>
      </c>
      <c r="F1159" s="16">
        <v>0</v>
      </c>
      <c r="G1159" s="16">
        <v>0</v>
      </c>
      <c r="H1159" s="16">
        <v>0</v>
      </c>
      <c r="I1159" t="s">
        <v>107</v>
      </c>
      <c r="J1159">
        <v>1</v>
      </c>
      <c r="K1159" t="s">
        <v>720</v>
      </c>
      <c r="L1159" t="s">
        <v>385</v>
      </c>
      <c r="M1159">
        <v>0</v>
      </c>
      <c r="N1159" s="3" t="s">
        <v>238</v>
      </c>
      <c r="O1159" s="3" t="s">
        <v>671</v>
      </c>
    </row>
    <row r="1160" spans="1:15">
      <c r="A1160" t="s">
        <v>1885</v>
      </c>
      <c r="B1160" t="s">
        <v>673</v>
      </c>
      <c r="C1160">
        <v>1123474</v>
      </c>
      <c r="D1160" s="16">
        <v>1123.4739999999999</v>
      </c>
      <c r="E1160" t="s">
        <v>719</v>
      </c>
      <c r="F1160" s="16">
        <v>28.1</v>
      </c>
      <c r="G1160" s="16">
        <v>28.1</v>
      </c>
      <c r="H1160" s="16">
        <v>28.1</v>
      </c>
      <c r="I1160" t="s">
        <v>98</v>
      </c>
      <c r="J1160">
        <v>1</v>
      </c>
      <c r="K1160" t="s">
        <v>720</v>
      </c>
      <c r="L1160" t="s">
        <v>567</v>
      </c>
      <c r="M1160">
        <v>0</v>
      </c>
      <c r="N1160" s="3" t="s">
        <v>238</v>
      </c>
      <c r="O1160" s="3"/>
    </row>
    <row r="1161" spans="1:15">
      <c r="A1161" t="s">
        <v>1886</v>
      </c>
      <c r="B1161" t="s">
        <v>673</v>
      </c>
      <c r="C1161">
        <v>1123474</v>
      </c>
      <c r="D1161" s="16">
        <v>1123.4739999999999</v>
      </c>
      <c r="E1161" t="s">
        <v>722</v>
      </c>
      <c r="F1161" s="16">
        <v>82.2</v>
      </c>
      <c r="G1161" s="16">
        <v>82.2</v>
      </c>
      <c r="H1161" s="16">
        <v>82.2</v>
      </c>
      <c r="I1161" t="s">
        <v>140</v>
      </c>
      <c r="J1161">
        <v>1</v>
      </c>
      <c r="K1161" t="s">
        <v>720</v>
      </c>
      <c r="L1161" t="s">
        <v>567</v>
      </c>
      <c r="M1161">
        <v>0</v>
      </c>
      <c r="N1161" s="3" t="s">
        <v>238</v>
      </c>
      <c r="O1161" s="3"/>
    </row>
    <row r="1162" spans="1:15">
      <c r="A1162" t="s">
        <v>1887</v>
      </c>
      <c r="B1162" t="s">
        <v>673</v>
      </c>
      <c r="C1162">
        <v>1123474</v>
      </c>
      <c r="D1162" s="16">
        <v>1123.4739999999999</v>
      </c>
      <c r="E1162" t="s">
        <v>724</v>
      </c>
      <c r="F1162" s="16">
        <v>-2.9</v>
      </c>
      <c r="G1162" s="16">
        <v>2.9</v>
      </c>
      <c r="H1162" s="16">
        <v>2.9</v>
      </c>
      <c r="I1162" t="s">
        <v>125</v>
      </c>
      <c r="J1162">
        <v>1</v>
      </c>
      <c r="K1162" t="s">
        <v>725</v>
      </c>
      <c r="L1162" t="s">
        <v>567</v>
      </c>
      <c r="M1162">
        <v>0</v>
      </c>
      <c r="N1162" s="3" t="s">
        <v>238</v>
      </c>
      <c r="O1162" s="3"/>
    </row>
    <row r="1163" spans="1:15">
      <c r="A1163" t="s">
        <v>1888</v>
      </c>
      <c r="B1163" t="s">
        <v>673</v>
      </c>
      <c r="C1163">
        <v>1123474</v>
      </c>
      <c r="D1163" s="16">
        <v>1123.4739999999999</v>
      </c>
      <c r="E1163" t="s">
        <v>727</v>
      </c>
      <c r="F1163" s="16">
        <v>1</v>
      </c>
      <c r="G1163" s="16">
        <v>1</v>
      </c>
      <c r="H1163" s="16">
        <v>1</v>
      </c>
      <c r="I1163" t="s">
        <v>728</v>
      </c>
      <c r="J1163">
        <v>1</v>
      </c>
      <c r="K1163" t="s">
        <v>720</v>
      </c>
      <c r="L1163" t="s">
        <v>567</v>
      </c>
      <c r="M1163">
        <v>0</v>
      </c>
      <c r="N1163" s="3" t="s">
        <v>238</v>
      </c>
      <c r="O1163" s="3"/>
    </row>
    <row r="1164" spans="1:15">
      <c r="A1164" t="s">
        <v>1889</v>
      </c>
      <c r="B1164" t="s">
        <v>673</v>
      </c>
      <c r="C1164">
        <v>1123474</v>
      </c>
      <c r="D1164" s="16">
        <v>1123.4739999999999</v>
      </c>
      <c r="E1164" t="s">
        <v>730</v>
      </c>
      <c r="F1164" s="16">
        <v>0</v>
      </c>
      <c r="G1164" s="16">
        <v>0</v>
      </c>
      <c r="H1164" s="16">
        <v>0</v>
      </c>
      <c r="I1164" t="s">
        <v>107</v>
      </c>
      <c r="J1164">
        <v>1</v>
      </c>
      <c r="K1164" t="s">
        <v>720</v>
      </c>
      <c r="L1164" t="s">
        <v>567</v>
      </c>
      <c r="M1164">
        <v>0</v>
      </c>
      <c r="N1164" s="3" t="s">
        <v>238</v>
      </c>
      <c r="O1164" s="3"/>
    </row>
    <row r="1165" spans="1:15">
      <c r="A1165" t="s">
        <v>1890</v>
      </c>
      <c r="B1165" t="s">
        <v>674</v>
      </c>
      <c r="C1165">
        <v>1128474</v>
      </c>
      <c r="D1165" s="16">
        <v>1128.4739999999999</v>
      </c>
      <c r="E1165" t="s">
        <v>719</v>
      </c>
      <c r="F1165" s="16">
        <v>28</v>
      </c>
      <c r="G1165" s="16">
        <v>28</v>
      </c>
      <c r="H1165" s="16">
        <v>28</v>
      </c>
      <c r="I1165" t="s">
        <v>98</v>
      </c>
      <c r="J1165">
        <v>1</v>
      </c>
      <c r="K1165" t="s">
        <v>720</v>
      </c>
      <c r="L1165" t="s">
        <v>571</v>
      </c>
      <c r="M1165">
        <v>0</v>
      </c>
      <c r="N1165" s="3" t="s">
        <v>238</v>
      </c>
      <c r="O1165" s="3"/>
    </row>
    <row r="1166" spans="1:15">
      <c r="A1166" t="s">
        <v>1891</v>
      </c>
      <c r="B1166" t="s">
        <v>674</v>
      </c>
      <c r="C1166">
        <v>1128474</v>
      </c>
      <c r="D1166" s="16">
        <v>1128.4739999999999</v>
      </c>
      <c r="E1166" t="s">
        <v>722</v>
      </c>
      <c r="F1166" s="16">
        <v>83</v>
      </c>
      <c r="G1166" s="16">
        <v>83</v>
      </c>
      <c r="H1166" s="16">
        <v>83</v>
      </c>
      <c r="I1166" t="s">
        <v>140</v>
      </c>
      <c r="J1166">
        <v>1</v>
      </c>
      <c r="K1166" t="s">
        <v>720</v>
      </c>
      <c r="L1166" t="s">
        <v>571</v>
      </c>
      <c r="M1166">
        <v>0</v>
      </c>
      <c r="N1166" s="3" t="s">
        <v>238</v>
      </c>
      <c r="O1166" s="3"/>
    </row>
    <row r="1167" spans="1:15">
      <c r="A1167" t="s">
        <v>1892</v>
      </c>
      <c r="B1167" t="s">
        <v>674</v>
      </c>
      <c r="C1167">
        <v>1128474</v>
      </c>
      <c r="D1167" s="16">
        <v>1128.4739999999999</v>
      </c>
      <c r="E1167" t="s">
        <v>724</v>
      </c>
      <c r="F1167" s="16">
        <v>-3</v>
      </c>
      <c r="G1167" s="16">
        <v>3</v>
      </c>
      <c r="H1167" s="16">
        <v>3</v>
      </c>
      <c r="I1167" t="s">
        <v>125</v>
      </c>
      <c r="J1167">
        <v>1</v>
      </c>
      <c r="K1167" t="s">
        <v>725</v>
      </c>
      <c r="L1167" t="s">
        <v>571</v>
      </c>
      <c r="M1167">
        <v>0</v>
      </c>
      <c r="N1167" s="3" t="s">
        <v>238</v>
      </c>
      <c r="O1167" s="3"/>
    </row>
    <row r="1168" spans="1:15">
      <c r="A1168" t="s">
        <v>1893</v>
      </c>
      <c r="B1168" t="s">
        <v>674</v>
      </c>
      <c r="C1168">
        <v>1128474</v>
      </c>
      <c r="D1168" s="16">
        <v>1128.4739999999999</v>
      </c>
      <c r="E1168" t="s">
        <v>727</v>
      </c>
      <c r="F1168" s="16">
        <v>1</v>
      </c>
      <c r="G1168" s="16">
        <v>1</v>
      </c>
      <c r="H1168" s="16">
        <v>1</v>
      </c>
      <c r="I1168" t="s">
        <v>728</v>
      </c>
      <c r="J1168">
        <v>1</v>
      </c>
      <c r="K1168" t="s">
        <v>720</v>
      </c>
      <c r="L1168" t="s">
        <v>571</v>
      </c>
      <c r="M1168">
        <v>0</v>
      </c>
      <c r="N1168" s="3" t="s">
        <v>238</v>
      </c>
      <c r="O1168" s="3"/>
    </row>
    <row r="1169" spans="1:15">
      <c r="A1169" t="s">
        <v>1894</v>
      </c>
      <c r="B1169" t="s">
        <v>674</v>
      </c>
      <c r="C1169">
        <v>1128474</v>
      </c>
      <c r="D1169" s="16">
        <v>1128.4739999999999</v>
      </c>
      <c r="E1169" t="s">
        <v>730</v>
      </c>
      <c r="F1169" s="16">
        <v>0</v>
      </c>
      <c r="G1169" s="16">
        <v>0</v>
      </c>
      <c r="H1169" s="16">
        <v>0</v>
      </c>
      <c r="I1169" t="s">
        <v>107</v>
      </c>
      <c r="J1169">
        <v>1</v>
      </c>
      <c r="K1169" t="s">
        <v>720</v>
      </c>
      <c r="L1169" t="s">
        <v>571</v>
      </c>
      <c r="M1169">
        <v>0</v>
      </c>
      <c r="N1169" s="3" t="s">
        <v>238</v>
      </c>
      <c r="O1169" s="3"/>
    </row>
    <row r="1170" spans="1:15" ht="41.4">
      <c r="A1170" t="s">
        <v>1895</v>
      </c>
      <c r="B1170" t="s">
        <v>676</v>
      </c>
      <c r="C1170">
        <v>1133517</v>
      </c>
      <c r="D1170" s="16">
        <v>1133.5170000000001</v>
      </c>
      <c r="E1170" t="s">
        <v>719</v>
      </c>
      <c r="F1170" s="16">
        <v>-1</v>
      </c>
      <c r="G1170" s="16"/>
      <c r="H1170" s="16">
        <v>28</v>
      </c>
      <c r="I1170" t="s">
        <v>98</v>
      </c>
      <c r="J1170">
        <v>0</v>
      </c>
      <c r="K1170" t="s">
        <v>1610</v>
      </c>
      <c r="L1170" t="s">
        <v>571</v>
      </c>
      <c r="M1170">
        <v>0</v>
      </c>
      <c r="N1170" s="3" t="s">
        <v>330</v>
      </c>
      <c r="O1170" s="3"/>
    </row>
    <row r="1171" spans="1:15" ht="41.4">
      <c r="A1171" t="s">
        <v>1896</v>
      </c>
      <c r="B1171" t="s">
        <v>676</v>
      </c>
      <c r="C1171">
        <v>1133517</v>
      </c>
      <c r="D1171" s="16">
        <v>1133.5170000000001</v>
      </c>
      <c r="E1171" t="s">
        <v>722</v>
      </c>
      <c r="F1171" s="16">
        <v>-1</v>
      </c>
      <c r="G1171" s="16"/>
      <c r="H1171" s="16">
        <v>83</v>
      </c>
      <c r="I1171" t="s">
        <v>140</v>
      </c>
      <c r="J1171">
        <v>0</v>
      </c>
      <c r="K1171" t="s">
        <v>1610</v>
      </c>
      <c r="L1171" t="s">
        <v>571</v>
      </c>
      <c r="M1171">
        <v>0</v>
      </c>
      <c r="N1171" s="3" t="s">
        <v>330</v>
      </c>
      <c r="O1171" s="3"/>
    </row>
    <row r="1172" spans="1:15" ht="41.4">
      <c r="A1172" t="s">
        <v>1897</v>
      </c>
      <c r="B1172" t="s">
        <v>676</v>
      </c>
      <c r="C1172">
        <v>1133517</v>
      </c>
      <c r="D1172" s="16">
        <v>1133.5170000000001</v>
      </c>
      <c r="E1172" t="s">
        <v>724</v>
      </c>
      <c r="F1172" s="16">
        <v>-2.6</v>
      </c>
      <c r="G1172" s="16">
        <v>2.6</v>
      </c>
      <c r="H1172" s="16">
        <v>2.6</v>
      </c>
      <c r="I1172" t="s">
        <v>125</v>
      </c>
      <c r="J1172">
        <v>1</v>
      </c>
      <c r="K1172" t="s">
        <v>725</v>
      </c>
      <c r="L1172" t="s">
        <v>571</v>
      </c>
      <c r="M1172">
        <v>0</v>
      </c>
      <c r="N1172" s="3" t="s">
        <v>330</v>
      </c>
      <c r="O1172" s="3"/>
    </row>
    <row r="1173" spans="1:15" ht="41.4">
      <c r="A1173" t="s">
        <v>1898</v>
      </c>
      <c r="B1173" t="s">
        <v>676</v>
      </c>
      <c r="C1173">
        <v>1133517</v>
      </c>
      <c r="D1173" s="16">
        <v>1133.5170000000001</v>
      </c>
      <c r="E1173" t="s">
        <v>727</v>
      </c>
      <c r="F1173" s="16">
        <v>1</v>
      </c>
      <c r="G1173" s="16">
        <v>1</v>
      </c>
      <c r="H1173" s="16">
        <v>1</v>
      </c>
      <c r="I1173" t="s">
        <v>728</v>
      </c>
      <c r="J1173">
        <v>1</v>
      </c>
      <c r="K1173" t="s">
        <v>720</v>
      </c>
      <c r="L1173" t="s">
        <v>571</v>
      </c>
      <c r="M1173">
        <v>0</v>
      </c>
      <c r="N1173" s="3" t="s">
        <v>330</v>
      </c>
      <c r="O1173" s="3"/>
    </row>
    <row r="1174" spans="1:15" ht="41.4">
      <c r="A1174" t="s">
        <v>1899</v>
      </c>
      <c r="B1174" t="s">
        <v>676</v>
      </c>
      <c r="C1174">
        <v>1133517</v>
      </c>
      <c r="D1174" s="16">
        <v>1133.5170000000001</v>
      </c>
      <c r="E1174" t="s">
        <v>730</v>
      </c>
      <c r="F1174" s="16">
        <v>69.307000000000002</v>
      </c>
      <c r="G1174" s="16">
        <v>0.69307000000000007</v>
      </c>
      <c r="H1174" s="16">
        <v>0.69307000000000007</v>
      </c>
      <c r="I1174" t="s">
        <v>107</v>
      </c>
      <c r="J1174">
        <v>1</v>
      </c>
      <c r="K1174" t="s">
        <v>761</v>
      </c>
      <c r="L1174" t="s">
        <v>571</v>
      </c>
      <c r="M1174">
        <v>0</v>
      </c>
      <c r="N1174" s="3" t="s">
        <v>330</v>
      </c>
      <c r="O1174" s="3"/>
    </row>
    <row r="1175" spans="1:15" ht="41.4">
      <c r="A1175" t="s">
        <v>1900</v>
      </c>
      <c r="B1175" t="s">
        <v>678</v>
      </c>
      <c r="C1175">
        <v>1138518</v>
      </c>
      <c r="D1175" s="16">
        <v>1138.518</v>
      </c>
      <c r="E1175" t="s">
        <v>719</v>
      </c>
      <c r="F1175" s="16">
        <v>-1</v>
      </c>
      <c r="G1175" s="16"/>
      <c r="H1175" s="16">
        <v>28</v>
      </c>
      <c r="I1175" t="s">
        <v>98</v>
      </c>
      <c r="J1175">
        <v>0</v>
      </c>
      <c r="K1175" t="s">
        <v>1610</v>
      </c>
      <c r="L1175" t="s">
        <v>571</v>
      </c>
      <c r="M1175">
        <v>0</v>
      </c>
      <c r="N1175" s="3" t="s">
        <v>330</v>
      </c>
      <c r="O1175" s="3"/>
    </row>
    <row r="1176" spans="1:15" ht="41.4">
      <c r="A1176" t="s">
        <v>1901</v>
      </c>
      <c r="B1176" t="s">
        <v>678</v>
      </c>
      <c r="C1176">
        <v>1138518</v>
      </c>
      <c r="D1176" s="16">
        <v>1138.518</v>
      </c>
      <c r="E1176" t="s">
        <v>722</v>
      </c>
      <c r="F1176" s="16">
        <v>-1</v>
      </c>
      <c r="G1176" s="16"/>
      <c r="H1176" s="16">
        <v>83</v>
      </c>
      <c r="I1176" t="s">
        <v>140</v>
      </c>
      <c r="J1176">
        <v>0</v>
      </c>
      <c r="K1176" t="s">
        <v>1610</v>
      </c>
      <c r="L1176" t="s">
        <v>571</v>
      </c>
      <c r="M1176">
        <v>0</v>
      </c>
      <c r="N1176" s="3" t="s">
        <v>330</v>
      </c>
      <c r="O1176" s="3"/>
    </row>
    <row r="1177" spans="1:15" ht="41.4">
      <c r="A1177" t="s">
        <v>1902</v>
      </c>
      <c r="B1177" t="s">
        <v>678</v>
      </c>
      <c r="C1177">
        <v>1138518</v>
      </c>
      <c r="D1177" s="16">
        <v>1138.518</v>
      </c>
      <c r="E1177" t="s">
        <v>724</v>
      </c>
      <c r="F1177" s="16">
        <v>-2</v>
      </c>
      <c r="G1177" s="16">
        <v>2</v>
      </c>
      <c r="H1177" s="16">
        <v>2</v>
      </c>
      <c r="I1177" t="s">
        <v>125</v>
      </c>
      <c r="J1177">
        <v>1</v>
      </c>
      <c r="K1177" t="s">
        <v>725</v>
      </c>
      <c r="L1177" t="s">
        <v>571</v>
      </c>
      <c r="M1177">
        <v>0</v>
      </c>
      <c r="N1177" s="3" t="s">
        <v>330</v>
      </c>
      <c r="O1177" s="3"/>
    </row>
    <row r="1178" spans="1:15" ht="41.4">
      <c r="A1178" t="s">
        <v>1903</v>
      </c>
      <c r="B1178" t="s">
        <v>678</v>
      </c>
      <c r="C1178">
        <v>1138518</v>
      </c>
      <c r="D1178" s="16">
        <v>1138.518</v>
      </c>
      <c r="E1178" t="s">
        <v>727</v>
      </c>
      <c r="F1178" s="16">
        <v>1</v>
      </c>
      <c r="G1178" s="16">
        <v>1</v>
      </c>
      <c r="H1178" s="16">
        <v>1</v>
      </c>
      <c r="I1178" t="s">
        <v>728</v>
      </c>
      <c r="J1178">
        <v>1</v>
      </c>
      <c r="K1178" t="s">
        <v>720</v>
      </c>
      <c r="L1178" t="s">
        <v>571</v>
      </c>
      <c r="M1178">
        <v>0</v>
      </c>
      <c r="N1178" s="3" t="s">
        <v>330</v>
      </c>
      <c r="O1178" s="3"/>
    </row>
    <row r="1179" spans="1:15" ht="41.4">
      <c r="A1179" t="s">
        <v>1904</v>
      </c>
      <c r="B1179" t="s">
        <v>678</v>
      </c>
      <c r="C1179">
        <v>1138518</v>
      </c>
      <c r="D1179" s="16">
        <v>1138.518</v>
      </c>
      <c r="E1179" t="s">
        <v>730</v>
      </c>
      <c r="F1179" s="16">
        <v>70.772999999999996</v>
      </c>
      <c r="G1179" s="16">
        <v>0.70772999999999997</v>
      </c>
      <c r="H1179" s="16">
        <v>0.70772999999999997</v>
      </c>
      <c r="I1179" t="s">
        <v>107</v>
      </c>
      <c r="J1179">
        <v>1</v>
      </c>
      <c r="K1179" t="s">
        <v>761</v>
      </c>
      <c r="L1179" t="s">
        <v>571</v>
      </c>
      <c r="M1179">
        <v>0</v>
      </c>
      <c r="N1179" s="3" t="s">
        <v>330</v>
      </c>
      <c r="O1179" s="3"/>
    </row>
    <row r="1180" spans="1:15" ht="41.4">
      <c r="A1180" t="s">
        <v>1905</v>
      </c>
      <c r="B1180" t="s">
        <v>680</v>
      </c>
      <c r="C1180">
        <v>1143518</v>
      </c>
      <c r="D1180" s="16">
        <v>1143.518</v>
      </c>
      <c r="E1180" t="s">
        <v>719</v>
      </c>
      <c r="F1180" s="16">
        <v>-1</v>
      </c>
      <c r="G1180" s="16"/>
      <c r="H1180" s="16">
        <v>28</v>
      </c>
      <c r="I1180" t="s">
        <v>98</v>
      </c>
      <c r="J1180">
        <v>0</v>
      </c>
      <c r="K1180" t="s">
        <v>1610</v>
      </c>
      <c r="L1180" t="s">
        <v>571</v>
      </c>
      <c r="M1180">
        <v>0</v>
      </c>
      <c r="N1180" s="3" t="s">
        <v>599</v>
      </c>
      <c r="O1180" s="3"/>
    </row>
    <row r="1181" spans="1:15" ht="41.4">
      <c r="A1181" t="s">
        <v>1906</v>
      </c>
      <c r="B1181" t="s">
        <v>680</v>
      </c>
      <c r="C1181">
        <v>1143518</v>
      </c>
      <c r="D1181" s="16">
        <v>1143.518</v>
      </c>
      <c r="E1181" t="s">
        <v>722</v>
      </c>
      <c r="F1181" s="16">
        <v>-1</v>
      </c>
      <c r="G1181" s="16"/>
      <c r="H1181" s="16">
        <v>83</v>
      </c>
      <c r="I1181" t="s">
        <v>140</v>
      </c>
      <c r="J1181">
        <v>0</v>
      </c>
      <c r="K1181" t="s">
        <v>1610</v>
      </c>
      <c r="L1181" t="s">
        <v>571</v>
      </c>
      <c r="M1181">
        <v>0</v>
      </c>
      <c r="N1181" s="3" t="s">
        <v>599</v>
      </c>
      <c r="O1181" s="3"/>
    </row>
    <row r="1182" spans="1:15" ht="41.4">
      <c r="A1182" t="s">
        <v>1907</v>
      </c>
      <c r="B1182" t="s">
        <v>680</v>
      </c>
      <c r="C1182">
        <v>1143518</v>
      </c>
      <c r="D1182" s="16">
        <v>1143.518</v>
      </c>
      <c r="E1182" t="s">
        <v>724</v>
      </c>
      <c r="F1182" s="16">
        <v>1.5</v>
      </c>
      <c r="G1182" s="16">
        <v>1.5</v>
      </c>
      <c r="H1182" s="16">
        <v>1.5</v>
      </c>
      <c r="I1182" t="s">
        <v>125</v>
      </c>
      <c r="J1182">
        <v>1</v>
      </c>
      <c r="K1182" t="s">
        <v>720</v>
      </c>
      <c r="L1182" t="s">
        <v>571</v>
      </c>
      <c r="M1182">
        <v>0</v>
      </c>
      <c r="N1182" s="3" t="s">
        <v>599</v>
      </c>
      <c r="O1182" s="3"/>
    </row>
    <row r="1183" spans="1:15" ht="41.4">
      <c r="A1183" t="s">
        <v>1908</v>
      </c>
      <c r="B1183" t="s">
        <v>680</v>
      </c>
      <c r="C1183">
        <v>1143518</v>
      </c>
      <c r="D1183" s="16">
        <v>1143.518</v>
      </c>
      <c r="E1183" t="s">
        <v>727</v>
      </c>
      <c r="F1183" s="16">
        <v>1</v>
      </c>
      <c r="G1183" s="16">
        <v>1</v>
      </c>
      <c r="H1183" s="16">
        <v>1</v>
      </c>
      <c r="I1183" t="s">
        <v>728</v>
      </c>
      <c r="J1183">
        <v>1</v>
      </c>
      <c r="K1183" t="s">
        <v>720</v>
      </c>
      <c r="L1183" t="s">
        <v>571</v>
      </c>
      <c r="M1183">
        <v>0</v>
      </c>
      <c r="N1183" s="3" t="s">
        <v>599</v>
      </c>
      <c r="O1183" s="3"/>
    </row>
    <row r="1184" spans="1:15" ht="41.4">
      <c r="A1184" t="s">
        <v>1909</v>
      </c>
      <c r="B1184" t="s">
        <v>680</v>
      </c>
      <c r="C1184">
        <v>1143518</v>
      </c>
      <c r="D1184" s="16">
        <v>1143.518</v>
      </c>
      <c r="E1184" t="s">
        <v>730</v>
      </c>
      <c r="F1184" s="16">
        <v>78.106999999999999</v>
      </c>
      <c r="G1184" s="16">
        <v>0.78107000000000004</v>
      </c>
      <c r="H1184" s="16">
        <v>0.78107000000000004</v>
      </c>
      <c r="I1184" t="s">
        <v>107</v>
      </c>
      <c r="J1184">
        <v>1</v>
      </c>
      <c r="K1184" t="s">
        <v>761</v>
      </c>
      <c r="L1184" t="s">
        <v>571</v>
      </c>
      <c r="M1184">
        <v>0</v>
      </c>
      <c r="N1184" s="3" t="s">
        <v>599</v>
      </c>
      <c r="O1184" s="3"/>
    </row>
    <row r="1185" spans="1:15" ht="41.4">
      <c r="A1185" t="s">
        <v>1910</v>
      </c>
      <c r="B1185" t="s">
        <v>682</v>
      </c>
      <c r="C1185">
        <v>1148517</v>
      </c>
      <c r="D1185" s="16">
        <v>1148.5170000000001</v>
      </c>
      <c r="E1185" t="s">
        <v>719</v>
      </c>
      <c r="F1185" s="16">
        <v>-1</v>
      </c>
      <c r="G1185" s="16"/>
      <c r="H1185" s="16">
        <v>28</v>
      </c>
      <c r="I1185" t="s">
        <v>98</v>
      </c>
      <c r="J1185">
        <v>0</v>
      </c>
      <c r="K1185" t="s">
        <v>1610</v>
      </c>
      <c r="L1185" t="s">
        <v>571</v>
      </c>
      <c r="M1185">
        <v>0</v>
      </c>
      <c r="N1185" s="3" t="s">
        <v>330</v>
      </c>
      <c r="O1185" s="3"/>
    </row>
    <row r="1186" spans="1:15" ht="41.4">
      <c r="A1186" t="s">
        <v>1911</v>
      </c>
      <c r="B1186" t="s">
        <v>682</v>
      </c>
      <c r="C1186">
        <v>1148517</v>
      </c>
      <c r="D1186" s="16">
        <v>1148.5170000000001</v>
      </c>
      <c r="E1186" t="s">
        <v>722</v>
      </c>
      <c r="F1186" s="16">
        <v>-1</v>
      </c>
      <c r="G1186" s="16"/>
      <c r="H1186" s="16">
        <v>83</v>
      </c>
      <c r="I1186" t="s">
        <v>140</v>
      </c>
      <c r="J1186">
        <v>0</v>
      </c>
      <c r="K1186" t="s">
        <v>1610</v>
      </c>
      <c r="L1186" t="s">
        <v>571</v>
      </c>
      <c r="M1186">
        <v>0</v>
      </c>
      <c r="N1186" s="3" t="s">
        <v>330</v>
      </c>
      <c r="O1186" s="3"/>
    </row>
    <row r="1187" spans="1:15" ht="41.4">
      <c r="A1187" t="s">
        <v>1912</v>
      </c>
      <c r="B1187" t="s">
        <v>682</v>
      </c>
      <c r="C1187">
        <v>1148517</v>
      </c>
      <c r="D1187" s="16">
        <v>1148.5170000000001</v>
      </c>
      <c r="E1187" t="s">
        <v>724</v>
      </c>
      <c r="F1187" s="16">
        <v>-0.3</v>
      </c>
      <c r="G1187" s="16">
        <v>0.3</v>
      </c>
      <c r="H1187" s="16">
        <v>0.3</v>
      </c>
      <c r="I1187" t="s">
        <v>125</v>
      </c>
      <c r="J1187">
        <v>1</v>
      </c>
      <c r="K1187" t="s">
        <v>725</v>
      </c>
      <c r="L1187" t="s">
        <v>571</v>
      </c>
      <c r="M1187">
        <v>0</v>
      </c>
      <c r="N1187" s="3" t="s">
        <v>330</v>
      </c>
      <c r="O1187" s="3"/>
    </row>
    <row r="1188" spans="1:15" ht="41.4">
      <c r="A1188" t="s">
        <v>1913</v>
      </c>
      <c r="B1188" t="s">
        <v>682</v>
      </c>
      <c r="C1188">
        <v>1148517</v>
      </c>
      <c r="D1188" s="16">
        <v>1148.5170000000001</v>
      </c>
      <c r="E1188" t="s">
        <v>727</v>
      </c>
      <c r="F1188" s="16">
        <v>1</v>
      </c>
      <c r="G1188" s="16">
        <v>1</v>
      </c>
      <c r="H1188" s="16">
        <v>1</v>
      </c>
      <c r="I1188" t="s">
        <v>728</v>
      </c>
      <c r="J1188">
        <v>1</v>
      </c>
      <c r="K1188" t="s">
        <v>720</v>
      </c>
      <c r="L1188" t="s">
        <v>571</v>
      </c>
      <c r="M1188">
        <v>0</v>
      </c>
      <c r="N1188" s="3" t="s">
        <v>330</v>
      </c>
      <c r="O1188" s="3"/>
    </row>
    <row r="1189" spans="1:15" ht="41.4">
      <c r="A1189" t="s">
        <v>1914</v>
      </c>
      <c r="B1189" t="s">
        <v>682</v>
      </c>
      <c r="C1189">
        <v>1148517</v>
      </c>
      <c r="D1189" s="16">
        <v>1148.5170000000001</v>
      </c>
      <c r="E1189" t="s">
        <v>730</v>
      </c>
      <c r="F1189" s="16">
        <v>78.08</v>
      </c>
      <c r="G1189" s="16">
        <v>0.78079999999999994</v>
      </c>
      <c r="H1189" s="16">
        <v>0.78079999999999994</v>
      </c>
      <c r="I1189" t="s">
        <v>107</v>
      </c>
      <c r="J1189">
        <v>1</v>
      </c>
      <c r="K1189" t="s">
        <v>761</v>
      </c>
      <c r="L1189" t="s">
        <v>571</v>
      </c>
      <c r="M1189">
        <v>0</v>
      </c>
      <c r="N1189" s="3" t="s">
        <v>330</v>
      </c>
      <c r="O1189" s="3"/>
    </row>
    <row r="1190" spans="1:15" ht="41.4">
      <c r="A1190" t="s">
        <v>1915</v>
      </c>
      <c r="B1190" t="s">
        <v>684</v>
      </c>
      <c r="C1190">
        <v>1153517</v>
      </c>
      <c r="D1190" s="16">
        <v>1153.5170000000001</v>
      </c>
      <c r="E1190" t="s">
        <v>719</v>
      </c>
      <c r="F1190" s="16">
        <v>-1</v>
      </c>
      <c r="G1190" s="16"/>
      <c r="H1190" s="16">
        <v>28</v>
      </c>
      <c r="I1190" t="s">
        <v>98</v>
      </c>
      <c r="J1190">
        <v>0</v>
      </c>
      <c r="K1190" t="s">
        <v>1610</v>
      </c>
      <c r="L1190" t="s">
        <v>571</v>
      </c>
      <c r="M1190">
        <v>0</v>
      </c>
      <c r="N1190" s="3" t="s">
        <v>330</v>
      </c>
      <c r="O1190" s="3"/>
    </row>
    <row r="1191" spans="1:15" ht="41.4">
      <c r="A1191" t="s">
        <v>1916</v>
      </c>
      <c r="B1191" t="s">
        <v>684</v>
      </c>
      <c r="C1191">
        <v>1153517</v>
      </c>
      <c r="D1191" s="16">
        <v>1153.5170000000001</v>
      </c>
      <c r="E1191" t="s">
        <v>722</v>
      </c>
      <c r="F1191" s="16">
        <v>-1</v>
      </c>
      <c r="G1191" s="16"/>
      <c r="H1191" s="16">
        <v>83</v>
      </c>
      <c r="I1191" t="s">
        <v>140</v>
      </c>
      <c r="J1191">
        <v>0</v>
      </c>
      <c r="K1191" t="s">
        <v>1610</v>
      </c>
      <c r="L1191" t="s">
        <v>571</v>
      </c>
      <c r="M1191">
        <v>0</v>
      </c>
      <c r="N1191" s="3" t="s">
        <v>330</v>
      </c>
      <c r="O1191" s="3"/>
    </row>
    <row r="1192" spans="1:15" ht="41.4">
      <c r="A1192" t="s">
        <v>1917</v>
      </c>
      <c r="B1192" t="s">
        <v>684</v>
      </c>
      <c r="C1192">
        <v>1153517</v>
      </c>
      <c r="D1192" s="16">
        <v>1153.5170000000001</v>
      </c>
      <c r="E1192" t="s">
        <v>724</v>
      </c>
      <c r="F1192" s="16">
        <v>-1.7</v>
      </c>
      <c r="G1192" s="16">
        <v>1.7</v>
      </c>
      <c r="H1192" s="16">
        <v>1.7</v>
      </c>
      <c r="I1192" t="s">
        <v>125</v>
      </c>
      <c r="J1192">
        <v>1</v>
      </c>
      <c r="K1192" t="s">
        <v>725</v>
      </c>
      <c r="L1192" t="s">
        <v>571</v>
      </c>
      <c r="M1192">
        <v>0</v>
      </c>
      <c r="N1192" s="3" t="s">
        <v>330</v>
      </c>
      <c r="O1192" s="3"/>
    </row>
    <row r="1193" spans="1:15" ht="41.4">
      <c r="A1193" t="s">
        <v>1918</v>
      </c>
      <c r="B1193" t="s">
        <v>684</v>
      </c>
      <c r="C1193">
        <v>1153517</v>
      </c>
      <c r="D1193" s="16">
        <v>1153.5170000000001</v>
      </c>
      <c r="E1193" t="s">
        <v>727</v>
      </c>
      <c r="F1193" s="16">
        <v>1</v>
      </c>
      <c r="G1193" s="16">
        <v>1</v>
      </c>
      <c r="H1193" s="16">
        <v>1</v>
      </c>
      <c r="I1193" t="s">
        <v>728</v>
      </c>
      <c r="J1193">
        <v>1</v>
      </c>
      <c r="K1193" t="s">
        <v>720</v>
      </c>
      <c r="L1193" t="s">
        <v>571</v>
      </c>
      <c r="M1193">
        <v>0</v>
      </c>
      <c r="N1193" s="3" t="s">
        <v>330</v>
      </c>
      <c r="O1193" s="3"/>
    </row>
    <row r="1194" spans="1:15" ht="41.4">
      <c r="A1194" t="s">
        <v>1919</v>
      </c>
      <c r="B1194" t="s">
        <v>684</v>
      </c>
      <c r="C1194">
        <v>1153517</v>
      </c>
      <c r="D1194" s="16">
        <v>1153.5170000000001</v>
      </c>
      <c r="E1194" t="s">
        <v>730</v>
      </c>
      <c r="F1194" s="16">
        <v>79.52</v>
      </c>
      <c r="G1194" s="16">
        <v>0.79519999999999991</v>
      </c>
      <c r="H1194" s="16">
        <v>0.79519999999999991</v>
      </c>
      <c r="I1194" t="s">
        <v>107</v>
      </c>
      <c r="J1194">
        <v>1</v>
      </c>
      <c r="K1194" t="s">
        <v>761</v>
      </c>
      <c r="L1194" t="s">
        <v>571</v>
      </c>
      <c r="M1194">
        <v>0</v>
      </c>
      <c r="N1194" s="3" t="s">
        <v>330</v>
      </c>
      <c r="O1194" s="3"/>
    </row>
    <row r="1195" spans="1:15" ht="41.4">
      <c r="A1195" t="s">
        <v>1920</v>
      </c>
      <c r="B1195" t="s">
        <v>686</v>
      </c>
      <c r="C1195">
        <v>1158517</v>
      </c>
      <c r="D1195" s="16">
        <v>1158.5170000000001</v>
      </c>
      <c r="E1195" t="s">
        <v>719</v>
      </c>
      <c r="F1195" s="16">
        <v>-1</v>
      </c>
      <c r="G1195" s="16"/>
      <c r="H1195" s="16">
        <v>28</v>
      </c>
      <c r="I1195" t="s">
        <v>98</v>
      </c>
      <c r="J1195">
        <v>0</v>
      </c>
      <c r="K1195" t="s">
        <v>1610</v>
      </c>
      <c r="L1195" t="s">
        <v>571</v>
      </c>
      <c r="M1195">
        <v>0</v>
      </c>
      <c r="N1195" s="3" t="s">
        <v>330</v>
      </c>
      <c r="O1195" s="3"/>
    </row>
    <row r="1196" spans="1:15" ht="41.4">
      <c r="A1196" t="s">
        <v>1921</v>
      </c>
      <c r="B1196" t="s">
        <v>686</v>
      </c>
      <c r="C1196">
        <v>1158517</v>
      </c>
      <c r="D1196" s="16">
        <v>1158.5170000000001</v>
      </c>
      <c r="E1196" t="s">
        <v>722</v>
      </c>
      <c r="F1196" s="16">
        <v>-1</v>
      </c>
      <c r="G1196" s="16"/>
      <c r="H1196" s="16">
        <v>83</v>
      </c>
      <c r="I1196" t="s">
        <v>140</v>
      </c>
      <c r="J1196">
        <v>0</v>
      </c>
      <c r="K1196" t="s">
        <v>1610</v>
      </c>
      <c r="L1196" t="s">
        <v>571</v>
      </c>
      <c r="M1196">
        <v>0</v>
      </c>
      <c r="N1196" s="3" t="s">
        <v>330</v>
      </c>
      <c r="O1196" s="3"/>
    </row>
    <row r="1197" spans="1:15" ht="41.4">
      <c r="A1197" t="s">
        <v>1922</v>
      </c>
      <c r="B1197" t="s">
        <v>686</v>
      </c>
      <c r="C1197">
        <v>1158517</v>
      </c>
      <c r="D1197" s="16">
        <v>1158.5170000000001</v>
      </c>
      <c r="E1197" t="s">
        <v>724</v>
      </c>
      <c r="F1197" s="16">
        <v>-1.7</v>
      </c>
      <c r="G1197" s="16">
        <v>1.7</v>
      </c>
      <c r="H1197" s="16">
        <v>1.7</v>
      </c>
      <c r="I1197" t="s">
        <v>125</v>
      </c>
      <c r="J1197">
        <v>1</v>
      </c>
      <c r="K1197" t="s">
        <v>725</v>
      </c>
      <c r="L1197" t="s">
        <v>571</v>
      </c>
      <c r="M1197">
        <v>0</v>
      </c>
      <c r="N1197" s="3" t="s">
        <v>330</v>
      </c>
      <c r="O1197" s="3"/>
    </row>
    <row r="1198" spans="1:15" ht="41.4">
      <c r="A1198" t="s">
        <v>1923</v>
      </c>
      <c r="B1198" t="s">
        <v>686</v>
      </c>
      <c r="C1198">
        <v>1158517</v>
      </c>
      <c r="D1198" s="16">
        <v>1158.5170000000001</v>
      </c>
      <c r="E1198" t="s">
        <v>727</v>
      </c>
      <c r="F1198" s="16">
        <v>1</v>
      </c>
      <c r="G1198" s="16">
        <v>1</v>
      </c>
      <c r="H1198" s="16">
        <v>1</v>
      </c>
      <c r="I1198" t="s">
        <v>728</v>
      </c>
      <c r="J1198">
        <v>1</v>
      </c>
      <c r="K1198" t="s">
        <v>720</v>
      </c>
      <c r="L1198" t="s">
        <v>571</v>
      </c>
      <c r="M1198">
        <v>0</v>
      </c>
      <c r="N1198" s="3" t="s">
        <v>330</v>
      </c>
      <c r="O1198" s="3"/>
    </row>
    <row r="1199" spans="1:15" ht="41.4">
      <c r="A1199" t="s">
        <v>1924</v>
      </c>
      <c r="B1199" t="s">
        <v>686</v>
      </c>
      <c r="C1199">
        <v>1158517</v>
      </c>
      <c r="D1199" s="16">
        <v>1158.5170000000001</v>
      </c>
      <c r="E1199" t="s">
        <v>730</v>
      </c>
      <c r="F1199" s="16">
        <v>74.533000000000001</v>
      </c>
      <c r="G1199" s="16">
        <v>0.74533000000000005</v>
      </c>
      <c r="H1199" s="16">
        <v>0.74533000000000005</v>
      </c>
      <c r="I1199" t="s">
        <v>107</v>
      </c>
      <c r="J1199">
        <v>1</v>
      </c>
      <c r="K1199" t="s">
        <v>761</v>
      </c>
      <c r="L1199" t="s">
        <v>571</v>
      </c>
      <c r="M1199">
        <v>0</v>
      </c>
      <c r="N1199" s="3" t="s">
        <v>330</v>
      </c>
      <c r="O1199" s="3"/>
    </row>
    <row r="1200" spans="1:15" ht="41.4">
      <c r="A1200" t="s">
        <v>1925</v>
      </c>
      <c r="B1200" t="s">
        <v>688</v>
      </c>
      <c r="C1200">
        <v>1163517</v>
      </c>
      <c r="D1200" s="16">
        <v>1163.5170000000001</v>
      </c>
      <c r="E1200" t="s">
        <v>719</v>
      </c>
      <c r="F1200" s="16">
        <v>-1</v>
      </c>
      <c r="G1200" s="16"/>
      <c r="H1200" s="16">
        <v>28</v>
      </c>
      <c r="I1200" t="s">
        <v>98</v>
      </c>
      <c r="J1200">
        <v>0</v>
      </c>
      <c r="K1200" t="s">
        <v>1610</v>
      </c>
      <c r="L1200" t="s">
        <v>571</v>
      </c>
      <c r="M1200">
        <v>0</v>
      </c>
      <c r="N1200" s="3" t="s">
        <v>330</v>
      </c>
      <c r="O1200" s="3"/>
    </row>
    <row r="1201" spans="1:15" ht="41.4">
      <c r="A1201" t="s">
        <v>1926</v>
      </c>
      <c r="B1201" t="s">
        <v>688</v>
      </c>
      <c r="C1201">
        <v>1163517</v>
      </c>
      <c r="D1201" s="16">
        <v>1163.5170000000001</v>
      </c>
      <c r="E1201" t="s">
        <v>722</v>
      </c>
      <c r="F1201" s="16">
        <v>-1</v>
      </c>
      <c r="G1201" s="16"/>
      <c r="H1201" s="16">
        <v>83</v>
      </c>
      <c r="I1201" t="s">
        <v>140</v>
      </c>
      <c r="J1201">
        <v>0</v>
      </c>
      <c r="K1201" t="s">
        <v>1610</v>
      </c>
      <c r="L1201" t="s">
        <v>571</v>
      </c>
      <c r="M1201">
        <v>0</v>
      </c>
      <c r="N1201" s="3" t="s">
        <v>330</v>
      </c>
      <c r="O1201" s="3"/>
    </row>
    <row r="1202" spans="1:15" ht="41.4">
      <c r="A1202" t="s">
        <v>1927</v>
      </c>
      <c r="B1202" t="s">
        <v>688</v>
      </c>
      <c r="C1202">
        <v>1163517</v>
      </c>
      <c r="D1202" s="16">
        <v>1163.5170000000001</v>
      </c>
      <c r="E1202" t="s">
        <v>724</v>
      </c>
      <c r="F1202" s="16">
        <v>-5.7</v>
      </c>
      <c r="G1202" s="16">
        <v>5.7</v>
      </c>
      <c r="H1202" s="16">
        <v>5.7</v>
      </c>
      <c r="I1202" t="s">
        <v>125</v>
      </c>
      <c r="J1202">
        <v>1</v>
      </c>
      <c r="K1202" t="s">
        <v>725</v>
      </c>
      <c r="L1202" t="s">
        <v>571</v>
      </c>
      <c r="M1202">
        <v>0</v>
      </c>
      <c r="N1202" s="3" t="s">
        <v>330</v>
      </c>
      <c r="O1202" s="3"/>
    </row>
    <row r="1203" spans="1:15" ht="41.4">
      <c r="A1203" t="s">
        <v>1928</v>
      </c>
      <c r="B1203" t="s">
        <v>688</v>
      </c>
      <c r="C1203">
        <v>1163517</v>
      </c>
      <c r="D1203" s="16">
        <v>1163.5170000000001</v>
      </c>
      <c r="E1203" t="s">
        <v>727</v>
      </c>
      <c r="F1203" s="16">
        <v>1</v>
      </c>
      <c r="G1203" s="16">
        <v>1</v>
      </c>
      <c r="H1203" s="16">
        <v>1</v>
      </c>
      <c r="I1203" t="s">
        <v>728</v>
      </c>
      <c r="J1203">
        <v>1</v>
      </c>
      <c r="K1203" t="s">
        <v>720</v>
      </c>
      <c r="L1203" t="s">
        <v>571</v>
      </c>
      <c r="M1203">
        <v>0</v>
      </c>
      <c r="N1203" s="3" t="s">
        <v>330</v>
      </c>
      <c r="O1203" s="3"/>
    </row>
    <row r="1204" spans="1:15" ht="41.4">
      <c r="A1204" t="s">
        <v>1929</v>
      </c>
      <c r="B1204" t="s">
        <v>688</v>
      </c>
      <c r="C1204">
        <v>1163517</v>
      </c>
      <c r="D1204" s="16">
        <v>1163.5170000000001</v>
      </c>
      <c r="E1204" t="s">
        <v>730</v>
      </c>
      <c r="F1204" s="16">
        <v>74.613</v>
      </c>
      <c r="G1204" s="16">
        <v>0.74612999999999996</v>
      </c>
      <c r="H1204" s="16">
        <v>0.74612999999999996</v>
      </c>
      <c r="I1204" t="s">
        <v>107</v>
      </c>
      <c r="J1204">
        <v>1</v>
      </c>
      <c r="K1204" t="s">
        <v>761</v>
      </c>
      <c r="L1204" t="s">
        <v>571</v>
      </c>
      <c r="M1204">
        <v>0</v>
      </c>
      <c r="N1204" s="3" t="s">
        <v>330</v>
      </c>
      <c r="O1204" s="3"/>
    </row>
    <row r="1205" spans="1:15" ht="41.4">
      <c r="A1205" t="s">
        <v>1930</v>
      </c>
      <c r="B1205" t="s">
        <v>690</v>
      </c>
      <c r="C1205">
        <v>1168518</v>
      </c>
      <c r="D1205" s="16">
        <v>1168.518</v>
      </c>
      <c r="E1205" t="s">
        <v>719</v>
      </c>
      <c r="F1205" s="16">
        <v>-1</v>
      </c>
      <c r="G1205" s="16"/>
      <c r="H1205" s="16">
        <v>28</v>
      </c>
      <c r="I1205" t="s">
        <v>98</v>
      </c>
      <c r="J1205">
        <v>0</v>
      </c>
      <c r="K1205" t="s">
        <v>1610</v>
      </c>
      <c r="L1205" t="s">
        <v>571</v>
      </c>
      <c r="M1205">
        <v>0</v>
      </c>
      <c r="N1205" s="3" t="s">
        <v>330</v>
      </c>
      <c r="O1205" s="3"/>
    </row>
    <row r="1206" spans="1:15" ht="41.4">
      <c r="A1206" t="s">
        <v>1931</v>
      </c>
      <c r="B1206" t="s">
        <v>690</v>
      </c>
      <c r="C1206">
        <v>1168518</v>
      </c>
      <c r="D1206" s="16">
        <v>1168.518</v>
      </c>
      <c r="E1206" t="s">
        <v>722</v>
      </c>
      <c r="F1206" s="16">
        <v>-1</v>
      </c>
      <c r="G1206" s="16"/>
      <c r="H1206" s="16">
        <v>83</v>
      </c>
      <c r="I1206" t="s">
        <v>140</v>
      </c>
      <c r="J1206">
        <v>0</v>
      </c>
      <c r="K1206" t="s">
        <v>1610</v>
      </c>
      <c r="L1206" t="s">
        <v>571</v>
      </c>
      <c r="M1206">
        <v>0</v>
      </c>
      <c r="N1206" s="3" t="s">
        <v>330</v>
      </c>
      <c r="O1206" s="3"/>
    </row>
    <row r="1207" spans="1:15" ht="41.4">
      <c r="A1207" t="s">
        <v>1932</v>
      </c>
      <c r="B1207" t="s">
        <v>690</v>
      </c>
      <c r="C1207">
        <v>1168518</v>
      </c>
      <c r="D1207" s="16">
        <v>1168.518</v>
      </c>
      <c r="E1207" t="s">
        <v>724</v>
      </c>
      <c r="F1207" s="16">
        <v>-2</v>
      </c>
      <c r="G1207" s="16">
        <v>2</v>
      </c>
      <c r="H1207" s="16">
        <v>2</v>
      </c>
      <c r="I1207" t="s">
        <v>125</v>
      </c>
      <c r="J1207">
        <v>1</v>
      </c>
      <c r="K1207" t="s">
        <v>725</v>
      </c>
      <c r="L1207" t="s">
        <v>571</v>
      </c>
      <c r="M1207">
        <v>0</v>
      </c>
      <c r="N1207" s="3" t="s">
        <v>330</v>
      </c>
      <c r="O1207" s="3"/>
    </row>
    <row r="1208" spans="1:15" ht="41.4">
      <c r="A1208" t="s">
        <v>1933</v>
      </c>
      <c r="B1208" t="s">
        <v>690</v>
      </c>
      <c r="C1208">
        <v>1168518</v>
      </c>
      <c r="D1208" s="16">
        <v>1168.518</v>
      </c>
      <c r="E1208" t="s">
        <v>727</v>
      </c>
      <c r="F1208" s="16">
        <v>1</v>
      </c>
      <c r="G1208" s="16">
        <v>1</v>
      </c>
      <c r="H1208" s="16">
        <v>1</v>
      </c>
      <c r="I1208" t="s">
        <v>728</v>
      </c>
      <c r="J1208">
        <v>1</v>
      </c>
      <c r="K1208" t="s">
        <v>720</v>
      </c>
      <c r="L1208" t="s">
        <v>571</v>
      </c>
      <c r="M1208">
        <v>0</v>
      </c>
      <c r="N1208" s="3" t="s">
        <v>330</v>
      </c>
      <c r="O1208" s="3"/>
    </row>
    <row r="1209" spans="1:15" ht="41.4">
      <c r="A1209" t="s">
        <v>1934</v>
      </c>
      <c r="B1209" t="s">
        <v>690</v>
      </c>
      <c r="C1209">
        <v>1168518</v>
      </c>
      <c r="D1209" s="16">
        <v>1168.518</v>
      </c>
      <c r="E1209" t="s">
        <v>730</v>
      </c>
      <c r="F1209" s="16">
        <v>79.92</v>
      </c>
      <c r="G1209" s="16">
        <v>0.79920000000000002</v>
      </c>
      <c r="H1209" s="16">
        <v>0.79920000000000002</v>
      </c>
      <c r="I1209" t="s">
        <v>107</v>
      </c>
      <c r="J1209">
        <v>1</v>
      </c>
      <c r="K1209" t="s">
        <v>761</v>
      </c>
      <c r="L1209" t="s">
        <v>571</v>
      </c>
      <c r="M1209">
        <v>0</v>
      </c>
      <c r="N1209" s="3" t="s">
        <v>330</v>
      </c>
      <c r="O1209" s="3"/>
    </row>
    <row r="1210" spans="1:15" ht="41.4">
      <c r="A1210" t="s">
        <v>1935</v>
      </c>
      <c r="B1210" t="s">
        <v>692</v>
      </c>
      <c r="C1210">
        <v>1173517</v>
      </c>
      <c r="D1210" s="16">
        <v>1173.5170000000001</v>
      </c>
      <c r="E1210" t="s">
        <v>719</v>
      </c>
      <c r="F1210" s="16">
        <v>-1</v>
      </c>
      <c r="G1210" s="16"/>
      <c r="H1210" s="16">
        <v>28</v>
      </c>
      <c r="I1210" t="s">
        <v>98</v>
      </c>
      <c r="J1210">
        <v>0</v>
      </c>
      <c r="K1210" t="s">
        <v>1610</v>
      </c>
      <c r="L1210" t="s">
        <v>571</v>
      </c>
      <c r="M1210">
        <v>0</v>
      </c>
      <c r="N1210" s="3" t="s">
        <v>330</v>
      </c>
      <c r="O1210" s="3"/>
    </row>
    <row r="1211" spans="1:15" ht="41.4">
      <c r="A1211" t="s">
        <v>1936</v>
      </c>
      <c r="B1211" t="s">
        <v>692</v>
      </c>
      <c r="C1211">
        <v>1173517</v>
      </c>
      <c r="D1211" s="16">
        <v>1173.5170000000001</v>
      </c>
      <c r="E1211" t="s">
        <v>722</v>
      </c>
      <c r="F1211" s="16">
        <v>-1</v>
      </c>
      <c r="G1211" s="16"/>
      <c r="H1211" s="16">
        <v>83</v>
      </c>
      <c r="I1211" t="s">
        <v>140</v>
      </c>
      <c r="J1211">
        <v>0</v>
      </c>
      <c r="K1211" t="s">
        <v>1610</v>
      </c>
      <c r="L1211" t="s">
        <v>571</v>
      </c>
      <c r="M1211">
        <v>0</v>
      </c>
      <c r="N1211" s="3" t="s">
        <v>330</v>
      </c>
      <c r="O1211" s="3"/>
    </row>
    <row r="1212" spans="1:15" ht="41.4">
      <c r="A1212" t="s">
        <v>1937</v>
      </c>
      <c r="B1212" t="s">
        <v>692</v>
      </c>
      <c r="C1212">
        <v>1173517</v>
      </c>
      <c r="D1212" s="16">
        <v>1173.5170000000001</v>
      </c>
      <c r="E1212" t="s">
        <v>724</v>
      </c>
      <c r="F1212" s="16">
        <v>-2.2000000000000002</v>
      </c>
      <c r="G1212" s="16">
        <v>2.2000000000000002</v>
      </c>
      <c r="H1212" s="16">
        <v>2.2000000000000002</v>
      </c>
      <c r="I1212" t="s">
        <v>125</v>
      </c>
      <c r="J1212">
        <v>1</v>
      </c>
      <c r="K1212" t="s">
        <v>725</v>
      </c>
      <c r="L1212" t="s">
        <v>571</v>
      </c>
      <c r="M1212">
        <v>0</v>
      </c>
      <c r="N1212" s="3" t="s">
        <v>330</v>
      </c>
      <c r="O1212" s="3"/>
    </row>
    <row r="1213" spans="1:15" ht="41.4">
      <c r="A1213" t="s">
        <v>1938</v>
      </c>
      <c r="B1213" t="s">
        <v>692</v>
      </c>
      <c r="C1213">
        <v>1173517</v>
      </c>
      <c r="D1213" s="16">
        <v>1173.5170000000001</v>
      </c>
      <c r="E1213" t="s">
        <v>727</v>
      </c>
      <c r="F1213" s="16">
        <v>1</v>
      </c>
      <c r="G1213" s="16">
        <v>1</v>
      </c>
      <c r="H1213" s="16">
        <v>1</v>
      </c>
      <c r="I1213" t="s">
        <v>728</v>
      </c>
      <c r="J1213">
        <v>1</v>
      </c>
      <c r="K1213" t="s">
        <v>720</v>
      </c>
      <c r="L1213" t="s">
        <v>571</v>
      </c>
      <c r="M1213">
        <v>0</v>
      </c>
      <c r="N1213" s="3" t="s">
        <v>330</v>
      </c>
      <c r="O1213" s="3"/>
    </row>
    <row r="1214" spans="1:15" ht="41.4">
      <c r="A1214" t="s">
        <v>1939</v>
      </c>
      <c r="B1214" t="s">
        <v>692</v>
      </c>
      <c r="C1214">
        <v>1173517</v>
      </c>
      <c r="D1214" s="16">
        <v>1173.5170000000001</v>
      </c>
      <c r="E1214" t="s">
        <v>730</v>
      </c>
      <c r="F1214" s="16">
        <v>80.747</v>
      </c>
      <c r="G1214" s="16">
        <v>0.80747000000000002</v>
      </c>
      <c r="H1214" s="16">
        <v>0.80747000000000002</v>
      </c>
      <c r="I1214" t="s">
        <v>107</v>
      </c>
      <c r="J1214">
        <v>1</v>
      </c>
      <c r="K1214" t="s">
        <v>761</v>
      </c>
      <c r="L1214" t="s">
        <v>571</v>
      </c>
      <c r="M1214">
        <v>0</v>
      </c>
      <c r="N1214" s="3" t="s">
        <v>330</v>
      </c>
      <c r="O1214" s="3"/>
    </row>
  </sheetData>
  <mergeCells count="1">
    <mergeCell ref="A1:O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9"/>
  <sheetViews>
    <sheetView workbookViewId="0">
      <selection sqref="A1:L2"/>
    </sheetView>
  </sheetViews>
  <sheetFormatPr defaultRowHeight="13.8"/>
  <cols>
    <col min="1" max="1" width="12" customWidth="1"/>
    <col min="2" max="2" width="14" customWidth="1"/>
    <col min="3" max="8" width="18" customWidth="1"/>
    <col min="9" max="11" width="16" customWidth="1"/>
    <col min="12" max="12" width="45" customWidth="1"/>
    <col min="14" max="14" width="23" customWidth="1"/>
    <col min="15" max="15" width="24" customWidth="1"/>
    <col min="16" max="16" width="18" customWidth="1"/>
    <col min="17" max="17" width="21" customWidth="1"/>
    <col min="18" max="19" width="34" customWidth="1"/>
  </cols>
  <sheetData>
    <row r="1" spans="1:19" ht="24" customHeight="1">
      <c r="A1" s="82" t="s">
        <v>1940</v>
      </c>
      <c r="B1" s="82"/>
      <c r="C1" s="82"/>
      <c r="D1" s="82"/>
      <c r="E1" s="82"/>
      <c r="F1" s="82"/>
      <c r="G1" s="82"/>
      <c r="H1" s="82"/>
      <c r="I1" s="82"/>
      <c r="J1" s="82"/>
      <c r="K1" s="82"/>
      <c r="L1" s="82"/>
    </row>
    <row r="2" spans="1:19" ht="24" customHeight="1">
      <c r="A2" s="82"/>
      <c r="B2" s="82"/>
      <c r="C2" s="82"/>
      <c r="D2" s="82"/>
      <c r="E2" s="82"/>
      <c r="F2" s="82"/>
      <c r="G2" s="82"/>
      <c r="H2" s="82"/>
      <c r="I2" s="82"/>
      <c r="J2" s="82"/>
      <c r="K2" s="82"/>
      <c r="L2" s="82"/>
    </row>
    <row r="4" spans="1:19" ht="22.35" customHeight="1">
      <c r="A4" s="12" t="s">
        <v>1941</v>
      </c>
      <c r="B4" s="12" t="s">
        <v>179</v>
      </c>
      <c r="C4" s="12" t="s">
        <v>1942</v>
      </c>
      <c r="D4" s="12" t="s">
        <v>1943</v>
      </c>
      <c r="E4" s="12" t="s">
        <v>1944</v>
      </c>
      <c r="F4" s="12" t="s">
        <v>1945</v>
      </c>
      <c r="G4" s="12" t="s">
        <v>1946</v>
      </c>
      <c r="H4" s="12" t="s">
        <v>1947</v>
      </c>
      <c r="I4" s="12" t="s">
        <v>221</v>
      </c>
      <c r="J4" s="12" t="s">
        <v>222</v>
      </c>
      <c r="K4" s="12" t="s">
        <v>224</v>
      </c>
      <c r="L4" s="12" t="s">
        <v>1948</v>
      </c>
      <c r="N4" s="17" t="s">
        <v>1942</v>
      </c>
      <c r="O4" s="17" t="s">
        <v>1949</v>
      </c>
      <c r="P4" s="17" t="s">
        <v>1950</v>
      </c>
      <c r="Q4" s="17" t="s">
        <v>1951</v>
      </c>
      <c r="R4" s="17" t="s">
        <v>1952</v>
      </c>
      <c r="S4" s="17" t="s">
        <v>1953</v>
      </c>
    </row>
    <row r="5" spans="1:19">
      <c r="A5" t="s">
        <v>1954</v>
      </c>
      <c r="B5">
        <v>23897</v>
      </c>
      <c r="C5" s="16">
        <v>500</v>
      </c>
      <c r="D5" s="16">
        <v>33.297600000000003</v>
      </c>
      <c r="E5" s="16">
        <f t="shared" ref="E5:E19" si="0">ABS(D5)</f>
        <v>33.297600000000003</v>
      </c>
      <c r="F5" s="16">
        <f t="shared" ref="F5:F19" si="1">E5-C5</f>
        <v>-466.70240000000001</v>
      </c>
      <c r="G5" s="16">
        <f t="shared" ref="G5:G19" si="2">IF(C5&lt;&gt;0,F5/C5*100,"")</f>
        <v>-93.340479999999999</v>
      </c>
      <c r="H5" s="16">
        <f t="shared" ref="H5:H19" si="3">ABS(F5)</f>
        <v>466.70240000000001</v>
      </c>
      <c r="I5">
        <v>1</v>
      </c>
      <c r="J5">
        <v>1</v>
      </c>
      <c r="K5" t="s">
        <v>267</v>
      </c>
      <c r="L5" t="s">
        <v>1955</v>
      </c>
      <c r="N5">
        <v>500</v>
      </c>
      <c r="O5">
        <f>COUNTIF($C$5:$C$19,N5)</f>
        <v>5</v>
      </c>
      <c r="P5">
        <f>AVERAGEIF($C$5:$C$19,N5,$E$5:$E$19)</f>
        <v>17.136199999999999</v>
      </c>
      <c r="Q5">
        <f>AVERAGEIF($C$5:$C$19,N5,$F$5:$F$19)</f>
        <v>-482.86379999999997</v>
      </c>
      <c r="R5">
        <f>AVERAGEIF($C$5:$C$19,N5,$H$5:$H$19)</f>
        <v>482.86379999999997</v>
      </c>
      <c r="S5">
        <f>SUMIF($C$5:$C$19,N5,$H$5:$H$19)/N5/O5*100</f>
        <v>96.572759999999988</v>
      </c>
    </row>
    <row r="6" spans="1:19">
      <c r="A6" t="s">
        <v>1956</v>
      </c>
      <c r="B6">
        <v>24279</v>
      </c>
      <c r="C6" s="16">
        <v>500</v>
      </c>
      <c r="D6" s="16">
        <v>23.15</v>
      </c>
      <c r="E6" s="16">
        <f t="shared" si="0"/>
        <v>23.15</v>
      </c>
      <c r="F6" s="16">
        <f t="shared" si="1"/>
        <v>-476.85</v>
      </c>
      <c r="G6" s="16">
        <f t="shared" si="2"/>
        <v>-95.37</v>
      </c>
      <c r="H6" s="16">
        <f t="shared" si="3"/>
        <v>476.85</v>
      </c>
      <c r="I6">
        <v>1</v>
      </c>
      <c r="J6">
        <v>2</v>
      </c>
      <c r="K6" t="s">
        <v>267</v>
      </c>
      <c r="L6" t="s">
        <v>1955</v>
      </c>
      <c r="N6">
        <v>1000</v>
      </c>
      <c r="O6">
        <f>COUNTIF($C$5:$C$19,N6)</f>
        <v>5</v>
      </c>
      <c r="P6">
        <f>AVERAGEIF($C$5:$C$19,N6,$E$5:$E$19)</f>
        <v>6.1990600000000002</v>
      </c>
      <c r="Q6">
        <f>AVERAGEIF($C$5:$C$19,N6,$F$5:$F$19)</f>
        <v>-993.80094000000008</v>
      </c>
      <c r="R6">
        <f>AVERAGEIF($C$5:$C$19,N6,$H$5:$H$19)</f>
        <v>993.80094000000008</v>
      </c>
      <c r="S6">
        <f>SUMIF($C$5:$C$19,N6,$H$5:$H$19)/N6/O6*100</f>
        <v>99.380094000000014</v>
      </c>
    </row>
    <row r="7" spans="1:19">
      <c r="A7" t="s">
        <v>1957</v>
      </c>
      <c r="B7">
        <v>24594</v>
      </c>
      <c r="C7" s="16">
        <v>500</v>
      </c>
      <c r="D7" s="16">
        <v>7.6905000000000001</v>
      </c>
      <c r="E7" s="16">
        <f t="shared" si="0"/>
        <v>7.6905000000000001</v>
      </c>
      <c r="F7" s="16">
        <f t="shared" si="1"/>
        <v>-492.30950000000001</v>
      </c>
      <c r="G7" s="16">
        <f t="shared" si="2"/>
        <v>-98.4619</v>
      </c>
      <c r="H7" s="16">
        <f t="shared" si="3"/>
        <v>492.30950000000001</v>
      </c>
      <c r="I7">
        <v>1</v>
      </c>
      <c r="J7">
        <v>3</v>
      </c>
      <c r="K7" t="s">
        <v>267</v>
      </c>
      <c r="L7" t="s">
        <v>1955</v>
      </c>
      <c r="N7">
        <v>2000</v>
      </c>
      <c r="O7">
        <f>COUNTIF($C$5:$C$19,N7)</f>
        <v>5</v>
      </c>
      <c r="P7">
        <f>AVERAGEIF($C$5:$C$19,N7,$E$5:$E$19)</f>
        <v>2.7609599999999999</v>
      </c>
      <c r="Q7">
        <f>AVERAGEIF($C$5:$C$19,N7,$F$5:$F$19)</f>
        <v>-1997.2390399999999</v>
      </c>
      <c r="R7">
        <f>AVERAGEIF($C$5:$C$19,N7,$H$5:$H$19)</f>
        <v>1997.2390399999999</v>
      </c>
      <c r="S7">
        <f>SUMIF($C$5:$C$19,N7,$H$5:$H$19)/N7/O7*100</f>
        <v>99.861952000000002</v>
      </c>
    </row>
    <row r="8" spans="1:19">
      <c r="A8" t="s">
        <v>1958</v>
      </c>
      <c r="B8">
        <v>24907</v>
      </c>
      <c r="C8" s="16">
        <v>500</v>
      </c>
      <c r="D8" s="16">
        <v>14.7905</v>
      </c>
      <c r="E8" s="16">
        <f t="shared" si="0"/>
        <v>14.7905</v>
      </c>
      <c r="F8" s="16">
        <f t="shared" si="1"/>
        <v>-485.20949999999999</v>
      </c>
      <c r="G8" s="16">
        <f t="shared" si="2"/>
        <v>-97.041899999999998</v>
      </c>
      <c r="H8" s="16">
        <f t="shared" si="3"/>
        <v>485.20949999999999</v>
      </c>
      <c r="I8">
        <v>1</v>
      </c>
      <c r="J8">
        <v>4</v>
      </c>
      <c r="K8" t="s">
        <v>267</v>
      </c>
      <c r="L8" t="s">
        <v>1955</v>
      </c>
    </row>
    <row r="9" spans="1:19">
      <c r="A9" t="s">
        <v>1959</v>
      </c>
      <c r="B9">
        <v>25223</v>
      </c>
      <c r="C9" s="16">
        <v>500</v>
      </c>
      <c r="D9" s="16">
        <v>6.7523999999999997</v>
      </c>
      <c r="E9" s="16">
        <f t="shared" si="0"/>
        <v>6.7523999999999997</v>
      </c>
      <c r="F9" s="16">
        <f t="shared" si="1"/>
        <v>-493.24759999999998</v>
      </c>
      <c r="G9" s="16">
        <f t="shared" si="2"/>
        <v>-98.649519999999995</v>
      </c>
      <c r="H9" s="16">
        <f t="shared" si="3"/>
        <v>493.24759999999998</v>
      </c>
      <c r="I9">
        <v>1</v>
      </c>
      <c r="J9">
        <v>5</v>
      </c>
      <c r="K9" t="s">
        <v>267</v>
      </c>
      <c r="L9" t="s">
        <v>1955</v>
      </c>
    </row>
    <row r="10" spans="1:19" ht="22.35" customHeight="1">
      <c r="A10" t="s">
        <v>1960</v>
      </c>
      <c r="B10">
        <v>25536</v>
      </c>
      <c r="C10" s="16">
        <v>1000</v>
      </c>
      <c r="D10" s="16">
        <v>10.588100000000001</v>
      </c>
      <c r="E10" s="16">
        <f t="shared" si="0"/>
        <v>10.588100000000001</v>
      </c>
      <c r="F10" s="16">
        <f t="shared" si="1"/>
        <v>-989.41189999999995</v>
      </c>
      <c r="G10" s="16">
        <f t="shared" si="2"/>
        <v>-98.941189999999992</v>
      </c>
      <c r="H10" s="16">
        <f t="shared" si="3"/>
        <v>989.41189999999995</v>
      </c>
      <c r="I10">
        <v>2</v>
      </c>
      <c r="J10">
        <v>1</v>
      </c>
      <c r="K10" t="s">
        <v>267</v>
      </c>
      <c r="L10" t="s">
        <v>1955</v>
      </c>
      <c r="N10" s="11" t="s">
        <v>1961</v>
      </c>
      <c r="O10" s="11" t="s">
        <v>82</v>
      </c>
      <c r="P10" s="11" t="s">
        <v>83</v>
      </c>
      <c r="Q10" s="11" t="s">
        <v>1962</v>
      </c>
    </row>
    <row r="11" spans="1:19" ht="41.4">
      <c r="A11" t="s">
        <v>1963</v>
      </c>
      <c r="B11">
        <v>25852</v>
      </c>
      <c r="C11" s="16">
        <v>1000</v>
      </c>
      <c r="D11" s="16">
        <v>12.7286</v>
      </c>
      <c r="E11" s="16">
        <f t="shared" si="0"/>
        <v>12.7286</v>
      </c>
      <c r="F11" s="16">
        <f t="shared" si="1"/>
        <v>-987.27139999999997</v>
      </c>
      <c r="G11" s="16">
        <f t="shared" si="2"/>
        <v>-98.727140000000006</v>
      </c>
      <c r="H11" s="16">
        <f t="shared" si="3"/>
        <v>987.27139999999997</v>
      </c>
      <c r="I11">
        <v>2</v>
      </c>
      <c r="J11">
        <v>2</v>
      </c>
      <c r="K11" t="s">
        <v>267</v>
      </c>
      <c r="L11" t="s">
        <v>1955</v>
      </c>
      <c r="N11" s="3" t="s">
        <v>1964</v>
      </c>
      <c r="O11" s="3">
        <v>98.60493533333333</v>
      </c>
      <c r="P11" s="3" t="s">
        <v>1965</v>
      </c>
      <c r="Q11" s="3" t="s">
        <v>1966</v>
      </c>
    </row>
    <row r="12" spans="1:19" ht="27.6">
      <c r="A12" t="s">
        <v>1967</v>
      </c>
      <c r="B12">
        <v>26169</v>
      </c>
      <c r="C12" s="16">
        <v>1000</v>
      </c>
      <c r="D12" s="16">
        <v>-1.7786</v>
      </c>
      <c r="E12" s="16">
        <f t="shared" si="0"/>
        <v>1.7786</v>
      </c>
      <c r="F12" s="16">
        <f t="shared" si="1"/>
        <v>-998.22140000000002</v>
      </c>
      <c r="G12" s="16">
        <f t="shared" si="2"/>
        <v>-99.822140000000005</v>
      </c>
      <c r="H12" s="16">
        <f t="shared" si="3"/>
        <v>998.22140000000002</v>
      </c>
      <c r="I12">
        <v>2</v>
      </c>
      <c r="J12">
        <v>3</v>
      </c>
      <c r="K12" t="s">
        <v>267</v>
      </c>
      <c r="L12" t="s">
        <v>1955</v>
      </c>
      <c r="N12" s="3" t="s">
        <v>1968</v>
      </c>
      <c r="O12" s="3">
        <v>3</v>
      </c>
      <c r="P12" s="3" t="s">
        <v>1969</v>
      </c>
      <c r="Q12" s="3" t="s">
        <v>1970</v>
      </c>
    </row>
    <row r="13" spans="1:19" ht="69">
      <c r="A13" t="s">
        <v>1971</v>
      </c>
      <c r="B13">
        <v>26487</v>
      </c>
      <c r="C13" s="16">
        <v>1000</v>
      </c>
      <c r="D13" s="16">
        <v>-2.8142999999999998</v>
      </c>
      <c r="E13" s="16">
        <f t="shared" si="0"/>
        <v>2.8142999999999998</v>
      </c>
      <c r="F13" s="16">
        <f t="shared" si="1"/>
        <v>-997.1857</v>
      </c>
      <c r="G13" s="16">
        <f t="shared" si="2"/>
        <v>-99.71857</v>
      </c>
      <c r="H13" s="16">
        <f t="shared" si="3"/>
        <v>997.1857</v>
      </c>
      <c r="I13">
        <v>2</v>
      </c>
      <c r="J13">
        <v>4</v>
      </c>
      <c r="K13" t="s">
        <v>267</v>
      </c>
      <c r="L13" t="s">
        <v>1955</v>
      </c>
      <c r="N13" s="3" t="s">
        <v>1972</v>
      </c>
      <c r="O13" s="3" t="s">
        <v>1973</v>
      </c>
      <c r="P13" s="3"/>
      <c r="Q13" s="3" t="s">
        <v>1974</v>
      </c>
    </row>
    <row r="14" spans="1:19">
      <c r="A14" t="s">
        <v>1975</v>
      </c>
      <c r="B14">
        <v>26806</v>
      </c>
      <c r="C14" s="16">
        <v>1000</v>
      </c>
      <c r="D14" s="16">
        <v>-3.0857000000000001</v>
      </c>
      <c r="E14" s="16">
        <f t="shared" si="0"/>
        <v>3.0857000000000001</v>
      </c>
      <c r="F14" s="16">
        <f t="shared" si="1"/>
        <v>-996.91430000000003</v>
      </c>
      <c r="G14" s="16">
        <f t="shared" si="2"/>
        <v>-99.691429999999997</v>
      </c>
      <c r="H14" s="16">
        <f t="shared" si="3"/>
        <v>996.91430000000003</v>
      </c>
      <c r="I14">
        <v>2</v>
      </c>
      <c r="J14">
        <v>5</v>
      </c>
      <c r="K14" t="s">
        <v>267</v>
      </c>
      <c r="L14" t="s">
        <v>1955</v>
      </c>
    </row>
    <row r="15" spans="1:19" ht="22.35" customHeight="1">
      <c r="A15" t="s">
        <v>1976</v>
      </c>
      <c r="B15">
        <v>27124</v>
      </c>
      <c r="C15" s="16">
        <v>2000</v>
      </c>
      <c r="D15" s="16">
        <v>-3.1166999999999998</v>
      </c>
      <c r="E15" s="16">
        <f t="shared" si="0"/>
        <v>3.1166999999999998</v>
      </c>
      <c r="F15" s="16">
        <f t="shared" si="1"/>
        <v>-1996.8833</v>
      </c>
      <c r="G15" s="16">
        <f t="shared" si="2"/>
        <v>-99.84416499999999</v>
      </c>
      <c r="H15" s="16">
        <f t="shared" si="3"/>
        <v>1996.8833</v>
      </c>
      <c r="I15">
        <v>3</v>
      </c>
      <c r="J15">
        <v>1</v>
      </c>
      <c r="K15" t="s">
        <v>267</v>
      </c>
      <c r="L15" t="s">
        <v>1955</v>
      </c>
      <c r="N15" s="83" t="s">
        <v>1977</v>
      </c>
      <c r="O15" s="83"/>
      <c r="P15" s="83"/>
      <c r="Q15" s="83"/>
      <c r="R15" s="83"/>
      <c r="S15" s="83"/>
    </row>
    <row r="16" spans="1:19" ht="27.6">
      <c r="A16" t="s">
        <v>1978</v>
      </c>
      <c r="B16">
        <v>27444</v>
      </c>
      <c r="C16" s="16">
        <v>2000</v>
      </c>
      <c r="D16" s="16">
        <v>-3.0095000000000001</v>
      </c>
      <c r="E16" s="16">
        <f t="shared" si="0"/>
        <v>3.0095000000000001</v>
      </c>
      <c r="F16" s="16">
        <f t="shared" si="1"/>
        <v>-1996.9905000000001</v>
      </c>
      <c r="G16" s="16">
        <f t="shared" si="2"/>
        <v>-99.849525</v>
      </c>
      <c r="H16" s="16">
        <f t="shared" si="3"/>
        <v>1996.9905000000001</v>
      </c>
      <c r="I16">
        <v>3</v>
      </c>
      <c r="J16">
        <v>2</v>
      </c>
      <c r="K16" t="s">
        <v>267</v>
      </c>
      <c r="L16" t="s">
        <v>1955</v>
      </c>
      <c r="N16" s="26" t="s">
        <v>1979</v>
      </c>
      <c r="O16" s="27">
        <v>420</v>
      </c>
      <c r="P16" s="27" t="s">
        <v>146</v>
      </c>
      <c r="Q16" s="27" t="s">
        <v>1980</v>
      </c>
      <c r="R16" s="27" t="s">
        <v>1981</v>
      </c>
      <c r="S16" s="28"/>
    </row>
    <row r="17" spans="1:19" ht="27.6">
      <c r="A17" t="s">
        <v>1982</v>
      </c>
      <c r="B17">
        <v>27763</v>
      </c>
      <c r="C17" s="16">
        <v>2000</v>
      </c>
      <c r="D17" s="16">
        <v>-2.5143</v>
      </c>
      <c r="E17" s="16">
        <f t="shared" si="0"/>
        <v>2.5143</v>
      </c>
      <c r="F17" s="16">
        <f t="shared" si="1"/>
        <v>-1997.4857</v>
      </c>
      <c r="G17" s="16">
        <f t="shared" si="2"/>
        <v>-99.874285</v>
      </c>
      <c r="H17" s="16">
        <f t="shared" si="3"/>
        <v>1997.4857</v>
      </c>
      <c r="I17">
        <v>3</v>
      </c>
      <c r="J17">
        <v>3</v>
      </c>
      <c r="K17" t="s">
        <v>267</v>
      </c>
      <c r="L17" t="s">
        <v>1955</v>
      </c>
      <c r="N17" s="24" t="s">
        <v>1983</v>
      </c>
      <c r="O17" s="20" t="s">
        <v>1984</v>
      </c>
      <c r="P17" s="20"/>
      <c r="Q17" s="20" t="s">
        <v>1985</v>
      </c>
      <c r="R17" s="20" t="s">
        <v>1986</v>
      </c>
      <c r="S17" s="21"/>
    </row>
    <row r="18" spans="1:19" ht="27.6">
      <c r="A18" t="s">
        <v>1987</v>
      </c>
      <c r="B18">
        <v>28083</v>
      </c>
      <c r="C18" s="16">
        <v>2000</v>
      </c>
      <c r="D18" s="16">
        <v>-2.5832999999999999</v>
      </c>
      <c r="E18" s="16">
        <f t="shared" si="0"/>
        <v>2.5832999999999999</v>
      </c>
      <c r="F18" s="16">
        <f t="shared" si="1"/>
        <v>-1997.4167</v>
      </c>
      <c r="G18" s="16">
        <f t="shared" si="2"/>
        <v>-99.870835</v>
      </c>
      <c r="H18" s="16">
        <f t="shared" si="3"/>
        <v>1997.4167</v>
      </c>
      <c r="I18">
        <v>3</v>
      </c>
      <c r="J18">
        <v>4</v>
      </c>
      <c r="K18" t="s">
        <v>267</v>
      </c>
      <c r="L18" t="s">
        <v>1955</v>
      </c>
      <c r="N18" s="24" t="s">
        <v>1988</v>
      </c>
      <c r="O18" s="20" t="s">
        <v>1989</v>
      </c>
      <c r="P18" s="20" t="s">
        <v>125</v>
      </c>
      <c r="Q18" s="20" t="s">
        <v>1985</v>
      </c>
      <c r="R18" s="20" t="s">
        <v>1990</v>
      </c>
      <c r="S18" s="21"/>
    </row>
    <row r="19" spans="1:19" ht="27.6">
      <c r="A19" t="s">
        <v>1991</v>
      </c>
      <c r="B19">
        <v>28402</v>
      </c>
      <c r="C19" s="16">
        <v>2000</v>
      </c>
      <c r="D19" s="16">
        <v>-2.581</v>
      </c>
      <c r="E19" s="16">
        <f t="shared" si="0"/>
        <v>2.581</v>
      </c>
      <c r="F19" s="16">
        <f t="shared" si="1"/>
        <v>-1997.4190000000001</v>
      </c>
      <c r="G19" s="16">
        <f t="shared" si="2"/>
        <v>-99.870950000000008</v>
      </c>
      <c r="H19" s="16">
        <f t="shared" si="3"/>
        <v>1997.4190000000001</v>
      </c>
      <c r="I19">
        <v>3</v>
      </c>
      <c r="J19">
        <v>5</v>
      </c>
      <c r="K19" t="s">
        <v>267</v>
      </c>
      <c r="L19" t="s">
        <v>1955</v>
      </c>
      <c r="N19" s="25" t="s">
        <v>1992</v>
      </c>
      <c r="O19" s="22">
        <v>10</v>
      </c>
      <c r="P19" s="22" t="s">
        <v>125</v>
      </c>
      <c r="Q19" s="22" t="s">
        <v>1993</v>
      </c>
      <c r="R19" s="22" t="s">
        <v>1994</v>
      </c>
      <c r="S19" s="23"/>
    </row>
  </sheetData>
  <mergeCells count="2">
    <mergeCell ref="A1:L2"/>
    <mergeCell ref="N15:S15"/>
  </mergeCells>
  <conditionalFormatting sqref="G5:G19">
    <cfRule type="colorScale" priority="1">
      <colorScale>
        <cfvo type="min"/>
        <cfvo type="percentile" val="50"/>
        <cfvo type="max"/>
        <color rgb="FF63BE7B"/>
        <color rgb="FFFFEB84"/>
        <color rgb="FFF8696B"/>
      </colorScale>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17"/>
  <sheetViews>
    <sheetView workbookViewId="0"/>
  </sheetViews>
  <sheetFormatPr defaultRowHeight="13.8"/>
  <cols>
    <col min="1" max="1" width="12" customWidth="1"/>
    <col min="2" max="3" width="13" customWidth="1"/>
    <col min="4" max="4" width="20" customWidth="1"/>
    <col min="5" max="5" width="28" customWidth="1"/>
    <col min="6" max="6" width="13" customWidth="1"/>
    <col min="7" max="8" width="15" customWidth="1"/>
    <col min="9" max="9" width="45" customWidth="1"/>
    <col min="10" max="10" width="12" customWidth="1"/>
    <col min="11" max="11" width="38" customWidth="1"/>
    <col min="12" max="12" width="48" customWidth="1"/>
    <col min="13" max="13" width="30" customWidth="1"/>
  </cols>
  <sheetData>
    <row r="1" spans="1:13" ht="24" customHeight="1">
      <c r="A1" s="84" t="s">
        <v>1995</v>
      </c>
      <c r="B1" s="84"/>
      <c r="C1" s="84"/>
      <c r="D1" s="84"/>
      <c r="E1" s="84"/>
      <c r="F1" s="84"/>
      <c r="G1" s="84"/>
      <c r="H1" s="84"/>
      <c r="I1" s="84"/>
      <c r="J1" s="84"/>
      <c r="K1" s="84"/>
      <c r="L1" s="84"/>
      <c r="M1" s="84"/>
    </row>
    <row r="2" spans="1:13" ht="24" customHeight="1">
      <c r="A2" s="84"/>
      <c r="B2" s="84"/>
      <c r="C2" s="84"/>
      <c r="D2" s="84"/>
      <c r="E2" s="84"/>
      <c r="F2" s="84"/>
      <c r="G2" s="84"/>
      <c r="H2" s="84"/>
      <c r="I2" s="84"/>
      <c r="J2" s="84"/>
      <c r="K2" s="84"/>
      <c r="L2" s="84"/>
      <c r="M2" s="84"/>
    </row>
    <row r="4" spans="1:13" ht="22.35" customHeight="1">
      <c r="A4" s="11" t="s">
        <v>1996</v>
      </c>
      <c r="B4" s="11" t="s">
        <v>179</v>
      </c>
      <c r="C4" s="11" t="s">
        <v>180</v>
      </c>
      <c r="D4" s="11" t="s">
        <v>183</v>
      </c>
      <c r="E4" s="11" t="s">
        <v>1997</v>
      </c>
      <c r="F4" s="11" t="s">
        <v>1998</v>
      </c>
      <c r="G4" s="11" t="s">
        <v>187</v>
      </c>
      <c r="H4" s="11" t="s">
        <v>188</v>
      </c>
      <c r="I4" s="11" t="s">
        <v>1999</v>
      </c>
      <c r="J4" s="11" t="s">
        <v>2000</v>
      </c>
      <c r="K4" s="11" t="s">
        <v>2001</v>
      </c>
      <c r="L4" s="11" t="s">
        <v>228</v>
      </c>
      <c r="M4" s="11" t="s">
        <v>229</v>
      </c>
    </row>
    <row r="5" spans="1:13" ht="27.6">
      <c r="A5" t="s">
        <v>2002</v>
      </c>
      <c r="B5">
        <v>0</v>
      </c>
      <c r="C5">
        <v>0</v>
      </c>
      <c r="D5" t="s">
        <v>373</v>
      </c>
      <c r="E5" t="s">
        <v>375</v>
      </c>
      <c r="F5" t="s">
        <v>2003</v>
      </c>
      <c r="I5" s="3" t="s">
        <v>376</v>
      </c>
      <c r="J5" s="3"/>
      <c r="K5" s="3" t="s">
        <v>376</v>
      </c>
      <c r="L5" s="3" t="s">
        <v>247</v>
      </c>
      <c r="M5" s="3"/>
    </row>
    <row r="6" spans="1:13">
      <c r="A6" t="s">
        <v>2004</v>
      </c>
      <c r="B6">
        <v>0</v>
      </c>
      <c r="C6">
        <v>0</v>
      </c>
      <c r="D6" t="s">
        <v>373</v>
      </c>
      <c r="E6" t="s">
        <v>379</v>
      </c>
      <c r="F6" t="s">
        <v>2003</v>
      </c>
      <c r="I6" s="3" t="s">
        <v>380</v>
      </c>
      <c r="J6" s="3"/>
      <c r="K6" s="3" t="s">
        <v>380</v>
      </c>
      <c r="L6" s="3" t="s">
        <v>247</v>
      </c>
      <c r="M6" s="3"/>
    </row>
    <row r="7" spans="1:13">
      <c r="A7" t="s">
        <v>2005</v>
      </c>
      <c r="B7">
        <v>0</v>
      </c>
      <c r="C7">
        <v>0</v>
      </c>
      <c r="D7" t="s">
        <v>91</v>
      </c>
      <c r="E7" t="s">
        <v>382</v>
      </c>
      <c r="F7" t="s">
        <v>2003</v>
      </c>
      <c r="I7" s="3" t="s">
        <v>383</v>
      </c>
      <c r="J7" s="3"/>
      <c r="K7" s="3" t="s">
        <v>383</v>
      </c>
      <c r="L7" s="3" t="s">
        <v>247</v>
      </c>
      <c r="M7" s="3"/>
    </row>
    <row r="8" spans="1:13">
      <c r="A8" t="s">
        <v>2006</v>
      </c>
      <c r="B8">
        <v>5374</v>
      </c>
      <c r="C8">
        <v>5.3739999999999997</v>
      </c>
      <c r="D8" t="s">
        <v>157</v>
      </c>
      <c r="E8" t="s">
        <v>244</v>
      </c>
      <c r="F8" t="s">
        <v>2003</v>
      </c>
      <c r="I8" s="3" t="s">
        <v>245</v>
      </c>
      <c r="J8" s="3"/>
      <c r="K8" s="3" t="s">
        <v>2007</v>
      </c>
      <c r="L8" s="3" t="s">
        <v>247</v>
      </c>
      <c r="M8" s="3" t="s">
        <v>2008</v>
      </c>
    </row>
    <row r="9" spans="1:13">
      <c r="A9" t="s">
        <v>2009</v>
      </c>
      <c r="B9">
        <v>5419</v>
      </c>
      <c r="C9">
        <v>5.4189999999999996</v>
      </c>
      <c r="D9" t="s">
        <v>157</v>
      </c>
      <c r="E9" t="s">
        <v>244</v>
      </c>
      <c r="F9" t="s">
        <v>2003</v>
      </c>
      <c r="I9" s="3" t="s">
        <v>245</v>
      </c>
      <c r="J9" s="3"/>
      <c r="K9" s="3" t="s">
        <v>2007</v>
      </c>
      <c r="L9" s="3" t="s">
        <v>247</v>
      </c>
      <c r="M9" s="3" t="s">
        <v>2008</v>
      </c>
    </row>
    <row r="10" spans="1:13" ht="27.6">
      <c r="A10" t="s">
        <v>2010</v>
      </c>
      <c r="B10">
        <v>8001</v>
      </c>
      <c r="C10">
        <v>8.0009999999999994</v>
      </c>
      <c r="D10" t="s">
        <v>91</v>
      </c>
      <c r="E10" t="s">
        <v>250</v>
      </c>
      <c r="F10" t="s">
        <v>2003</v>
      </c>
      <c r="I10" s="3" t="s">
        <v>251</v>
      </c>
      <c r="J10" s="3"/>
      <c r="K10" s="3" t="s">
        <v>2011</v>
      </c>
      <c r="L10" s="3" t="s">
        <v>252</v>
      </c>
      <c r="M10" s="3" t="s">
        <v>2008</v>
      </c>
    </row>
    <row r="11" spans="1:13" ht="27.6">
      <c r="A11" t="s">
        <v>2012</v>
      </c>
      <c r="B11">
        <v>8001</v>
      </c>
      <c r="C11">
        <v>8.0009999999999994</v>
      </c>
      <c r="D11" t="s">
        <v>91</v>
      </c>
      <c r="E11" t="s">
        <v>250</v>
      </c>
      <c r="F11" t="s">
        <v>2003</v>
      </c>
      <c r="I11" s="3" t="s">
        <v>251</v>
      </c>
      <c r="J11" s="3"/>
      <c r="K11" s="3" t="s">
        <v>2011</v>
      </c>
      <c r="L11" s="3" t="s">
        <v>252</v>
      </c>
      <c r="M11" s="3" t="s">
        <v>2008</v>
      </c>
    </row>
    <row r="12" spans="1:13">
      <c r="A12" t="s">
        <v>2013</v>
      </c>
      <c r="B12">
        <v>8513</v>
      </c>
      <c r="C12">
        <v>8.5129999999999999</v>
      </c>
      <c r="D12" t="s">
        <v>91</v>
      </c>
      <c r="E12" t="s">
        <v>254</v>
      </c>
      <c r="F12" t="s">
        <v>2003</v>
      </c>
      <c r="I12" s="3" t="s">
        <v>255</v>
      </c>
      <c r="J12" s="3"/>
      <c r="K12" s="3" t="s">
        <v>2014</v>
      </c>
      <c r="L12" s="3" t="s">
        <v>247</v>
      </c>
      <c r="M12" s="3" t="s">
        <v>2008</v>
      </c>
    </row>
    <row r="13" spans="1:13">
      <c r="A13" t="s">
        <v>2015</v>
      </c>
      <c r="B13">
        <v>8514</v>
      </c>
      <c r="C13">
        <v>8.5139999999999993</v>
      </c>
      <c r="D13" t="s">
        <v>91</v>
      </c>
      <c r="E13" t="s">
        <v>254</v>
      </c>
      <c r="F13" t="s">
        <v>2003</v>
      </c>
      <c r="I13" s="3" t="s">
        <v>255</v>
      </c>
      <c r="J13" s="3"/>
      <c r="K13" s="3" t="s">
        <v>2014</v>
      </c>
      <c r="L13" s="3" t="s">
        <v>247</v>
      </c>
      <c r="M13" s="3" t="s">
        <v>2008</v>
      </c>
    </row>
    <row r="14" spans="1:13">
      <c r="A14" t="s">
        <v>2016</v>
      </c>
      <c r="B14">
        <v>23856</v>
      </c>
      <c r="C14">
        <v>23.856000000000002</v>
      </c>
      <c r="D14" t="s">
        <v>157</v>
      </c>
      <c r="E14" t="s">
        <v>259</v>
      </c>
      <c r="F14" t="s">
        <v>2003</v>
      </c>
      <c r="I14" s="3" t="s">
        <v>260</v>
      </c>
      <c r="J14" s="3"/>
      <c r="K14" s="3" t="s">
        <v>2017</v>
      </c>
      <c r="L14" s="3" t="s">
        <v>247</v>
      </c>
      <c r="M14" s="3" t="s">
        <v>2008</v>
      </c>
    </row>
    <row r="15" spans="1:13" ht="27.6">
      <c r="A15" t="s">
        <v>2018</v>
      </c>
      <c r="B15">
        <v>23907</v>
      </c>
      <c r="C15">
        <v>23.907</v>
      </c>
      <c r="D15" t="s">
        <v>91</v>
      </c>
      <c r="E15" t="s">
        <v>250</v>
      </c>
      <c r="F15" t="s">
        <v>2003</v>
      </c>
      <c r="I15" s="3" t="s">
        <v>251</v>
      </c>
      <c r="J15" s="3"/>
      <c r="K15" s="3" t="s">
        <v>2011</v>
      </c>
      <c r="L15" s="3" t="s">
        <v>252</v>
      </c>
      <c r="M15" s="3" t="s">
        <v>2008</v>
      </c>
    </row>
    <row r="16" spans="1:13">
      <c r="A16" t="s">
        <v>2019</v>
      </c>
      <c r="B16">
        <v>23976</v>
      </c>
      <c r="C16">
        <v>23.975999999999999</v>
      </c>
      <c r="D16" t="s">
        <v>91</v>
      </c>
      <c r="E16" t="s">
        <v>254</v>
      </c>
      <c r="F16" t="s">
        <v>2003</v>
      </c>
      <c r="I16" s="3" t="s">
        <v>255</v>
      </c>
      <c r="J16" s="3"/>
      <c r="K16" s="3" t="s">
        <v>2014</v>
      </c>
      <c r="L16" s="3" t="s">
        <v>247</v>
      </c>
      <c r="M16" s="3" t="s">
        <v>2008</v>
      </c>
    </row>
    <row r="17" spans="1:13">
      <c r="A17" t="s">
        <v>2020</v>
      </c>
      <c r="B17">
        <v>29068</v>
      </c>
      <c r="C17">
        <v>29.068000000000001</v>
      </c>
      <c r="D17" t="s">
        <v>157</v>
      </c>
      <c r="E17" t="s">
        <v>244</v>
      </c>
      <c r="F17" t="s">
        <v>2003</v>
      </c>
      <c r="I17" s="3" t="s">
        <v>245</v>
      </c>
      <c r="J17" s="3"/>
      <c r="K17" s="3" t="s">
        <v>2007</v>
      </c>
      <c r="L17" s="3" t="s">
        <v>247</v>
      </c>
      <c r="M17" s="3" t="s">
        <v>2008</v>
      </c>
    </row>
    <row r="18" spans="1:13" ht="27.6">
      <c r="A18" t="s">
        <v>2021</v>
      </c>
      <c r="B18">
        <v>29112</v>
      </c>
      <c r="C18">
        <v>29.111999999999998</v>
      </c>
      <c r="D18" t="s">
        <v>91</v>
      </c>
      <c r="E18" t="s">
        <v>250</v>
      </c>
      <c r="F18" t="s">
        <v>2003</v>
      </c>
      <c r="I18" s="3" t="s">
        <v>251</v>
      </c>
      <c r="J18" s="3"/>
      <c r="K18" s="3" t="s">
        <v>2011</v>
      </c>
      <c r="L18" s="3" t="s">
        <v>252</v>
      </c>
      <c r="M18" s="3" t="s">
        <v>2008</v>
      </c>
    </row>
    <row r="19" spans="1:13">
      <c r="A19" t="s">
        <v>2022</v>
      </c>
      <c r="B19">
        <v>29177</v>
      </c>
      <c r="C19">
        <v>29.177</v>
      </c>
      <c r="D19" t="s">
        <v>91</v>
      </c>
      <c r="E19" t="s">
        <v>254</v>
      </c>
      <c r="F19" t="s">
        <v>2003</v>
      </c>
      <c r="I19" s="3" t="s">
        <v>255</v>
      </c>
      <c r="J19" s="3"/>
      <c r="K19" s="3" t="s">
        <v>2014</v>
      </c>
      <c r="L19" s="3" t="s">
        <v>247</v>
      </c>
      <c r="M19" s="3" t="s">
        <v>2008</v>
      </c>
    </row>
    <row r="20" spans="1:13" ht="27.6">
      <c r="A20" t="s">
        <v>2023</v>
      </c>
      <c r="B20">
        <v>39358</v>
      </c>
      <c r="C20">
        <v>39.357999999999997</v>
      </c>
      <c r="D20" t="s">
        <v>91</v>
      </c>
      <c r="E20" t="s">
        <v>250</v>
      </c>
      <c r="F20" t="s">
        <v>2003</v>
      </c>
      <c r="I20" s="3" t="s">
        <v>251</v>
      </c>
      <c r="J20" s="3"/>
      <c r="K20" s="3" t="s">
        <v>2011</v>
      </c>
      <c r="L20" s="3" t="s">
        <v>252</v>
      </c>
      <c r="M20" s="3" t="s">
        <v>2008</v>
      </c>
    </row>
    <row r="21" spans="1:13">
      <c r="A21" t="s">
        <v>2024</v>
      </c>
      <c r="B21">
        <v>39429</v>
      </c>
      <c r="C21">
        <v>39.429000000000002</v>
      </c>
      <c r="D21" t="s">
        <v>91</v>
      </c>
      <c r="E21" t="s">
        <v>254</v>
      </c>
      <c r="F21" t="s">
        <v>2003</v>
      </c>
      <c r="I21" s="3" t="s">
        <v>255</v>
      </c>
      <c r="J21" s="3"/>
      <c r="K21" s="3" t="s">
        <v>2014</v>
      </c>
      <c r="L21" s="3" t="s">
        <v>247</v>
      </c>
      <c r="M21" s="3" t="s">
        <v>2008</v>
      </c>
    </row>
    <row r="22" spans="1:13">
      <c r="A22" t="s">
        <v>2025</v>
      </c>
      <c r="B22">
        <v>44615</v>
      </c>
      <c r="C22">
        <v>44.615000000000002</v>
      </c>
      <c r="D22" t="s">
        <v>157</v>
      </c>
      <c r="E22" t="s">
        <v>259</v>
      </c>
      <c r="F22" t="s">
        <v>2003</v>
      </c>
      <c r="I22" s="3" t="s">
        <v>260</v>
      </c>
      <c r="J22" s="3"/>
      <c r="K22" s="3" t="s">
        <v>2017</v>
      </c>
      <c r="L22" s="3" t="s">
        <v>247</v>
      </c>
      <c r="M22" s="3" t="s">
        <v>2008</v>
      </c>
    </row>
    <row r="23" spans="1:13" ht="27.6">
      <c r="A23" t="s">
        <v>2026</v>
      </c>
      <c r="B23">
        <v>44655</v>
      </c>
      <c r="C23">
        <v>44.655000000000001</v>
      </c>
      <c r="D23" t="s">
        <v>91</v>
      </c>
      <c r="E23" t="s">
        <v>250</v>
      </c>
      <c r="F23" t="s">
        <v>2003</v>
      </c>
      <c r="I23" s="3" t="s">
        <v>251</v>
      </c>
      <c r="J23" s="3"/>
      <c r="K23" s="3" t="s">
        <v>2011</v>
      </c>
      <c r="L23" s="3" t="s">
        <v>252</v>
      </c>
      <c r="M23" s="3" t="s">
        <v>2008</v>
      </c>
    </row>
    <row r="24" spans="1:13">
      <c r="A24" t="s">
        <v>2027</v>
      </c>
      <c r="B24">
        <v>44725</v>
      </c>
      <c r="C24">
        <v>44.725000000000001</v>
      </c>
      <c r="D24" t="s">
        <v>91</v>
      </c>
      <c r="E24" t="s">
        <v>254</v>
      </c>
      <c r="F24" t="s">
        <v>2003</v>
      </c>
      <c r="I24" s="3" t="s">
        <v>255</v>
      </c>
      <c r="J24" s="3"/>
      <c r="K24" s="3" t="s">
        <v>2014</v>
      </c>
      <c r="L24" s="3" t="s">
        <v>247</v>
      </c>
      <c r="M24" s="3" t="s">
        <v>2008</v>
      </c>
    </row>
    <row r="25" spans="1:13" ht="27.6">
      <c r="A25" t="s">
        <v>2028</v>
      </c>
      <c r="B25">
        <v>54812</v>
      </c>
      <c r="C25">
        <v>54.811999999999998</v>
      </c>
      <c r="D25" t="s">
        <v>91</v>
      </c>
      <c r="E25" t="s">
        <v>250</v>
      </c>
      <c r="F25" t="s">
        <v>2003</v>
      </c>
      <c r="I25" s="3" t="s">
        <v>251</v>
      </c>
      <c r="J25" s="3"/>
      <c r="K25" s="3" t="s">
        <v>2011</v>
      </c>
      <c r="L25" s="3" t="s">
        <v>252</v>
      </c>
      <c r="M25" s="3" t="s">
        <v>2008</v>
      </c>
    </row>
    <row r="26" spans="1:13">
      <c r="A26" t="s">
        <v>2029</v>
      </c>
      <c r="B26">
        <v>54882</v>
      </c>
      <c r="C26">
        <v>54.881999999999998</v>
      </c>
      <c r="D26" t="s">
        <v>91</v>
      </c>
      <c r="E26" t="s">
        <v>254</v>
      </c>
      <c r="F26" t="s">
        <v>2003</v>
      </c>
      <c r="I26" s="3" t="s">
        <v>255</v>
      </c>
      <c r="J26" s="3"/>
      <c r="K26" s="3" t="s">
        <v>2014</v>
      </c>
      <c r="L26" s="3" t="s">
        <v>247</v>
      </c>
      <c r="M26" s="3" t="s">
        <v>2008</v>
      </c>
    </row>
    <row r="27" spans="1:13">
      <c r="A27" t="s">
        <v>2030</v>
      </c>
      <c r="B27">
        <v>60171</v>
      </c>
      <c r="C27">
        <v>60.170999999999999</v>
      </c>
      <c r="D27" t="s">
        <v>157</v>
      </c>
      <c r="E27" t="s">
        <v>244</v>
      </c>
      <c r="F27" t="s">
        <v>2003</v>
      </c>
      <c r="I27" s="3" t="s">
        <v>245</v>
      </c>
      <c r="J27" s="3"/>
      <c r="K27" s="3" t="s">
        <v>2007</v>
      </c>
      <c r="L27" s="3" t="s">
        <v>247</v>
      </c>
      <c r="M27" s="3" t="s">
        <v>2008</v>
      </c>
    </row>
    <row r="28" spans="1:13">
      <c r="A28" t="s">
        <v>2031</v>
      </c>
      <c r="B28">
        <v>60223</v>
      </c>
      <c r="C28">
        <v>60.222999999999999</v>
      </c>
      <c r="D28" t="s">
        <v>157</v>
      </c>
      <c r="E28" t="s">
        <v>305</v>
      </c>
      <c r="F28" t="s">
        <v>2032</v>
      </c>
      <c r="I28" s="3" t="s">
        <v>306</v>
      </c>
      <c r="J28" s="3"/>
      <c r="K28" s="3" t="s">
        <v>2033</v>
      </c>
      <c r="L28" s="3" t="s">
        <v>247</v>
      </c>
      <c r="M28" s="3" t="s">
        <v>2008</v>
      </c>
    </row>
    <row r="29" spans="1:13" ht="27.6">
      <c r="A29" t="s">
        <v>2034</v>
      </c>
      <c r="B29">
        <v>60258</v>
      </c>
      <c r="C29">
        <v>60.258000000000003</v>
      </c>
      <c r="D29" t="s">
        <v>91</v>
      </c>
      <c r="E29" t="s">
        <v>250</v>
      </c>
      <c r="F29" t="s">
        <v>2003</v>
      </c>
      <c r="I29" s="3" t="s">
        <v>251</v>
      </c>
      <c r="J29" s="3"/>
      <c r="K29" s="3" t="s">
        <v>2011</v>
      </c>
      <c r="L29" s="3" t="s">
        <v>252</v>
      </c>
      <c r="M29" s="3" t="s">
        <v>2008</v>
      </c>
    </row>
    <row r="30" spans="1:13">
      <c r="A30" t="s">
        <v>2035</v>
      </c>
      <c r="B30">
        <v>60327</v>
      </c>
      <c r="C30">
        <v>60.326999999999998</v>
      </c>
      <c r="D30" t="s">
        <v>91</v>
      </c>
      <c r="E30" t="s">
        <v>254</v>
      </c>
      <c r="F30" t="s">
        <v>2003</v>
      </c>
      <c r="I30" s="3" t="s">
        <v>255</v>
      </c>
      <c r="J30" s="3"/>
      <c r="K30" s="3" t="s">
        <v>2014</v>
      </c>
      <c r="L30" s="3" t="s">
        <v>247</v>
      </c>
      <c r="M30" s="3" t="s">
        <v>2008</v>
      </c>
    </row>
    <row r="31" spans="1:13" ht="27.6">
      <c r="A31" t="s">
        <v>2036</v>
      </c>
      <c r="B31">
        <v>70265</v>
      </c>
      <c r="C31">
        <v>70.265000000000001</v>
      </c>
      <c r="D31" t="s">
        <v>91</v>
      </c>
      <c r="E31" t="s">
        <v>250</v>
      </c>
      <c r="F31" t="s">
        <v>2003</v>
      </c>
      <c r="I31" s="3" t="s">
        <v>251</v>
      </c>
      <c r="J31" s="3"/>
      <c r="K31" s="3" t="s">
        <v>2011</v>
      </c>
      <c r="L31" s="3" t="s">
        <v>252</v>
      </c>
      <c r="M31" s="3" t="s">
        <v>2008</v>
      </c>
    </row>
    <row r="32" spans="1:13">
      <c r="A32" t="s">
        <v>2037</v>
      </c>
      <c r="B32">
        <v>70334</v>
      </c>
      <c r="C32">
        <v>70.334000000000003</v>
      </c>
      <c r="D32" t="s">
        <v>91</v>
      </c>
      <c r="E32" t="s">
        <v>254</v>
      </c>
      <c r="F32" t="s">
        <v>2003</v>
      </c>
      <c r="I32" s="3" t="s">
        <v>255</v>
      </c>
      <c r="J32" s="3"/>
      <c r="K32" s="3" t="s">
        <v>2014</v>
      </c>
      <c r="L32" s="3" t="s">
        <v>247</v>
      </c>
      <c r="M32" s="3" t="s">
        <v>2008</v>
      </c>
    </row>
    <row r="33" spans="1:13">
      <c r="A33" t="s">
        <v>2038</v>
      </c>
      <c r="B33">
        <v>70537</v>
      </c>
      <c r="C33">
        <v>70.537000000000006</v>
      </c>
      <c r="D33" t="s">
        <v>91</v>
      </c>
      <c r="E33" t="s">
        <v>310</v>
      </c>
      <c r="F33" t="s">
        <v>2003</v>
      </c>
      <c r="I33" s="3" t="s">
        <v>311</v>
      </c>
      <c r="J33" s="3"/>
      <c r="K33" s="3" t="s">
        <v>2039</v>
      </c>
      <c r="L33" s="3" t="s">
        <v>247</v>
      </c>
      <c r="M33" s="3" t="s">
        <v>2008</v>
      </c>
    </row>
    <row r="34" spans="1:13">
      <c r="A34" t="s">
        <v>2040</v>
      </c>
      <c r="B34">
        <v>70549</v>
      </c>
      <c r="C34">
        <v>70.549000000000007</v>
      </c>
      <c r="D34" t="s">
        <v>91</v>
      </c>
      <c r="E34" t="s">
        <v>313</v>
      </c>
      <c r="F34" t="s">
        <v>2003</v>
      </c>
      <c r="I34" s="3" t="s">
        <v>314</v>
      </c>
      <c r="J34" s="3"/>
      <c r="K34" s="3" t="s">
        <v>2041</v>
      </c>
      <c r="L34" s="3" t="s">
        <v>247</v>
      </c>
      <c r="M34" s="3" t="s">
        <v>2008</v>
      </c>
    </row>
    <row r="35" spans="1:13">
      <c r="A35" t="s">
        <v>2042</v>
      </c>
      <c r="B35">
        <v>75574</v>
      </c>
      <c r="C35">
        <v>75.573999999999998</v>
      </c>
      <c r="D35" t="s">
        <v>91</v>
      </c>
      <c r="E35" t="s">
        <v>316</v>
      </c>
      <c r="F35" t="s">
        <v>2003</v>
      </c>
      <c r="I35" s="3" t="s">
        <v>317</v>
      </c>
      <c r="J35" s="3"/>
      <c r="K35" s="3" t="s">
        <v>2043</v>
      </c>
      <c r="L35" s="3" t="s">
        <v>247</v>
      </c>
      <c r="M35" s="3" t="s">
        <v>2008</v>
      </c>
    </row>
    <row r="36" spans="1:13">
      <c r="A36" t="s">
        <v>2044</v>
      </c>
      <c r="B36">
        <v>75995</v>
      </c>
      <c r="C36">
        <v>75.995000000000005</v>
      </c>
      <c r="D36" t="s">
        <v>157</v>
      </c>
      <c r="E36" t="s">
        <v>320</v>
      </c>
      <c r="F36" t="s">
        <v>2003</v>
      </c>
      <c r="I36" s="3" t="s">
        <v>321</v>
      </c>
      <c r="J36" s="3"/>
      <c r="K36" s="3" t="s">
        <v>2045</v>
      </c>
      <c r="L36" s="3" t="s">
        <v>247</v>
      </c>
      <c r="M36" s="3" t="s">
        <v>2008</v>
      </c>
    </row>
    <row r="37" spans="1:13" ht="27.6">
      <c r="A37" t="s">
        <v>2046</v>
      </c>
      <c r="B37">
        <v>76036</v>
      </c>
      <c r="C37">
        <v>76.036000000000001</v>
      </c>
      <c r="D37" t="s">
        <v>91</v>
      </c>
      <c r="E37" t="s">
        <v>250</v>
      </c>
      <c r="F37" t="s">
        <v>2003</v>
      </c>
      <c r="I37" s="3" t="s">
        <v>251</v>
      </c>
      <c r="J37" s="3"/>
      <c r="K37" s="3" t="s">
        <v>2011</v>
      </c>
      <c r="L37" s="3" t="s">
        <v>252</v>
      </c>
      <c r="M37" s="3" t="s">
        <v>2008</v>
      </c>
    </row>
    <row r="38" spans="1:13">
      <c r="A38" t="s">
        <v>2047</v>
      </c>
      <c r="B38">
        <v>76106</v>
      </c>
      <c r="C38">
        <v>76.105999999999995</v>
      </c>
      <c r="D38" t="s">
        <v>91</v>
      </c>
      <c r="E38" t="s">
        <v>254</v>
      </c>
      <c r="F38" t="s">
        <v>2003</v>
      </c>
      <c r="I38" s="3" t="s">
        <v>255</v>
      </c>
      <c r="J38" s="3"/>
      <c r="K38" s="3" t="s">
        <v>2014</v>
      </c>
      <c r="L38" s="3" t="s">
        <v>247</v>
      </c>
      <c r="M38" s="3" t="s">
        <v>2008</v>
      </c>
    </row>
    <row r="39" spans="1:13" ht="27.6">
      <c r="A39" t="s">
        <v>2048</v>
      </c>
      <c r="B39">
        <v>85718</v>
      </c>
      <c r="C39">
        <v>85.718000000000004</v>
      </c>
      <c r="D39" t="s">
        <v>91</v>
      </c>
      <c r="E39" t="s">
        <v>250</v>
      </c>
      <c r="F39" t="s">
        <v>2003</v>
      </c>
      <c r="I39" s="3" t="s">
        <v>251</v>
      </c>
      <c r="J39" s="3"/>
      <c r="K39" s="3" t="s">
        <v>2011</v>
      </c>
      <c r="L39" s="3" t="s">
        <v>252</v>
      </c>
      <c r="M39" s="3" t="s">
        <v>2008</v>
      </c>
    </row>
    <row r="40" spans="1:13">
      <c r="A40" t="s">
        <v>2049</v>
      </c>
      <c r="B40">
        <v>85787</v>
      </c>
      <c r="C40">
        <v>85.787000000000006</v>
      </c>
      <c r="D40" t="s">
        <v>91</v>
      </c>
      <c r="E40" t="s">
        <v>254</v>
      </c>
      <c r="F40" t="s">
        <v>2003</v>
      </c>
      <c r="I40" s="3" t="s">
        <v>255</v>
      </c>
      <c r="J40" s="3"/>
      <c r="K40" s="3" t="s">
        <v>2014</v>
      </c>
      <c r="L40" s="3" t="s">
        <v>247</v>
      </c>
      <c r="M40" s="3" t="s">
        <v>2008</v>
      </c>
    </row>
    <row r="41" spans="1:13">
      <c r="A41" t="s">
        <v>2050</v>
      </c>
      <c r="B41">
        <v>91536</v>
      </c>
      <c r="C41">
        <v>91.536000000000001</v>
      </c>
      <c r="D41" t="s">
        <v>157</v>
      </c>
      <c r="E41" t="s">
        <v>259</v>
      </c>
      <c r="F41" t="s">
        <v>2003</v>
      </c>
      <c r="I41" s="3" t="s">
        <v>260</v>
      </c>
      <c r="J41" s="3"/>
      <c r="K41" s="3" t="s">
        <v>2017</v>
      </c>
      <c r="L41" s="3" t="s">
        <v>247</v>
      </c>
      <c r="M41" s="3" t="s">
        <v>2008</v>
      </c>
    </row>
    <row r="42" spans="1:13" ht="27.6">
      <c r="A42" t="s">
        <v>2051</v>
      </c>
      <c r="B42">
        <v>91576</v>
      </c>
      <c r="C42">
        <v>91.575999999999993</v>
      </c>
      <c r="D42" t="s">
        <v>91</v>
      </c>
      <c r="E42" t="s">
        <v>250</v>
      </c>
      <c r="F42" t="s">
        <v>2003</v>
      </c>
      <c r="I42" s="3" t="s">
        <v>251</v>
      </c>
      <c r="J42" s="3"/>
      <c r="K42" s="3" t="s">
        <v>2011</v>
      </c>
      <c r="L42" s="3" t="s">
        <v>252</v>
      </c>
      <c r="M42" s="3" t="s">
        <v>2008</v>
      </c>
    </row>
    <row r="43" spans="1:13">
      <c r="A43" t="s">
        <v>2052</v>
      </c>
      <c r="B43">
        <v>91645</v>
      </c>
      <c r="C43">
        <v>91.644999999999996</v>
      </c>
      <c r="D43" t="s">
        <v>91</v>
      </c>
      <c r="E43" t="s">
        <v>254</v>
      </c>
      <c r="F43" t="s">
        <v>2003</v>
      </c>
      <c r="I43" s="3" t="s">
        <v>255</v>
      </c>
      <c r="J43" s="3"/>
      <c r="K43" s="3" t="s">
        <v>2014</v>
      </c>
      <c r="L43" s="3" t="s">
        <v>247</v>
      </c>
      <c r="M43" s="3" t="s">
        <v>2008</v>
      </c>
    </row>
    <row r="44" spans="1:13" ht="27.6">
      <c r="A44" t="s">
        <v>2053</v>
      </c>
      <c r="B44">
        <v>101175</v>
      </c>
      <c r="C44">
        <v>101.175</v>
      </c>
      <c r="D44" t="s">
        <v>91</v>
      </c>
      <c r="E44" t="s">
        <v>250</v>
      </c>
      <c r="F44" t="s">
        <v>2003</v>
      </c>
      <c r="I44" s="3" t="s">
        <v>251</v>
      </c>
      <c r="J44" s="3"/>
      <c r="K44" s="3" t="s">
        <v>2011</v>
      </c>
      <c r="L44" s="3" t="s">
        <v>252</v>
      </c>
      <c r="M44" s="3" t="s">
        <v>2008</v>
      </c>
    </row>
    <row r="45" spans="1:13">
      <c r="A45" t="s">
        <v>2054</v>
      </c>
      <c r="B45">
        <v>101245</v>
      </c>
      <c r="C45">
        <v>101.245</v>
      </c>
      <c r="D45" t="s">
        <v>91</v>
      </c>
      <c r="E45" t="s">
        <v>254</v>
      </c>
      <c r="F45" t="s">
        <v>2003</v>
      </c>
      <c r="I45" s="3" t="s">
        <v>255</v>
      </c>
      <c r="J45" s="3"/>
      <c r="K45" s="3" t="s">
        <v>2014</v>
      </c>
      <c r="L45" s="3" t="s">
        <v>247</v>
      </c>
      <c r="M45" s="3" t="s">
        <v>2008</v>
      </c>
    </row>
    <row r="46" spans="1:13">
      <c r="A46" t="s">
        <v>2055</v>
      </c>
      <c r="B46">
        <v>107080</v>
      </c>
      <c r="C46">
        <v>107.08</v>
      </c>
      <c r="D46" t="s">
        <v>157</v>
      </c>
      <c r="E46" t="s">
        <v>244</v>
      </c>
      <c r="F46" t="s">
        <v>2003</v>
      </c>
      <c r="I46" s="3" t="s">
        <v>245</v>
      </c>
      <c r="J46" s="3"/>
      <c r="K46" s="3" t="s">
        <v>2007</v>
      </c>
      <c r="L46" s="3" t="s">
        <v>247</v>
      </c>
      <c r="M46" s="3" t="s">
        <v>2008</v>
      </c>
    </row>
    <row r="47" spans="1:13" ht="27.6">
      <c r="A47" t="s">
        <v>2056</v>
      </c>
      <c r="B47">
        <v>107121</v>
      </c>
      <c r="C47">
        <v>107.121</v>
      </c>
      <c r="D47" t="s">
        <v>91</v>
      </c>
      <c r="E47" t="s">
        <v>250</v>
      </c>
      <c r="F47" t="s">
        <v>2003</v>
      </c>
      <c r="I47" s="3" t="s">
        <v>251</v>
      </c>
      <c r="J47" s="3"/>
      <c r="K47" s="3" t="s">
        <v>2011</v>
      </c>
      <c r="L47" s="3" t="s">
        <v>252</v>
      </c>
      <c r="M47" s="3" t="s">
        <v>2008</v>
      </c>
    </row>
    <row r="48" spans="1:13">
      <c r="A48" t="s">
        <v>2057</v>
      </c>
      <c r="B48">
        <v>107192</v>
      </c>
      <c r="C48">
        <v>107.19199999999999</v>
      </c>
      <c r="D48" t="s">
        <v>91</v>
      </c>
      <c r="E48" t="s">
        <v>254</v>
      </c>
      <c r="F48" t="s">
        <v>2003</v>
      </c>
      <c r="I48" s="3" t="s">
        <v>255</v>
      </c>
      <c r="J48" s="3"/>
      <c r="K48" s="3" t="s">
        <v>2014</v>
      </c>
      <c r="L48" s="3" t="s">
        <v>247</v>
      </c>
      <c r="M48" s="3" t="s">
        <v>2008</v>
      </c>
    </row>
    <row r="49" spans="1:13">
      <c r="A49" t="s">
        <v>2058</v>
      </c>
      <c r="B49">
        <v>116719</v>
      </c>
      <c r="C49">
        <v>116.71899999999999</v>
      </c>
      <c r="D49" t="s">
        <v>157</v>
      </c>
      <c r="E49" t="s">
        <v>259</v>
      </c>
      <c r="F49" t="s">
        <v>2003</v>
      </c>
      <c r="I49" s="3" t="s">
        <v>260</v>
      </c>
      <c r="J49" s="3"/>
      <c r="K49" s="3" t="s">
        <v>2017</v>
      </c>
      <c r="L49" s="3" t="s">
        <v>247</v>
      </c>
      <c r="M49" s="3" t="s">
        <v>2008</v>
      </c>
    </row>
    <row r="50" spans="1:13" ht="27.6">
      <c r="A50" t="s">
        <v>2059</v>
      </c>
      <c r="B50">
        <v>116761</v>
      </c>
      <c r="C50">
        <v>116.761</v>
      </c>
      <c r="D50" t="s">
        <v>91</v>
      </c>
      <c r="E50" t="s">
        <v>250</v>
      </c>
      <c r="F50" t="s">
        <v>2003</v>
      </c>
      <c r="I50" s="3" t="s">
        <v>251</v>
      </c>
      <c r="J50" s="3"/>
      <c r="K50" s="3" t="s">
        <v>2011</v>
      </c>
      <c r="L50" s="3" t="s">
        <v>252</v>
      </c>
      <c r="M50" s="3" t="s">
        <v>2008</v>
      </c>
    </row>
    <row r="51" spans="1:13">
      <c r="A51" t="s">
        <v>2060</v>
      </c>
      <c r="B51">
        <v>116832</v>
      </c>
      <c r="C51">
        <v>116.83199999999999</v>
      </c>
      <c r="D51" t="s">
        <v>91</v>
      </c>
      <c r="E51" t="s">
        <v>254</v>
      </c>
      <c r="F51" t="s">
        <v>2003</v>
      </c>
      <c r="I51" s="3" t="s">
        <v>255</v>
      </c>
      <c r="J51" s="3"/>
      <c r="K51" s="3" t="s">
        <v>2014</v>
      </c>
      <c r="L51" s="3" t="s">
        <v>247</v>
      </c>
      <c r="M51" s="3" t="s">
        <v>2008</v>
      </c>
    </row>
    <row r="52" spans="1:13" ht="27.6">
      <c r="A52" t="s">
        <v>2061</v>
      </c>
      <c r="B52">
        <v>122567</v>
      </c>
      <c r="C52">
        <v>122.56699999999999</v>
      </c>
      <c r="D52" t="s">
        <v>91</v>
      </c>
      <c r="E52" t="s">
        <v>250</v>
      </c>
      <c r="F52" t="s">
        <v>2003</v>
      </c>
      <c r="I52" s="3" t="s">
        <v>251</v>
      </c>
      <c r="J52" s="3"/>
      <c r="K52" s="3" t="s">
        <v>2011</v>
      </c>
      <c r="L52" s="3" t="s">
        <v>252</v>
      </c>
      <c r="M52" s="3" t="s">
        <v>2008</v>
      </c>
    </row>
    <row r="53" spans="1:13">
      <c r="A53" t="s">
        <v>2062</v>
      </c>
      <c r="B53">
        <v>122639</v>
      </c>
      <c r="C53">
        <v>122.639</v>
      </c>
      <c r="D53" t="s">
        <v>91</v>
      </c>
      <c r="E53" t="s">
        <v>254</v>
      </c>
      <c r="F53" t="s">
        <v>2003</v>
      </c>
      <c r="I53" s="3" t="s">
        <v>255</v>
      </c>
      <c r="J53" s="3"/>
      <c r="K53" s="3" t="s">
        <v>2014</v>
      </c>
      <c r="L53" s="3" t="s">
        <v>247</v>
      </c>
      <c r="M53" s="3" t="s">
        <v>2008</v>
      </c>
    </row>
    <row r="54" spans="1:13">
      <c r="A54" t="s">
        <v>2063</v>
      </c>
      <c r="B54">
        <v>132276</v>
      </c>
      <c r="C54">
        <v>132.27600000000001</v>
      </c>
      <c r="D54" t="s">
        <v>157</v>
      </c>
      <c r="E54" t="s">
        <v>244</v>
      </c>
      <c r="F54" t="s">
        <v>2003</v>
      </c>
      <c r="I54" s="3" t="s">
        <v>245</v>
      </c>
      <c r="J54" s="3"/>
      <c r="K54" s="3" t="s">
        <v>2007</v>
      </c>
      <c r="L54" s="3" t="s">
        <v>247</v>
      </c>
      <c r="M54" s="3" t="s">
        <v>2008</v>
      </c>
    </row>
    <row r="55" spans="1:13" ht="27.6">
      <c r="A55" t="s">
        <v>2064</v>
      </c>
      <c r="B55">
        <v>132316</v>
      </c>
      <c r="C55">
        <v>132.316</v>
      </c>
      <c r="D55" t="s">
        <v>91</v>
      </c>
      <c r="E55" t="s">
        <v>250</v>
      </c>
      <c r="F55" t="s">
        <v>2003</v>
      </c>
      <c r="I55" s="3" t="s">
        <v>251</v>
      </c>
      <c r="J55" s="3"/>
      <c r="K55" s="3" t="s">
        <v>2011</v>
      </c>
      <c r="L55" s="3" t="s">
        <v>252</v>
      </c>
      <c r="M55" s="3" t="s">
        <v>2008</v>
      </c>
    </row>
    <row r="56" spans="1:13">
      <c r="A56" t="s">
        <v>2065</v>
      </c>
      <c r="B56">
        <v>132387</v>
      </c>
      <c r="C56">
        <v>132.387</v>
      </c>
      <c r="D56" t="s">
        <v>91</v>
      </c>
      <c r="E56" t="s">
        <v>254</v>
      </c>
      <c r="F56" t="s">
        <v>2003</v>
      </c>
      <c r="I56" s="3" t="s">
        <v>255</v>
      </c>
      <c r="J56" s="3"/>
      <c r="K56" s="3" t="s">
        <v>2014</v>
      </c>
      <c r="L56" s="3" t="s">
        <v>247</v>
      </c>
      <c r="M56" s="3" t="s">
        <v>2008</v>
      </c>
    </row>
    <row r="57" spans="1:13" ht="27.6">
      <c r="A57" t="s">
        <v>2066</v>
      </c>
      <c r="B57">
        <v>138006</v>
      </c>
      <c r="C57">
        <v>138.006</v>
      </c>
      <c r="D57" t="s">
        <v>91</v>
      </c>
      <c r="E57" t="s">
        <v>250</v>
      </c>
      <c r="F57" t="s">
        <v>2003</v>
      </c>
      <c r="I57" s="3" t="s">
        <v>251</v>
      </c>
      <c r="J57" s="3"/>
      <c r="K57" s="3" t="s">
        <v>2011</v>
      </c>
      <c r="L57" s="3" t="s">
        <v>252</v>
      </c>
      <c r="M57" s="3" t="s">
        <v>2008</v>
      </c>
    </row>
    <row r="58" spans="1:13">
      <c r="A58" t="s">
        <v>2067</v>
      </c>
      <c r="B58">
        <v>138077</v>
      </c>
      <c r="C58">
        <v>138.077</v>
      </c>
      <c r="D58" t="s">
        <v>91</v>
      </c>
      <c r="E58" t="s">
        <v>254</v>
      </c>
      <c r="F58" t="s">
        <v>2003</v>
      </c>
      <c r="I58" s="3" t="s">
        <v>255</v>
      </c>
      <c r="J58" s="3"/>
      <c r="K58" s="3" t="s">
        <v>2014</v>
      </c>
      <c r="L58" s="3" t="s">
        <v>247</v>
      </c>
      <c r="M58" s="3" t="s">
        <v>2008</v>
      </c>
    </row>
    <row r="59" spans="1:13" ht="27.6">
      <c r="A59" t="s">
        <v>2068</v>
      </c>
      <c r="B59">
        <v>153527</v>
      </c>
      <c r="C59">
        <v>153.52699999999999</v>
      </c>
      <c r="D59" t="s">
        <v>91</v>
      </c>
      <c r="E59" t="s">
        <v>250</v>
      </c>
      <c r="F59" t="s">
        <v>2003</v>
      </c>
      <c r="I59" s="3" t="s">
        <v>251</v>
      </c>
      <c r="J59" s="3"/>
      <c r="K59" s="3" t="s">
        <v>2011</v>
      </c>
      <c r="L59" s="3" t="s">
        <v>252</v>
      </c>
      <c r="M59" s="3" t="s">
        <v>2008</v>
      </c>
    </row>
    <row r="60" spans="1:13" ht="27.6">
      <c r="A60" t="s">
        <v>2069</v>
      </c>
      <c r="B60">
        <v>235981</v>
      </c>
      <c r="C60">
        <v>235.98099999999999</v>
      </c>
      <c r="D60" t="s">
        <v>91</v>
      </c>
      <c r="E60" t="s">
        <v>435</v>
      </c>
      <c r="F60" t="s">
        <v>2003</v>
      </c>
      <c r="H60" t="s">
        <v>385</v>
      </c>
      <c r="I60" s="3" t="s">
        <v>436</v>
      </c>
      <c r="J60" s="3"/>
      <c r="K60" s="3" t="s">
        <v>436</v>
      </c>
      <c r="L60" s="3" t="s">
        <v>437</v>
      </c>
      <c r="M60" s="3"/>
    </row>
    <row r="61" spans="1:13">
      <c r="A61" t="s">
        <v>2070</v>
      </c>
      <c r="B61">
        <v>235981</v>
      </c>
      <c r="C61">
        <v>235.98099999999999</v>
      </c>
      <c r="D61" t="s">
        <v>91</v>
      </c>
      <c r="E61" t="s">
        <v>439</v>
      </c>
      <c r="F61" t="s">
        <v>2003</v>
      </c>
      <c r="H61" t="s">
        <v>385</v>
      </c>
      <c r="I61" s="3" t="s">
        <v>440</v>
      </c>
      <c r="J61" s="3">
        <v>4</v>
      </c>
      <c r="K61" s="3" t="s">
        <v>440</v>
      </c>
      <c r="L61" s="3" t="s">
        <v>247</v>
      </c>
      <c r="M61" s="3"/>
    </row>
    <row r="62" spans="1:13" ht="27.6">
      <c r="A62" t="s">
        <v>2071</v>
      </c>
      <c r="B62">
        <v>279020</v>
      </c>
      <c r="C62">
        <v>279.02</v>
      </c>
      <c r="D62" t="s">
        <v>91</v>
      </c>
      <c r="E62" t="s">
        <v>435</v>
      </c>
      <c r="F62" t="s">
        <v>2003</v>
      </c>
      <c r="H62" t="s">
        <v>385</v>
      </c>
      <c r="I62" s="3" t="s">
        <v>436</v>
      </c>
      <c r="J62" s="3"/>
      <c r="K62" s="3" t="s">
        <v>436</v>
      </c>
      <c r="L62" s="3" t="s">
        <v>437</v>
      </c>
      <c r="M62" s="3"/>
    </row>
    <row r="63" spans="1:13">
      <c r="A63" t="s">
        <v>2072</v>
      </c>
      <c r="B63">
        <v>279020</v>
      </c>
      <c r="C63">
        <v>279.02</v>
      </c>
      <c r="D63" t="s">
        <v>91</v>
      </c>
      <c r="E63" t="s">
        <v>439</v>
      </c>
      <c r="F63" t="s">
        <v>2003</v>
      </c>
      <c r="H63" t="s">
        <v>385</v>
      </c>
      <c r="I63" s="3" t="s">
        <v>440</v>
      </c>
      <c r="J63" s="3">
        <v>4</v>
      </c>
      <c r="K63" s="3" t="s">
        <v>440</v>
      </c>
      <c r="L63" s="3" t="s">
        <v>247</v>
      </c>
      <c r="M63" s="3"/>
    </row>
    <row r="64" spans="1:13" ht="27.6">
      <c r="A64" t="s">
        <v>2073</v>
      </c>
      <c r="B64">
        <v>294210</v>
      </c>
      <c r="C64">
        <v>294.20999999999998</v>
      </c>
      <c r="D64" t="s">
        <v>91</v>
      </c>
      <c r="E64" t="s">
        <v>435</v>
      </c>
      <c r="F64" t="s">
        <v>2003</v>
      </c>
      <c r="H64" t="s">
        <v>385</v>
      </c>
      <c r="I64" s="3" t="s">
        <v>436</v>
      </c>
      <c r="J64" s="3"/>
      <c r="K64" s="3" t="s">
        <v>436</v>
      </c>
      <c r="L64" s="3" t="s">
        <v>437</v>
      </c>
      <c r="M64" s="3"/>
    </row>
    <row r="65" spans="1:13">
      <c r="A65" t="s">
        <v>2074</v>
      </c>
      <c r="B65">
        <v>294210</v>
      </c>
      <c r="C65">
        <v>294.20999999999998</v>
      </c>
      <c r="D65" t="s">
        <v>91</v>
      </c>
      <c r="E65" t="s">
        <v>439</v>
      </c>
      <c r="F65" t="s">
        <v>2003</v>
      </c>
      <c r="H65" t="s">
        <v>385</v>
      </c>
      <c r="I65" s="3" t="s">
        <v>440</v>
      </c>
      <c r="J65" s="3">
        <v>4</v>
      </c>
      <c r="K65" s="3" t="s">
        <v>440</v>
      </c>
      <c r="L65" s="3" t="s">
        <v>247</v>
      </c>
      <c r="M65" s="3"/>
    </row>
    <row r="66" spans="1:13" ht="27.6">
      <c r="A66" t="s">
        <v>2075</v>
      </c>
      <c r="B66">
        <v>337389</v>
      </c>
      <c r="C66">
        <v>337.38900000000001</v>
      </c>
      <c r="D66" t="s">
        <v>91</v>
      </c>
      <c r="E66" t="s">
        <v>435</v>
      </c>
      <c r="F66" t="s">
        <v>2003</v>
      </c>
      <c r="H66" t="s">
        <v>385</v>
      </c>
      <c r="I66" s="3" t="s">
        <v>436</v>
      </c>
      <c r="J66" s="3"/>
      <c r="K66" s="3" t="s">
        <v>436</v>
      </c>
      <c r="L66" s="3" t="s">
        <v>437</v>
      </c>
      <c r="M66" s="3"/>
    </row>
    <row r="67" spans="1:13">
      <c r="A67" t="s">
        <v>2076</v>
      </c>
      <c r="B67">
        <v>337389</v>
      </c>
      <c r="C67">
        <v>337.38900000000001</v>
      </c>
      <c r="D67" t="s">
        <v>91</v>
      </c>
      <c r="E67" t="s">
        <v>439</v>
      </c>
      <c r="F67" t="s">
        <v>2003</v>
      </c>
      <c r="H67" t="s">
        <v>385</v>
      </c>
      <c r="I67" s="3" t="s">
        <v>440</v>
      </c>
      <c r="J67" s="3">
        <v>4</v>
      </c>
      <c r="K67" s="3" t="s">
        <v>440</v>
      </c>
      <c r="L67" s="3" t="s">
        <v>247</v>
      </c>
      <c r="M67" s="3"/>
    </row>
    <row r="68" spans="1:13" ht="27.6">
      <c r="A68" t="s">
        <v>2077</v>
      </c>
      <c r="B68">
        <v>454025</v>
      </c>
      <c r="C68">
        <v>454.02499999999998</v>
      </c>
      <c r="D68" t="s">
        <v>91</v>
      </c>
      <c r="E68" t="s">
        <v>435</v>
      </c>
      <c r="F68" t="s">
        <v>2003</v>
      </c>
      <c r="H68" t="s">
        <v>385</v>
      </c>
      <c r="I68" s="3" t="s">
        <v>436</v>
      </c>
      <c r="J68" s="3"/>
      <c r="K68" s="3" t="s">
        <v>436</v>
      </c>
      <c r="L68" s="3" t="s">
        <v>437</v>
      </c>
      <c r="M68" s="3"/>
    </row>
    <row r="69" spans="1:13">
      <c r="A69" t="s">
        <v>2078</v>
      </c>
      <c r="B69">
        <v>454025</v>
      </c>
      <c r="C69">
        <v>454.02499999999998</v>
      </c>
      <c r="D69" t="s">
        <v>91</v>
      </c>
      <c r="E69" t="s">
        <v>439</v>
      </c>
      <c r="F69" t="s">
        <v>2003</v>
      </c>
      <c r="H69" t="s">
        <v>385</v>
      </c>
      <c r="I69" s="3" t="s">
        <v>440</v>
      </c>
      <c r="J69" s="3">
        <v>4</v>
      </c>
      <c r="K69" s="3" t="s">
        <v>440</v>
      </c>
      <c r="L69" s="3" t="s">
        <v>247</v>
      </c>
      <c r="M69" s="3"/>
    </row>
    <row r="70" spans="1:13" ht="27.6">
      <c r="A70" t="s">
        <v>2079</v>
      </c>
      <c r="B70">
        <v>486555</v>
      </c>
      <c r="C70">
        <v>486.55500000000001</v>
      </c>
      <c r="D70" t="s">
        <v>91</v>
      </c>
      <c r="E70" t="s">
        <v>435</v>
      </c>
      <c r="F70" t="s">
        <v>2003</v>
      </c>
      <c r="H70" t="s">
        <v>385</v>
      </c>
      <c r="I70" s="3" t="s">
        <v>436</v>
      </c>
      <c r="J70" s="3"/>
      <c r="K70" s="3" t="s">
        <v>436</v>
      </c>
      <c r="L70" s="3" t="s">
        <v>437</v>
      </c>
      <c r="M70" s="3"/>
    </row>
    <row r="71" spans="1:13">
      <c r="A71" t="s">
        <v>2080</v>
      </c>
      <c r="B71">
        <v>486555</v>
      </c>
      <c r="C71">
        <v>486.55500000000001</v>
      </c>
      <c r="D71" t="s">
        <v>91</v>
      </c>
      <c r="E71" t="s">
        <v>439</v>
      </c>
      <c r="F71" t="s">
        <v>2003</v>
      </c>
      <c r="H71" t="s">
        <v>385</v>
      </c>
      <c r="I71" s="3" t="s">
        <v>440</v>
      </c>
      <c r="J71" s="3">
        <v>4</v>
      </c>
      <c r="K71" s="3" t="s">
        <v>440</v>
      </c>
      <c r="L71" s="3" t="s">
        <v>247</v>
      </c>
      <c r="M71" s="3"/>
    </row>
    <row r="72" spans="1:13" ht="27.6">
      <c r="A72" t="s">
        <v>2081</v>
      </c>
      <c r="B72">
        <v>497330</v>
      </c>
      <c r="C72">
        <v>497.33</v>
      </c>
      <c r="D72" t="s">
        <v>91</v>
      </c>
      <c r="E72" t="s">
        <v>435</v>
      </c>
      <c r="F72" t="s">
        <v>2003</v>
      </c>
      <c r="H72" t="s">
        <v>385</v>
      </c>
      <c r="I72" s="3" t="s">
        <v>436</v>
      </c>
      <c r="J72" s="3"/>
      <c r="K72" s="3" t="s">
        <v>436</v>
      </c>
      <c r="L72" s="3" t="s">
        <v>437</v>
      </c>
      <c r="M72" s="3"/>
    </row>
    <row r="73" spans="1:13">
      <c r="A73" t="s">
        <v>2082</v>
      </c>
      <c r="B73">
        <v>497330</v>
      </c>
      <c r="C73">
        <v>497.33</v>
      </c>
      <c r="D73" t="s">
        <v>91</v>
      </c>
      <c r="E73" t="s">
        <v>439</v>
      </c>
      <c r="F73" t="s">
        <v>2003</v>
      </c>
      <c r="H73" t="s">
        <v>385</v>
      </c>
      <c r="I73" s="3" t="s">
        <v>496</v>
      </c>
      <c r="J73" s="3">
        <v>5</v>
      </c>
      <c r="K73" s="3" t="s">
        <v>496</v>
      </c>
      <c r="L73" s="3" t="s">
        <v>247</v>
      </c>
      <c r="M73" s="3"/>
    </row>
    <row r="74" spans="1:13" ht="27.6">
      <c r="A74" t="s">
        <v>2083</v>
      </c>
      <c r="B74">
        <v>548264</v>
      </c>
      <c r="C74">
        <v>548.26400000000001</v>
      </c>
      <c r="D74" t="s">
        <v>91</v>
      </c>
      <c r="E74" t="s">
        <v>435</v>
      </c>
      <c r="F74" t="s">
        <v>2003</v>
      </c>
      <c r="H74" t="s">
        <v>385</v>
      </c>
      <c r="I74" s="3" t="s">
        <v>436</v>
      </c>
      <c r="J74" s="3"/>
      <c r="K74" s="3" t="s">
        <v>436</v>
      </c>
      <c r="L74" s="3" t="s">
        <v>437</v>
      </c>
      <c r="M74" s="3"/>
    </row>
    <row r="75" spans="1:13">
      <c r="A75" t="s">
        <v>2084</v>
      </c>
      <c r="B75">
        <v>548264</v>
      </c>
      <c r="C75">
        <v>548.26400000000001</v>
      </c>
      <c r="D75" t="s">
        <v>91</v>
      </c>
      <c r="E75" t="s">
        <v>439</v>
      </c>
      <c r="F75" t="s">
        <v>2003</v>
      </c>
      <c r="H75" t="s">
        <v>385</v>
      </c>
      <c r="I75" s="3" t="s">
        <v>440</v>
      </c>
      <c r="J75" s="3">
        <v>4</v>
      </c>
      <c r="K75" s="3" t="s">
        <v>440</v>
      </c>
      <c r="L75" s="3" t="s">
        <v>247</v>
      </c>
      <c r="M75" s="3"/>
    </row>
    <row r="76" spans="1:13">
      <c r="A76" t="s">
        <v>2085</v>
      </c>
      <c r="B76">
        <v>820720</v>
      </c>
      <c r="C76">
        <v>820.72</v>
      </c>
      <c r="D76" t="s">
        <v>157</v>
      </c>
      <c r="E76" t="s">
        <v>244</v>
      </c>
      <c r="F76" t="s">
        <v>2003</v>
      </c>
      <c r="H76" t="s">
        <v>385</v>
      </c>
      <c r="I76" s="3" t="s">
        <v>563</v>
      </c>
      <c r="J76" s="3"/>
      <c r="K76" s="3" t="s">
        <v>563</v>
      </c>
      <c r="L76" s="3" t="s">
        <v>247</v>
      </c>
      <c r="M76" s="3"/>
    </row>
    <row r="77" spans="1:13" ht="27.6">
      <c r="A77" t="s">
        <v>2086</v>
      </c>
      <c r="B77">
        <v>820720</v>
      </c>
      <c r="C77">
        <v>820.72</v>
      </c>
      <c r="D77" t="s">
        <v>157</v>
      </c>
      <c r="E77" t="s">
        <v>305</v>
      </c>
      <c r="F77" t="s">
        <v>2032</v>
      </c>
      <c r="G77">
        <v>1</v>
      </c>
      <c r="H77" t="s">
        <v>385</v>
      </c>
      <c r="I77" s="3" t="s">
        <v>565</v>
      </c>
      <c r="J77" s="3"/>
      <c r="K77" s="3" t="s">
        <v>565</v>
      </c>
      <c r="L77" s="3" t="s">
        <v>247</v>
      </c>
      <c r="M77" s="3"/>
    </row>
    <row r="78" spans="1:13">
      <c r="A78" t="s">
        <v>2087</v>
      </c>
      <c r="B78">
        <v>825795</v>
      </c>
      <c r="C78">
        <v>825.79499999999996</v>
      </c>
      <c r="D78" t="s">
        <v>157</v>
      </c>
      <c r="E78" t="s">
        <v>259</v>
      </c>
      <c r="F78" t="s">
        <v>2003</v>
      </c>
      <c r="G78">
        <v>1</v>
      </c>
      <c r="H78" t="s">
        <v>567</v>
      </c>
      <c r="I78" s="3" t="s">
        <v>569</v>
      </c>
      <c r="J78" s="3"/>
      <c r="K78" s="3" t="s">
        <v>569</v>
      </c>
      <c r="L78" s="3" t="s">
        <v>247</v>
      </c>
      <c r="M78" s="3"/>
    </row>
    <row r="79" spans="1:13" ht="27.6">
      <c r="A79" t="s">
        <v>2088</v>
      </c>
      <c r="B79">
        <v>841183</v>
      </c>
      <c r="C79">
        <v>841.18299999999999</v>
      </c>
      <c r="D79" t="s">
        <v>157</v>
      </c>
      <c r="E79" t="s">
        <v>575</v>
      </c>
      <c r="F79" t="s">
        <v>2089</v>
      </c>
      <c r="G79">
        <v>1</v>
      </c>
      <c r="H79" t="s">
        <v>571</v>
      </c>
      <c r="I79" s="3" t="s">
        <v>576</v>
      </c>
      <c r="J79" s="3"/>
      <c r="K79" s="3" t="s">
        <v>576</v>
      </c>
      <c r="L79" s="3" t="s">
        <v>247</v>
      </c>
      <c r="M79" s="3"/>
    </row>
    <row r="80" spans="1:13" ht="27.6">
      <c r="A80" t="s">
        <v>2090</v>
      </c>
      <c r="B80">
        <v>846615</v>
      </c>
      <c r="C80">
        <v>846.61500000000001</v>
      </c>
      <c r="D80" t="s">
        <v>157</v>
      </c>
      <c r="E80" t="s">
        <v>575</v>
      </c>
      <c r="F80" t="s">
        <v>2089</v>
      </c>
      <c r="G80">
        <v>1</v>
      </c>
      <c r="H80" t="s">
        <v>571</v>
      </c>
      <c r="I80" s="3" t="s">
        <v>576</v>
      </c>
      <c r="J80" s="3"/>
      <c r="K80" s="3" t="s">
        <v>576</v>
      </c>
      <c r="L80" s="3" t="s">
        <v>247</v>
      </c>
      <c r="M80" s="3"/>
    </row>
    <row r="81" spans="1:13" ht="27.6">
      <c r="A81" t="s">
        <v>2091</v>
      </c>
      <c r="B81">
        <v>856585</v>
      </c>
      <c r="C81">
        <v>856.58500000000004</v>
      </c>
      <c r="D81" t="s">
        <v>157</v>
      </c>
      <c r="E81" t="s">
        <v>575</v>
      </c>
      <c r="F81" t="s">
        <v>2089</v>
      </c>
      <c r="G81">
        <v>1</v>
      </c>
      <c r="H81" t="s">
        <v>571</v>
      </c>
      <c r="I81" s="3" t="s">
        <v>576</v>
      </c>
      <c r="J81" s="3"/>
      <c r="K81" s="3" t="s">
        <v>576</v>
      </c>
      <c r="L81" s="3" t="s">
        <v>247</v>
      </c>
      <c r="M81" s="3"/>
    </row>
    <row r="82" spans="1:13" ht="27.6">
      <c r="A82" t="s">
        <v>2092</v>
      </c>
      <c r="B82">
        <v>866584</v>
      </c>
      <c r="C82">
        <v>866.58399999999995</v>
      </c>
      <c r="D82" t="s">
        <v>157</v>
      </c>
      <c r="E82" t="s">
        <v>575</v>
      </c>
      <c r="F82" t="s">
        <v>2089</v>
      </c>
      <c r="G82">
        <v>1</v>
      </c>
      <c r="H82" t="s">
        <v>571</v>
      </c>
      <c r="I82" s="3" t="s">
        <v>576</v>
      </c>
      <c r="J82" s="3"/>
      <c r="K82" s="3" t="s">
        <v>576</v>
      </c>
      <c r="L82" s="3" t="s">
        <v>247</v>
      </c>
      <c r="M82" s="3"/>
    </row>
    <row r="83" spans="1:13" ht="27.6">
      <c r="A83" t="s">
        <v>2093</v>
      </c>
      <c r="B83">
        <v>876584</v>
      </c>
      <c r="C83">
        <v>876.58399999999995</v>
      </c>
      <c r="D83" t="s">
        <v>157</v>
      </c>
      <c r="E83" t="s">
        <v>575</v>
      </c>
      <c r="F83" t="s">
        <v>2089</v>
      </c>
      <c r="G83">
        <v>1</v>
      </c>
      <c r="H83" t="s">
        <v>571</v>
      </c>
      <c r="I83" s="3" t="s">
        <v>576</v>
      </c>
      <c r="J83" s="3"/>
      <c r="K83" s="3" t="s">
        <v>576</v>
      </c>
      <c r="L83" s="3" t="s">
        <v>247</v>
      </c>
      <c r="M83" s="3"/>
    </row>
    <row r="84" spans="1:13" ht="27.6">
      <c r="A84" t="s">
        <v>2094</v>
      </c>
      <c r="B84">
        <v>881616</v>
      </c>
      <c r="C84">
        <v>881.61599999999999</v>
      </c>
      <c r="D84" t="s">
        <v>157</v>
      </c>
      <c r="E84" t="s">
        <v>575</v>
      </c>
      <c r="F84" t="s">
        <v>2089</v>
      </c>
      <c r="G84">
        <v>1</v>
      </c>
      <c r="H84" t="s">
        <v>571</v>
      </c>
      <c r="I84" s="3" t="s">
        <v>576</v>
      </c>
      <c r="J84" s="3"/>
      <c r="K84" s="3" t="s">
        <v>576</v>
      </c>
      <c r="L84" s="3" t="s">
        <v>247</v>
      </c>
      <c r="M84" s="3"/>
    </row>
    <row r="85" spans="1:13" ht="27.6">
      <c r="A85" t="s">
        <v>2095</v>
      </c>
      <c r="B85">
        <v>886616</v>
      </c>
      <c r="C85">
        <v>886.61599999999999</v>
      </c>
      <c r="D85" t="s">
        <v>157</v>
      </c>
      <c r="E85" t="s">
        <v>575</v>
      </c>
      <c r="F85" t="s">
        <v>2089</v>
      </c>
      <c r="G85">
        <v>1</v>
      </c>
      <c r="H85" t="s">
        <v>571</v>
      </c>
      <c r="I85" s="3" t="s">
        <v>576</v>
      </c>
      <c r="J85" s="3"/>
      <c r="K85" s="3" t="s">
        <v>576</v>
      </c>
      <c r="L85" s="3" t="s">
        <v>247</v>
      </c>
      <c r="M85" s="3"/>
    </row>
    <row r="86" spans="1:13" ht="27.6">
      <c r="A86" t="s">
        <v>2096</v>
      </c>
      <c r="B86">
        <v>891633</v>
      </c>
      <c r="C86">
        <v>891.63300000000004</v>
      </c>
      <c r="D86" t="s">
        <v>157</v>
      </c>
      <c r="E86" t="s">
        <v>575</v>
      </c>
      <c r="F86" t="s">
        <v>2089</v>
      </c>
      <c r="G86">
        <v>1</v>
      </c>
      <c r="H86" t="s">
        <v>571</v>
      </c>
      <c r="I86" s="3" t="s">
        <v>576</v>
      </c>
      <c r="J86" s="3"/>
      <c r="K86" s="3" t="s">
        <v>576</v>
      </c>
      <c r="L86" s="3" t="s">
        <v>247</v>
      </c>
      <c r="M86" s="3"/>
    </row>
    <row r="87" spans="1:13" ht="27.6">
      <c r="A87" t="s">
        <v>2097</v>
      </c>
      <c r="B87">
        <v>896633</v>
      </c>
      <c r="C87">
        <v>896.63300000000004</v>
      </c>
      <c r="D87" t="s">
        <v>157</v>
      </c>
      <c r="E87" t="s">
        <v>575</v>
      </c>
      <c r="F87" t="s">
        <v>2089</v>
      </c>
      <c r="G87">
        <v>1</v>
      </c>
      <c r="H87" t="s">
        <v>571</v>
      </c>
      <c r="I87" s="3" t="s">
        <v>576</v>
      </c>
      <c r="J87" s="3"/>
      <c r="K87" s="3" t="s">
        <v>576</v>
      </c>
      <c r="L87" s="3" t="s">
        <v>247</v>
      </c>
      <c r="M87" s="3"/>
    </row>
    <row r="88" spans="1:13" ht="27.6">
      <c r="A88" t="s">
        <v>2098</v>
      </c>
      <c r="B88">
        <v>901634</v>
      </c>
      <c r="C88">
        <v>901.63400000000001</v>
      </c>
      <c r="D88" t="s">
        <v>157</v>
      </c>
      <c r="E88" t="s">
        <v>575</v>
      </c>
      <c r="F88" t="s">
        <v>2089</v>
      </c>
      <c r="G88">
        <v>1</v>
      </c>
      <c r="H88" t="s">
        <v>571</v>
      </c>
      <c r="I88" s="3" t="s">
        <v>576</v>
      </c>
      <c r="J88" s="3"/>
      <c r="K88" s="3" t="s">
        <v>576</v>
      </c>
      <c r="L88" s="3" t="s">
        <v>247</v>
      </c>
      <c r="M88" s="3"/>
    </row>
    <row r="89" spans="1:13" ht="27.6">
      <c r="A89" t="s">
        <v>2099</v>
      </c>
      <c r="B89">
        <v>906633</v>
      </c>
      <c r="C89">
        <v>906.63300000000004</v>
      </c>
      <c r="D89" t="s">
        <v>157</v>
      </c>
      <c r="E89" t="s">
        <v>601</v>
      </c>
      <c r="F89" t="s">
        <v>2003</v>
      </c>
      <c r="G89">
        <v>1</v>
      </c>
      <c r="H89" t="s">
        <v>571</v>
      </c>
      <c r="I89" s="3" t="s">
        <v>602</v>
      </c>
      <c r="J89" s="3"/>
      <c r="K89" s="3" t="s">
        <v>602</v>
      </c>
      <c r="L89" s="3" t="s">
        <v>247</v>
      </c>
      <c r="M89" s="3"/>
    </row>
    <row r="90" spans="1:13" ht="27.6">
      <c r="A90" t="s">
        <v>2100</v>
      </c>
      <c r="B90">
        <v>916601</v>
      </c>
      <c r="C90">
        <v>916.601</v>
      </c>
      <c r="D90" t="s">
        <v>157</v>
      </c>
      <c r="E90" t="s">
        <v>607</v>
      </c>
      <c r="F90" t="s">
        <v>2003</v>
      </c>
      <c r="G90">
        <v>1</v>
      </c>
      <c r="H90" t="s">
        <v>604</v>
      </c>
      <c r="I90" s="3" t="s">
        <v>608</v>
      </c>
      <c r="J90" s="3"/>
      <c r="K90" s="3" t="s">
        <v>608</v>
      </c>
      <c r="L90" s="3" t="s">
        <v>247</v>
      </c>
      <c r="M90" s="3"/>
    </row>
    <row r="91" spans="1:13" ht="27.6">
      <c r="A91" t="s">
        <v>2101</v>
      </c>
      <c r="B91">
        <v>926602</v>
      </c>
      <c r="C91">
        <v>926.60199999999998</v>
      </c>
      <c r="D91" t="s">
        <v>157</v>
      </c>
      <c r="E91" t="s">
        <v>305</v>
      </c>
      <c r="F91" t="s">
        <v>2032</v>
      </c>
      <c r="G91">
        <v>2</v>
      </c>
      <c r="H91" t="s">
        <v>385</v>
      </c>
      <c r="I91" s="3" t="s">
        <v>565</v>
      </c>
      <c r="J91" s="3"/>
      <c r="K91" s="3" t="s">
        <v>565</v>
      </c>
      <c r="L91" s="3" t="s">
        <v>247</v>
      </c>
      <c r="M91" s="3"/>
    </row>
    <row r="92" spans="1:13" ht="27.6">
      <c r="A92" t="s">
        <v>2102</v>
      </c>
      <c r="B92">
        <v>962184</v>
      </c>
      <c r="C92">
        <v>962.18399999999997</v>
      </c>
      <c r="D92" t="s">
        <v>157</v>
      </c>
      <c r="E92" t="s">
        <v>575</v>
      </c>
      <c r="F92" t="s">
        <v>2089</v>
      </c>
      <c r="G92">
        <v>2</v>
      </c>
      <c r="H92" t="s">
        <v>571</v>
      </c>
      <c r="I92" s="3" t="s">
        <v>576</v>
      </c>
      <c r="J92" s="3"/>
      <c r="K92" s="3" t="s">
        <v>576</v>
      </c>
      <c r="L92" s="3" t="s">
        <v>247</v>
      </c>
      <c r="M92" s="3"/>
    </row>
    <row r="93" spans="1:13" ht="27.6">
      <c r="A93" t="s">
        <v>2103</v>
      </c>
      <c r="B93">
        <v>987326</v>
      </c>
      <c r="C93">
        <v>987.32600000000002</v>
      </c>
      <c r="D93" t="s">
        <v>157</v>
      </c>
      <c r="E93" t="s">
        <v>575</v>
      </c>
      <c r="F93" t="s">
        <v>2089</v>
      </c>
      <c r="G93">
        <v>2</v>
      </c>
      <c r="H93" t="s">
        <v>571</v>
      </c>
      <c r="I93" s="3" t="s">
        <v>576</v>
      </c>
      <c r="J93" s="3"/>
      <c r="K93" s="3" t="s">
        <v>576</v>
      </c>
      <c r="L93" s="3" t="s">
        <v>247</v>
      </c>
      <c r="M93" s="3"/>
    </row>
    <row r="94" spans="1:13" ht="27.6">
      <c r="A94" t="s">
        <v>2104</v>
      </c>
      <c r="B94">
        <v>992736</v>
      </c>
      <c r="C94">
        <v>992.73599999999999</v>
      </c>
      <c r="D94" t="s">
        <v>157</v>
      </c>
      <c r="E94" t="s">
        <v>575</v>
      </c>
      <c r="F94" t="s">
        <v>2089</v>
      </c>
      <c r="G94">
        <v>2</v>
      </c>
      <c r="H94" t="s">
        <v>571</v>
      </c>
      <c r="I94" s="3" t="s">
        <v>576</v>
      </c>
      <c r="J94" s="3"/>
      <c r="K94" s="3" t="s">
        <v>576</v>
      </c>
      <c r="L94" s="3" t="s">
        <v>247</v>
      </c>
      <c r="M94" s="3"/>
    </row>
    <row r="95" spans="1:13" ht="27.6">
      <c r="A95" t="s">
        <v>2105</v>
      </c>
      <c r="B95">
        <v>997836</v>
      </c>
      <c r="C95">
        <v>997.83600000000001</v>
      </c>
      <c r="D95" t="s">
        <v>157</v>
      </c>
      <c r="E95" t="s">
        <v>601</v>
      </c>
      <c r="F95" t="s">
        <v>2003</v>
      </c>
      <c r="G95">
        <v>2</v>
      </c>
      <c r="H95" t="s">
        <v>571</v>
      </c>
      <c r="I95" s="3" t="s">
        <v>602</v>
      </c>
      <c r="J95" s="3"/>
      <c r="K95" s="3" t="s">
        <v>602</v>
      </c>
      <c r="L95" s="3" t="s">
        <v>247</v>
      </c>
      <c r="M95" s="3"/>
    </row>
    <row r="96" spans="1:13" ht="27.6">
      <c r="A96" t="s">
        <v>2106</v>
      </c>
      <c r="B96">
        <v>1007805</v>
      </c>
      <c r="C96">
        <v>1007.8049999999999</v>
      </c>
      <c r="D96" t="s">
        <v>157</v>
      </c>
      <c r="E96" t="s">
        <v>607</v>
      </c>
      <c r="F96" t="s">
        <v>2003</v>
      </c>
      <c r="G96">
        <v>2</v>
      </c>
      <c r="H96" t="s">
        <v>604</v>
      </c>
      <c r="I96" s="3" t="s">
        <v>608</v>
      </c>
      <c r="J96" s="3"/>
      <c r="K96" s="3" t="s">
        <v>608</v>
      </c>
      <c r="L96" s="3" t="s">
        <v>247</v>
      </c>
      <c r="M96" s="3"/>
    </row>
    <row r="97" spans="1:13">
      <c r="A97" t="s">
        <v>2107</v>
      </c>
      <c r="B97">
        <v>1037896</v>
      </c>
      <c r="C97">
        <v>1037.896</v>
      </c>
      <c r="D97" t="s">
        <v>157</v>
      </c>
      <c r="E97" t="s">
        <v>244</v>
      </c>
      <c r="F97" t="s">
        <v>2003</v>
      </c>
      <c r="G97">
        <v>2</v>
      </c>
      <c r="H97" t="s">
        <v>385</v>
      </c>
      <c r="I97" s="3" t="s">
        <v>563</v>
      </c>
      <c r="J97" s="3"/>
      <c r="K97" s="3" t="s">
        <v>563</v>
      </c>
      <c r="L97" s="3" t="s">
        <v>247</v>
      </c>
      <c r="M97" s="3"/>
    </row>
    <row r="98" spans="1:13" ht="27.6">
      <c r="A98" t="s">
        <v>2108</v>
      </c>
      <c r="B98">
        <v>1037896</v>
      </c>
      <c r="C98">
        <v>1037.896</v>
      </c>
      <c r="D98" t="s">
        <v>157</v>
      </c>
      <c r="E98" t="s">
        <v>305</v>
      </c>
      <c r="F98" t="s">
        <v>2032</v>
      </c>
      <c r="G98">
        <v>3</v>
      </c>
      <c r="H98" t="s">
        <v>385</v>
      </c>
      <c r="I98" s="3" t="s">
        <v>565</v>
      </c>
      <c r="J98" s="3"/>
      <c r="K98" s="3" t="s">
        <v>565</v>
      </c>
      <c r="L98" s="3" t="s">
        <v>247</v>
      </c>
      <c r="M98" s="3"/>
    </row>
    <row r="99" spans="1:13">
      <c r="A99" t="s">
        <v>2109</v>
      </c>
      <c r="B99">
        <v>1042970</v>
      </c>
      <c r="C99">
        <v>1042.97</v>
      </c>
      <c r="D99" t="s">
        <v>157</v>
      </c>
      <c r="E99" t="s">
        <v>259</v>
      </c>
      <c r="F99" t="s">
        <v>2003</v>
      </c>
      <c r="G99">
        <v>3</v>
      </c>
      <c r="H99" t="s">
        <v>567</v>
      </c>
      <c r="I99" s="3" t="s">
        <v>569</v>
      </c>
      <c r="J99" s="3"/>
      <c r="K99" s="3" t="s">
        <v>569</v>
      </c>
      <c r="L99" s="3" t="s">
        <v>247</v>
      </c>
      <c r="M99" s="3"/>
    </row>
    <row r="100" spans="1:13" ht="27.6">
      <c r="A100" t="s">
        <v>2110</v>
      </c>
      <c r="B100">
        <v>1047928</v>
      </c>
      <c r="C100">
        <v>1047.9280000000001</v>
      </c>
      <c r="D100" t="s">
        <v>157</v>
      </c>
      <c r="E100" t="s">
        <v>575</v>
      </c>
      <c r="F100" t="s">
        <v>2089</v>
      </c>
      <c r="G100">
        <v>3</v>
      </c>
      <c r="H100" t="s">
        <v>571</v>
      </c>
      <c r="I100" s="3" t="s">
        <v>576</v>
      </c>
      <c r="J100" s="3"/>
      <c r="K100" s="3" t="s">
        <v>576</v>
      </c>
      <c r="L100" s="3" t="s">
        <v>247</v>
      </c>
      <c r="M100" s="3"/>
    </row>
    <row r="101" spans="1:13">
      <c r="A101" t="s">
        <v>2111</v>
      </c>
      <c r="B101">
        <v>1052972</v>
      </c>
      <c r="C101">
        <v>1052.972</v>
      </c>
      <c r="D101" t="s">
        <v>157</v>
      </c>
      <c r="E101" t="s">
        <v>244</v>
      </c>
      <c r="F101" t="s">
        <v>2003</v>
      </c>
      <c r="G101">
        <v>3</v>
      </c>
      <c r="H101" t="s">
        <v>571</v>
      </c>
      <c r="I101" s="3" t="s">
        <v>563</v>
      </c>
      <c r="J101" s="3"/>
      <c r="K101" s="3" t="s">
        <v>563</v>
      </c>
      <c r="L101" s="3" t="s">
        <v>247</v>
      </c>
      <c r="M101" s="3"/>
    </row>
    <row r="102" spans="1:13" ht="27.6">
      <c r="A102" t="s">
        <v>2112</v>
      </c>
      <c r="B102">
        <v>1057940</v>
      </c>
      <c r="C102">
        <v>1057.94</v>
      </c>
      <c r="D102" t="s">
        <v>157</v>
      </c>
      <c r="E102" t="s">
        <v>575</v>
      </c>
      <c r="F102" t="s">
        <v>2089</v>
      </c>
      <c r="G102">
        <v>3</v>
      </c>
      <c r="H102" t="s">
        <v>571</v>
      </c>
      <c r="I102" s="3" t="s">
        <v>576</v>
      </c>
      <c r="J102" s="3"/>
      <c r="K102" s="3" t="s">
        <v>576</v>
      </c>
      <c r="L102" s="3" t="s">
        <v>247</v>
      </c>
      <c r="M102" s="3"/>
    </row>
    <row r="103" spans="1:13" ht="27.6">
      <c r="A103" t="s">
        <v>2113</v>
      </c>
      <c r="B103">
        <v>1062969</v>
      </c>
      <c r="C103">
        <v>1062.9690000000001</v>
      </c>
      <c r="D103" t="s">
        <v>157</v>
      </c>
      <c r="E103" t="s">
        <v>575</v>
      </c>
      <c r="F103" t="s">
        <v>2089</v>
      </c>
      <c r="G103">
        <v>3</v>
      </c>
      <c r="H103" t="s">
        <v>571</v>
      </c>
      <c r="I103" s="3" t="s">
        <v>576</v>
      </c>
      <c r="J103" s="3"/>
      <c r="K103" s="3" t="s">
        <v>576</v>
      </c>
      <c r="L103" s="3" t="s">
        <v>247</v>
      </c>
      <c r="M103" s="3"/>
    </row>
    <row r="104" spans="1:13" ht="27.6">
      <c r="A104" t="s">
        <v>2114</v>
      </c>
      <c r="B104">
        <v>1068476</v>
      </c>
      <c r="C104">
        <v>1068.4760000000001</v>
      </c>
      <c r="D104" t="s">
        <v>157</v>
      </c>
      <c r="E104" t="s">
        <v>575</v>
      </c>
      <c r="F104" t="s">
        <v>2089</v>
      </c>
      <c r="G104">
        <v>3</v>
      </c>
      <c r="H104" t="s">
        <v>571</v>
      </c>
      <c r="I104" s="3" t="s">
        <v>576</v>
      </c>
      <c r="J104" s="3"/>
      <c r="K104" s="3" t="s">
        <v>576</v>
      </c>
      <c r="L104" s="3" t="s">
        <v>247</v>
      </c>
      <c r="M104" s="3"/>
    </row>
    <row r="105" spans="1:13">
      <c r="A105" t="s">
        <v>2115</v>
      </c>
      <c r="B105">
        <v>1073475</v>
      </c>
      <c r="C105">
        <v>1073.4749999999999</v>
      </c>
      <c r="D105" t="s">
        <v>157</v>
      </c>
      <c r="E105" t="s">
        <v>259</v>
      </c>
      <c r="F105" t="s">
        <v>2003</v>
      </c>
      <c r="G105">
        <v>3</v>
      </c>
      <c r="H105" t="s">
        <v>571</v>
      </c>
      <c r="I105" s="3" t="s">
        <v>569</v>
      </c>
      <c r="J105" s="3"/>
      <c r="K105" s="3" t="s">
        <v>569</v>
      </c>
      <c r="L105" s="3" t="s">
        <v>247</v>
      </c>
      <c r="M105" s="3"/>
    </row>
    <row r="106" spans="1:13" ht="27.6">
      <c r="A106" t="s">
        <v>2116</v>
      </c>
      <c r="B106">
        <v>1098443</v>
      </c>
      <c r="C106">
        <v>1098.443</v>
      </c>
      <c r="D106" t="s">
        <v>157</v>
      </c>
      <c r="E106" t="s">
        <v>601</v>
      </c>
      <c r="F106" t="s">
        <v>2003</v>
      </c>
      <c r="G106">
        <v>3</v>
      </c>
      <c r="H106" t="s">
        <v>571</v>
      </c>
      <c r="I106" s="3" t="s">
        <v>602</v>
      </c>
      <c r="J106" s="3"/>
      <c r="K106" s="3" t="s">
        <v>602</v>
      </c>
      <c r="L106" s="3" t="s">
        <v>247</v>
      </c>
      <c r="M106" s="3"/>
    </row>
    <row r="107" spans="1:13" ht="27.6">
      <c r="A107" t="s">
        <v>2117</v>
      </c>
      <c r="B107">
        <v>1108444</v>
      </c>
      <c r="C107">
        <v>1108.444</v>
      </c>
      <c r="D107" t="s">
        <v>157</v>
      </c>
      <c r="E107" t="s">
        <v>607</v>
      </c>
      <c r="F107" t="s">
        <v>2003</v>
      </c>
      <c r="G107">
        <v>3</v>
      </c>
      <c r="H107" t="s">
        <v>604</v>
      </c>
      <c r="I107" s="3" t="s">
        <v>608</v>
      </c>
      <c r="J107" s="3"/>
      <c r="K107" s="3" t="s">
        <v>608</v>
      </c>
      <c r="L107" s="3" t="s">
        <v>247</v>
      </c>
      <c r="M107" s="3"/>
    </row>
    <row r="108" spans="1:13" ht="27.6">
      <c r="A108" t="s">
        <v>2118</v>
      </c>
      <c r="B108">
        <v>1118443</v>
      </c>
      <c r="C108">
        <v>1118.443</v>
      </c>
      <c r="D108" t="s">
        <v>157</v>
      </c>
      <c r="E108" t="s">
        <v>305</v>
      </c>
      <c r="F108" t="s">
        <v>2032</v>
      </c>
      <c r="G108">
        <v>4</v>
      </c>
      <c r="H108" t="s">
        <v>385</v>
      </c>
      <c r="I108" s="3" t="s">
        <v>565</v>
      </c>
      <c r="J108" s="3"/>
      <c r="K108" s="3" t="s">
        <v>565</v>
      </c>
      <c r="L108" s="3" t="s">
        <v>247</v>
      </c>
      <c r="M108" s="3"/>
    </row>
    <row r="109" spans="1:13" ht="27.6">
      <c r="A109" t="s">
        <v>2119</v>
      </c>
      <c r="B109">
        <v>1128474</v>
      </c>
      <c r="C109">
        <v>1128.4739999999999</v>
      </c>
      <c r="D109" t="s">
        <v>157</v>
      </c>
      <c r="E109" t="s">
        <v>575</v>
      </c>
      <c r="F109" t="s">
        <v>2089</v>
      </c>
      <c r="G109">
        <v>4</v>
      </c>
      <c r="H109" t="s">
        <v>571</v>
      </c>
      <c r="I109" s="3" t="s">
        <v>576</v>
      </c>
      <c r="J109" s="3"/>
      <c r="K109" s="3" t="s">
        <v>576</v>
      </c>
      <c r="L109" s="3" t="s">
        <v>247</v>
      </c>
      <c r="M109" s="3"/>
    </row>
    <row r="110" spans="1:13" ht="27.6">
      <c r="A110" t="s">
        <v>2120</v>
      </c>
      <c r="B110">
        <v>1133517</v>
      </c>
      <c r="C110">
        <v>1133.5170000000001</v>
      </c>
      <c r="D110" t="s">
        <v>157</v>
      </c>
      <c r="E110" t="s">
        <v>575</v>
      </c>
      <c r="F110" t="s">
        <v>2089</v>
      </c>
      <c r="G110">
        <v>4</v>
      </c>
      <c r="H110" t="s">
        <v>571</v>
      </c>
      <c r="I110" s="3" t="s">
        <v>576</v>
      </c>
      <c r="J110" s="3"/>
      <c r="K110" s="3" t="s">
        <v>576</v>
      </c>
      <c r="L110" s="3" t="s">
        <v>247</v>
      </c>
      <c r="M110" s="3"/>
    </row>
    <row r="111" spans="1:13" ht="27.6">
      <c r="A111" t="s">
        <v>2121</v>
      </c>
      <c r="B111">
        <v>1138518</v>
      </c>
      <c r="C111">
        <v>1138.518</v>
      </c>
      <c r="D111" t="s">
        <v>157</v>
      </c>
      <c r="E111" t="s">
        <v>575</v>
      </c>
      <c r="F111" t="s">
        <v>2089</v>
      </c>
      <c r="G111">
        <v>4</v>
      </c>
      <c r="H111" t="s">
        <v>571</v>
      </c>
      <c r="I111" s="3" t="s">
        <v>576</v>
      </c>
      <c r="J111" s="3"/>
      <c r="K111" s="3" t="s">
        <v>576</v>
      </c>
      <c r="L111" s="3" t="s">
        <v>247</v>
      </c>
      <c r="M111" s="3"/>
    </row>
    <row r="112" spans="1:13" ht="27.6">
      <c r="A112" t="s">
        <v>2122</v>
      </c>
      <c r="B112">
        <v>1143518</v>
      </c>
      <c r="C112">
        <v>1143.518</v>
      </c>
      <c r="D112" t="s">
        <v>157</v>
      </c>
      <c r="E112" t="s">
        <v>575</v>
      </c>
      <c r="F112" t="s">
        <v>2089</v>
      </c>
      <c r="G112">
        <v>4</v>
      </c>
      <c r="H112" t="s">
        <v>571</v>
      </c>
      <c r="I112" s="3" t="s">
        <v>576</v>
      </c>
      <c r="J112" s="3"/>
      <c r="K112" s="3" t="s">
        <v>576</v>
      </c>
      <c r="L112" s="3" t="s">
        <v>247</v>
      </c>
      <c r="M112" s="3"/>
    </row>
    <row r="113" spans="1:13" ht="27.6">
      <c r="A113" t="s">
        <v>2123</v>
      </c>
      <c r="B113">
        <v>1148517</v>
      </c>
      <c r="C113">
        <v>1148.5170000000001</v>
      </c>
      <c r="D113" t="s">
        <v>157</v>
      </c>
      <c r="E113" t="s">
        <v>575</v>
      </c>
      <c r="F113" t="s">
        <v>2089</v>
      </c>
      <c r="G113">
        <v>4</v>
      </c>
      <c r="H113" t="s">
        <v>571</v>
      </c>
      <c r="I113" s="3" t="s">
        <v>576</v>
      </c>
      <c r="J113" s="3"/>
      <c r="K113" s="3" t="s">
        <v>576</v>
      </c>
      <c r="L113" s="3" t="s">
        <v>247</v>
      </c>
      <c r="M113" s="3"/>
    </row>
    <row r="114" spans="1:13" ht="27.6">
      <c r="A114" t="s">
        <v>2124</v>
      </c>
      <c r="B114">
        <v>1153517</v>
      </c>
      <c r="C114">
        <v>1153.5170000000001</v>
      </c>
      <c r="D114" t="s">
        <v>157</v>
      </c>
      <c r="E114" t="s">
        <v>575</v>
      </c>
      <c r="F114" t="s">
        <v>2089</v>
      </c>
      <c r="G114">
        <v>4</v>
      </c>
      <c r="H114" t="s">
        <v>571</v>
      </c>
      <c r="I114" s="3" t="s">
        <v>576</v>
      </c>
      <c r="J114" s="3"/>
      <c r="K114" s="3" t="s">
        <v>576</v>
      </c>
      <c r="L114" s="3" t="s">
        <v>247</v>
      </c>
      <c r="M114" s="3"/>
    </row>
    <row r="115" spans="1:13" ht="27.6">
      <c r="A115" t="s">
        <v>2125</v>
      </c>
      <c r="B115">
        <v>1158517</v>
      </c>
      <c r="C115">
        <v>1158.5170000000001</v>
      </c>
      <c r="D115" t="s">
        <v>157</v>
      </c>
      <c r="E115" t="s">
        <v>575</v>
      </c>
      <c r="F115" t="s">
        <v>2089</v>
      </c>
      <c r="G115">
        <v>4</v>
      </c>
      <c r="H115" t="s">
        <v>571</v>
      </c>
      <c r="I115" s="3" t="s">
        <v>576</v>
      </c>
      <c r="J115" s="3"/>
      <c r="K115" s="3" t="s">
        <v>576</v>
      </c>
      <c r="L115" s="3" t="s">
        <v>247</v>
      </c>
      <c r="M115" s="3"/>
    </row>
    <row r="116" spans="1:13" ht="27.6">
      <c r="A116" t="s">
        <v>2126</v>
      </c>
      <c r="B116">
        <v>1163517</v>
      </c>
      <c r="C116">
        <v>1163.5170000000001</v>
      </c>
      <c r="D116" t="s">
        <v>157</v>
      </c>
      <c r="E116" t="s">
        <v>575</v>
      </c>
      <c r="F116" t="s">
        <v>2089</v>
      </c>
      <c r="G116">
        <v>4</v>
      </c>
      <c r="H116" t="s">
        <v>571</v>
      </c>
      <c r="I116" s="3" t="s">
        <v>576</v>
      </c>
      <c r="J116" s="3"/>
      <c r="K116" s="3" t="s">
        <v>576</v>
      </c>
      <c r="L116" s="3" t="s">
        <v>247</v>
      </c>
      <c r="M116" s="3"/>
    </row>
    <row r="117" spans="1:13" ht="27.6">
      <c r="A117" t="s">
        <v>2127</v>
      </c>
      <c r="B117">
        <v>1168518</v>
      </c>
      <c r="C117">
        <v>1168.518</v>
      </c>
      <c r="D117" t="s">
        <v>157</v>
      </c>
      <c r="E117" t="s">
        <v>575</v>
      </c>
      <c r="F117" t="s">
        <v>2089</v>
      </c>
      <c r="G117">
        <v>4</v>
      </c>
      <c r="H117" t="s">
        <v>571</v>
      </c>
      <c r="I117" s="3" t="s">
        <v>576</v>
      </c>
      <c r="J117" s="3"/>
      <c r="K117" s="3" t="s">
        <v>576</v>
      </c>
      <c r="L117" s="3" t="s">
        <v>247</v>
      </c>
      <c r="M117" s="3"/>
    </row>
  </sheetData>
  <mergeCells count="1">
    <mergeCell ref="A1:M2"/>
  </mergeCells>
  <conditionalFormatting sqref="F5:F117">
    <cfRule type="expression" dxfId="9" priority="1">
      <formula>$F5="Critical"</formula>
    </cfRule>
    <cfRule type="expression" dxfId="8" priority="2">
      <formula>$F5="Warning"</formula>
    </cfRule>
  </conditionalFormatting>
  <conditionalFormatting sqref="L5:L117">
    <cfRule type="expression" dxfId="7" priority="3">
      <formula>ISNUMBER(SEARCH("Legacy",$L5))</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684"/>
  <sheetViews>
    <sheetView workbookViewId="0"/>
  </sheetViews>
  <sheetFormatPr defaultRowHeight="13.8"/>
  <cols>
    <col min="1" max="1" width="13" customWidth="1"/>
    <col min="2" max="2" width="24" customWidth="1"/>
    <col min="3" max="3" width="13" customWidth="1"/>
    <col min="4" max="4" width="22" customWidth="1"/>
    <col min="5" max="5" width="76" customWidth="1"/>
    <col min="6" max="29" width="17" customWidth="1"/>
  </cols>
  <sheetData>
    <row r="1" spans="1:29" ht="24" customHeight="1">
      <c r="A1" s="85" t="s">
        <v>2128</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row>
    <row r="2" spans="1:29" ht="24" customHeight="1">
      <c r="A2" s="85"/>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row>
    <row r="4" spans="1:29" ht="22.35" customHeight="1">
      <c r="A4" s="18" t="s">
        <v>2129</v>
      </c>
      <c r="B4" s="18" t="s">
        <v>2130</v>
      </c>
      <c r="C4" s="18" t="s">
        <v>2131</v>
      </c>
      <c r="D4" s="18" t="s">
        <v>2132</v>
      </c>
      <c r="E4" s="18" t="s">
        <v>2133</v>
      </c>
      <c r="F4" s="18" t="s">
        <v>2134</v>
      </c>
      <c r="G4" s="18" t="s">
        <v>2135</v>
      </c>
      <c r="H4" s="18" t="s">
        <v>2136</v>
      </c>
      <c r="I4" s="18" t="s">
        <v>2137</v>
      </c>
      <c r="J4" s="18" t="s">
        <v>2138</v>
      </c>
      <c r="K4" s="18" t="s">
        <v>2139</v>
      </c>
      <c r="L4" s="18" t="s">
        <v>2140</v>
      </c>
      <c r="M4" s="18" t="s">
        <v>2141</v>
      </c>
      <c r="N4" s="18" t="s">
        <v>2142</v>
      </c>
      <c r="O4" s="18" t="s">
        <v>2143</v>
      </c>
      <c r="P4" s="18" t="s">
        <v>2144</v>
      </c>
      <c r="Q4" s="18" t="s">
        <v>2145</v>
      </c>
      <c r="R4" s="18" t="s">
        <v>2146</v>
      </c>
      <c r="S4" s="18" t="s">
        <v>2147</v>
      </c>
      <c r="T4" s="18" t="s">
        <v>2148</v>
      </c>
      <c r="U4" s="18" t="s">
        <v>2149</v>
      </c>
      <c r="V4" s="18" t="s">
        <v>2150</v>
      </c>
      <c r="W4" s="18" t="s">
        <v>2151</v>
      </c>
      <c r="X4" s="18" t="s">
        <v>2152</v>
      </c>
      <c r="Y4" s="18" t="s">
        <v>2153</v>
      </c>
      <c r="Z4" s="18" t="s">
        <v>2154</v>
      </c>
      <c r="AA4" s="18" t="s">
        <v>2155</v>
      </c>
      <c r="AB4" s="18" t="s">
        <v>2156</v>
      </c>
      <c r="AC4" s="18" t="s">
        <v>2157</v>
      </c>
    </row>
    <row r="5" spans="1:29">
      <c r="A5" t="s">
        <v>2158</v>
      </c>
      <c r="B5" t="s">
        <v>2159</v>
      </c>
      <c r="C5">
        <v>1</v>
      </c>
      <c r="D5" t="s">
        <v>2160</v>
      </c>
      <c r="E5" s="3" t="s">
        <v>2161</v>
      </c>
      <c r="F5" t="s">
        <v>288</v>
      </c>
      <c r="G5" t="s">
        <v>232</v>
      </c>
      <c r="H5" t="s">
        <v>249</v>
      </c>
      <c r="R5" t="s">
        <v>2014</v>
      </c>
    </row>
    <row r="6" spans="1:29">
      <c r="A6" t="s">
        <v>2162</v>
      </c>
      <c r="B6" t="s">
        <v>2159</v>
      </c>
      <c r="C6">
        <v>2</v>
      </c>
      <c r="D6" t="s">
        <v>2160</v>
      </c>
      <c r="E6" s="3" t="s">
        <v>2163</v>
      </c>
      <c r="K6" t="s">
        <v>2017</v>
      </c>
    </row>
    <row r="7" spans="1:29">
      <c r="A7" t="s">
        <v>2164</v>
      </c>
      <c r="B7" t="s">
        <v>2159</v>
      </c>
      <c r="C7">
        <v>3</v>
      </c>
      <c r="D7" t="s">
        <v>2160</v>
      </c>
      <c r="E7" s="3" t="s">
        <v>2165</v>
      </c>
      <c r="F7" t="s">
        <v>2166</v>
      </c>
      <c r="G7" t="s">
        <v>232</v>
      </c>
      <c r="H7" t="s">
        <v>249</v>
      </c>
      <c r="R7" t="s">
        <v>2011</v>
      </c>
    </row>
    <row r="8" spans="1:29">
      <c r="A8" t="s">
        <v>2167</v>
      </c>
      <c r="B8" t="s">
        <v>2159</v>
      </c>
      <c r="C8">
        <v>4</v>
      </c>
      <c r="D8" t="s">
        <v>2160</v>
      </c>
      <c r="E8" s="3" t="s">
        <v>2168</v>
      </c>
      <c r="F8" t="s">
        <v>2169</v>
      </c>
      <c r="G8" t="s">
        <v>232</v>
      </c>
      <c r="H8" t="s">
        <v>249</v>
      </c>
      <c r="R8" t="s">
        <v>2014</v>
      </c>
    </row>
    <row r="9" spans="1:29" ht="41.4">
      <c r="A9" t="s">
        <v>2170</v>
      </c>
      <c r="B9" t="s">
        <v>2159</v>
      </c>
      <c r="C9">
        <v>5</v>
      </c>
      <c r="D9" t="s">
        <v>2171</v>
      </c>
      <c r="E9" s="3" t="s">
        <v>2172</v>
      </c>
      <c r="F9" t="s">
        <v>2134</v>
      </c>
      <c r="G9" t="s">
        <v>2135</v>
      </c>
      <c r="H9" t="s">
        <v>2136</v>
      </c>
      <c r="I9" t="s">
        <v>2137</v>
      </c>
      <c r="J9" t="s">
        <v>2138</v>
      </c>
      <c r="K9" t="s">
        <v>2139</v>
      </c>
      <c r="L9" t="s">
        <v>2140</v>
      </c>
      <c r="M9" t="s">
        <v>2141</v>
      </c>
      <c r="N9" t="s">
        <v>2142</v>
      </c>
      <c r="O9" t="s">
        <v>2143</v>
      </c>
      <c r="P9" t="s">
        <v>2144</v>
      </c>
      <c r="Q9" t="s">
        <v>2145</v>
      </c>
      <c r="R9" t="s">
        <v>2146</v>
      </c>
      <c r="S9" t="s">
        <v>2147</v>
      </c>
      <c r="T9" t="s">
        <v>2148</v>
      </c>
      <c r="U9" t="s">
        <v>2149</v>
      </c>
      <c r="V9" t="s">
        <v>2150</v>
      </c>
    </row>
    <row r="10" spans="1:29">
      <c r="A10" t="s">
        <v>2173</v>
      </c>
      <c r="B10" t="s">
        <v>2159</v>
      </c>
      <c r="C10">
        <v>6</v>
      </c>
      <c r="D10" t="s">
        <v>2174</v>
      </c>
      <c r="E10" s="3" t="s">
        <v>2175</v>
      </c>
      <c r="F10" t="s">
        <v>2176</v>
      </c>
      <c r="G10" t="s">
        <v>232</v>
      </c>
      <c r="H10" t="s">
        <v>2177</v>
      </c>
      <c r="I10" t="s">
        <v>233</v>
      </c>
      <c r="J10" t="s">
        <v>2178</v>
      </c>
      <c r="L10" t="s">
        <v>2178</v>
      </c>
      <c r="P10" t="s">
        <v>706</v>
      </c>
      <c r="Q10" t="s">
        <v>267</v>
      </c>
    </row>
    <row r="11" spans="1:29">
      <c r="A11" t="s">
        <v>2179</v>
      </c>
      <c r="B11" t="s">
        <v>2159</v>
      </c>
      <c r="C11">
        <v>7</v>
      </c>
      <c r="D11" t="s">
        <v>2174</v>
      </c>
      <c r="E11" s="3" t="s">
        <v>2180</v>
      </c>
      <c r="F11" t="s">
        <v>2181</v>
      </c>
      <c r="G11" t="s">
        <v>232</v>
      </c>
      <c r="H11" t="s">
        <v>2182</v>
      </c>
      <c r="I11" t="s">
        <v>233</v>
      </c>
      <c r="J11" t="s">
        <v>2183</v>
      </c>
      <c r="L11" t="s">
        <v>2183</v>
      </c>
      <c r="P11" t="s">
        <v>140</v>
      </c>
      <c r="Q11" t="s">
        <v>267</v>
      </c>
    </row>
    <row r="12" spans="1:29">
      <c r="A12" t="s">
        <v>2184</v>
      </c>
      <c r="B12" t="s">
        <v>2159</v>
      </c>
      <c r="C12">
        <v>8</v>
      </c>
      <c r="D12" t="s">
        <v>2174</v>
      </c>
      <c r="E12" s="3" t="s">
        <v>2185</v>
      </c>
      <c r="F12" t="s">
        <v>2186</v>
      </c>
      <c r="G12" t="s">
        <v>232</v>
      </c>
      <c r="H12" t="s">
        <v>264</v>
      </c>
      <c r="I12" t="s">
        <v>233</v>
      </c>
      <c r="J12" t="s">
        <v>2187</v>
      </c>
      <c r="L12" t="s">
        <v>2187</v>
      </c>
      <c r="P12" t="s">
        <v>125</v>
      </c>
      <c r="Q12" t="s">
        <v>267</v>
      </c>
    </row>
    <row r="13" spans="1:29">
      <c r="A13" t="s">
        <v>2188</v>
      </c>
      <c r="B13" t="s">
        <v>2159</v>
      </c>
      <c r="C13">
        <v>9</v>
      </c>
      <c r="D13" t="s">
        <v>2174</v>
      </c>
      <c r="E13" s="3" t="s">
        <v>2189</v>
      </c>
      <c r="F13" t="s">
        <v>2190</v>
      </c>
      <c r="G13" t="s">
        <v>232</v>
      </c>
      <c r="H13" t="s">
        <v>2191</v>
      </c>
      <c r="I13" t="s">
        <v>233</v>
      </c>
      <c r="J13" t="s">
        <v>233</v>
      </c>
      <c r="L13" t="s">
        <v>233</v>
      </c>
      <c r="P13" t="s">
        <v>107</v>
      </c>
      <c r="Q13" t="s">
        <v>267</v>
      </c>
    </row>
    <row r="14" spans="1:29">
      <c r="A14" t="s">
        <v>2192</v>
      </c>
      <c r="B14" t="s">
        <v>2159</v>
      </c>
      <c r="C14">
        <v>10</v>
      </c>
      <c r="D14" t="s">
        <v>2174</v>
      </c>
      <c r="E14" s="3" t="s">
        <v>2193</v>
      </c>
      <c r="F14" t="s">
        <v>2194</v>
      </c>
      <c r="G14" t="s">
        <v>232</v>
      </c>
      <c r="H14" t="s">
        <v>2195</v>
      </c>
      <c r="I14" t="s">
        <v>233</v>
      </c>
      <c r="J14" t="s">
        <v>2196</v>
      </c>
      <c r="L14" t="s">
        <v>2196</v>
      </c>
      <c r="P14" t="s">
        <v>2197</v>
      </c>
      <c r="Q14" t="s">
        <v>267</v>
      </c>
    </row>
    <row r="15" spans="1:29">
      <c r="A15" t="s">
        <v>2198</v>
      </c>
      <c r="B15" t="s">
        <v>2159</v>
      </c>
      <c r="C15">
        <v>11</v>
      </c>
      <c r="D15" t="s">
        <v>2174</v>
      </c>
      <c r="E15" s="3" t="s">
        <v>2199</v>
      </c>
      <c r="F15" t="s">
        <v>2200</v>
      </c>
      <c r="G15" t="s">
        <v>232</v>
      </c>
      <c r="H15" t="s">
        <v>243</v>
      </c>
      <c r="R15" t="s">
        <v>2007</v>
      </c>
    </row>
    <row r="16" spans="1:29">
      <c r="A16" t="s">
        <v>2201</v>
      </c>
      <c r="B16" t="s">
        <v>2159</v>
      </c>
      <c r="C16">
        <v>12</v>
      </c>
      <c r="D16" t="s">
        <v>2174</v>
      </c>
      <c r="E16" s="3" t="s">
        <v>2202</v>
      </c>
      <c r="F16" t="s">
        <v>2203</v>
      </c>
      <c r="G16" t="s">
        <v>232</v>
      </c>
      <c r="H16" t="s">
        <v>249</v>
      </c>
      <c r="R16" t="s">
        <v>2011</v>
      </c>
    </row>
    <row r="17" spans="1:20">
      <c r="A17" t="s">
        <v>2204</v>
      </c>
      <c r="B17" t="s">
        <v>2159</v>
      </c>
      <c r="C17">
        <v>13</v>
      </c>
      <c r="D17" t="s">
        <v>2174</v>
      </c>
      <c r="E17" s="3" t="s">
        <v>2205</v>
      </c>
      <c r="F17" t="s">
        <v>2206</v>
      </c>
      <c r="G17" t="s">
        <v>232</v>
      </c>
      <c r="H17" t="s">
        <v>249</v>
      </c>
      <c r="R17" t="s">
        <v>2014</v>
      </c>
    </row>
    <row r="18" spans="1:20">
      <c r="A18" t="s">
        <v>2207</v>
      </c>
      <c r="B18" t="s">
        <v>2159</v>
      </c>
      <c r="C18">
        <v>14</v>
      </c>
      <c r="D18" t="s">
        <v>2174</v>
      </c>
      <c r="E18" s="3" t="s">
        <v>2208</v>
      </c>
      <c r="F18" t="s">
        <v>2209</v>
      </c>
      <c r="G18" t="s">
        <v>232</v>
      </c>
      <c r="H18" t="s">
        <v>2177</v>
      </c>
      <c r="I18" t="s">
        <v>3</v>
      </c>
      <c r="J18" t="s">
        <v>2210</v>
      </c>
      <c r="L18" t="s">
        <v>2210</v>
      </c>
      <c r="P18" t="s">
        <v>706</v>
      </c>
      <c r="Q18" t="s">
        <v>267</v>
      </c>
    </row>
    <row r="19" spans="1:20">
      <c r="A19" t="s">
        <v>2211</v>
      </c>
      <c r="B19" t="s">
        <v>2159</v>
      </c>
      <c r="C19">
        <v>15</v>
      </c>
      <c r="D19" t="s">
        <v>2174</v>
      </c>
      <c r="E19" s="3" t="s">
        <v>2212</v>
      </c>
      <c r="F19" t="s">
        <v>2213</v>
      </c>
      <c r="G19" t="s">
        <v>232</v>
      </c>
      <c r="H19" t="s">
        <v>2182</v>
      </c>
      <c r="I19" t="s">
        <v>3</v>
      </c>
      <c r="J19" t="s">
        <v>2214</v>
      </c>
      <c r="L19" t="s">
        <v>2214</v>
      </c>
      <c r="P19" t="s">
        <v>140</v>
      </c>
      <c r="Q19" t="s">
        <v>267</v>
      </c>
    </row>
    <row r="20" spans="1:20">
      <c r="A20" t="s">
        <v>2215</v>
      </c>
      <c r="B20" t="s">
        <v>2159</v>
      </c>
      <c r="C20">
        <v>16</v>
      </c>
      <c r="D20" t="s">
        <v>2174</v>
      </c>
      <c r="E20" s="3" t="s">
        <v>2216</v>
      </c>
      <c r="F20" t="s">
        <v>2217</v>
      </c>
      <c r="G20" t="s">
        <v>232</v>
      </c>
      <c r="H20" t="s">
        <v>264</v>
      </c>
      <c r="I20" t="s">
        <v>3</v>
      </c>
      <c r="J20" t="s">
        <v>2218</v>
      </c>
      <c r="L20" t="s">
        <v>2218</v>
      </c>
      <c r="P20" t="s">
        <v>125</v>
      </c>
      <c r="Q20" t="s">
        <v>267</v>
      </c>
    </row>
    <row r="21" spans="1:20">
      <c r="A21" t="s">
        <v>2219</v>
      </c>
      <c r="B21" t="s">
        <v>2159</v>
      </c>
      <c r="C21">
        <v>17</v>
      </c>
      <c r="D21" t="s">
        <v>2174</v>
      </c>
      <c r="E21" s="3" t="s">
        <v>2220</v>
      </c>
      <c r="F21" t="s">
        <v>2221</v>
      </c>
      <c r="G21" t="s">
        <v>232</v>
      </c>
      <c r="H21" t="s">
        <v>2191</v>
      </c>
      <c r="I21" t="s">
        <v>3</v>
      </c>
      <c r="J21" t="s">
        <v>233</v>
      </c>
      <c r="L21" t="s">
        <v>233</v>
      </c>
      <c r="P21" t="s">
        <v>107</v>
      </c>
      <c r="Q21" t="s">
        <v>267</v>
      </c>
    </row>
    <row r="22" spans="1:20">
      <c r="A22" t="s">
        <v>2222</v>
      </c>
      <c r="B22" t="s">
        <v>2159</v>
      </c>
      <c r="C22">
        <v>18</v>
      </c>
      <c r="D22" t="s">
        <v>2174</v>
      </c>
      <c r="E22" s="3" t="s">
        <v>2223</v>
      </c>
      <c r="F22" t="s">
        <v>2224</v>
      </c>
      <c r="G22" t="s">
        <v>232</v>
      </c>
      <c r="H22" t="s">
        <v>2195</v>
      </c>
      <c r="I22" t="s">
        <v>3</v>
      </c>
      <c r="J22" t="s">
        <v>2225</v>
      </c>
      <c r="L22" t="s">
        <v>2225</v>
      </c>
      <c r="P22" t="s">
        <v>2197</v>
      </c>
      <c r="Q22" t="s">
        <v>267</v>
      </c>
    </row>
    <row r="23" spans="1:20">
      <c r="A23" t="s">
        <v>2226</v>
      </c>
      <c r="B23" t="s">
        <v>2159</v>
      </c>
      <c r="C23">
        <v>19</v>
      </c>
      <c r="D23" t="s">
        <v>2174</v>
      </c>
      <c r="E23" s="3" t="s">
        <v>2227</v>
      </c>
      <c r="F23" t="s">
        <v>2228</v>
      </c>
      <c r="G23" t="s">
        <v>232</v>
      </c>
      <c r="H23" t="s">
        <v>243</v>
      </c>
      <c r="R23" t="s">
        <v>2017</v>
      </c>
    </row>
    <row r="24" spans="1:20">
      <c r="A24" t="s">
        <v>2229</v>
      </c>
      <c r="B24" t="s">
        <v>2159</v>
      </c>
      <c r="C24">
        <v>20</v>
      </c>
      <c r="D24" t="s">
        <v>2174</v>
      </c>
      <c r="E24" s="3" t="s">
        <v>2230</v>
      </c>
      <c r="F24" t="s">
        <v>2231</v>
      </c>
      <c r="G24" t="s">
        <v>263</v>
      </c>
      <c r="H24" t="s">
        <v>264</v>
      </c>
      <c r="I24" t="s">
        <v>233</v>
      </c>
      <c r="J24" t="s">
        <v>2232</v>
      </c>
      <c r="L24" t="s">
        <v>2232</v>
      </c>
      <c r="M24" t="s">
        <v>2233</v>
      </c>
      <c r="N24" t="s">
        <v>2234</v>
      </c>
      <c r="O24" t="s">
        <v>2235</v>
      </c>
      <c r="P24" t="s">
        <v>125</v>
      </c>
      <c r="Q24" t="s">
        <v>267</v>
      </c>
      <c r="S24" t="s">
        <v>3</v>
      </c>
      <c r="T24" t="s">
        <v>3</v>
      </c>
    </row>
    <row r="25" spans="1:20">
      <c r="A25" t="s">
        <v>2236</v>
      </c>
      <c r="B25" t="s">
        <v>2159</v>
      </c>
      <c r="C25">
        <v>21</v>
      </c>
      <c r="D25" t="s">
        <v>2174</v>
      </c>
      <c r="E25" s="3" t="s">
        <v>2237</v>
      </c>
      <c r="F25" t="s">
        <v>2238</v>
      </c>
      <c r="G25" t="s">
        <v>263</v>
      </c>
      <c r="H25" t="s">
        <v>264</v>
      </c>
      <c r="I25" t="s">
        <v>3</v>
      </c>
      <c r="J25" t="s">
        <v>2239</v>
      </c>
      <c r="L25" t="s">
        <v>2239</v>
      </c>
      <c r="M25" t="s">
        <v>2233</v>
      </c>
      <c r="N25" t="s">
        <v>2240</v>
      </c>
      <c r="O25" t="s">
        <v>2241</v>
      </c>
      <c r="P25" t="s">
        <v>125</v>
      </c>
      <c r="Q25" t="s">
        <v>267</v>
      </c>
      <c r="S25" t="s">
        <v>3</v>
      </c>
      <c r="T25" t="s">
        <v>6</v>
      </c>
    </row>
    <row r="26" spans="1:20">
      <c r="A26" t="s">
        <v>2242</v>
      </c>
      <c r="B26" t="s">
        <v>2159</v>
      </c>
      <c r="C26">
        <v>22</v>
      </c>
      <c r="D26" t="s">
        <v>2174</v>
      </c>
      <c r="E26" s="3" t="s">
        <v>2243</v>
      </c>
      <c r="F26" t="s">
        <v>2244</v>
      </c>
      <c r="G26" t="s">
        <v>263</v>
      </c>
      <c r="H26" t="s">
        <v>264</v>
      </c>
      <c r="I26" t="s">
        <v>6</v>
      </c>
      <c r="J26" t="s">
        <v>2245</v>
      </c>
      <c r="L26" t="s">
        <v>2245</v>
      </c>
      <c r="M26" t="s">
        <v>2233</v>
      </c>
      <c r="N26" t="s">
        <v>2246</v>
      </c>
      <c r="O26" t="s">
        <v>2247</v>
      </c>
      <c r="P26" t="s">
        <v>125</v>
      </c>
      <c r="Q26" t="s">
        <v>267</v>
      </c>
      <c r="S26" t="s">
        <v>3</v>
      </c>
      <c r="T26" t="s">
        <v>9</v>
      </c>
    </row>
    <row r="27" spans="1:20">
      <c r="A27" t="s">
        <v>2248</v>
      </c>
      <c r="B27" t="s">
        <v>2159</v>
      </c>
      <c r="C27">
        <v>23</v>
      </c>
      <c r="D27" t="s">
        <v>2174</v>
      </c>
      <c r="E27" s="3" t="s">
        <v>2249</v>
      </c>
      <c r="F27" t="s">
        <v>2250</v>
      </c>
      <c r="G27" t="s">
        <v>263</v>
      </c>
      <c r="H27" t="s">
        <v>264</v>
      </c>
      <c r="I27" t="s">
        <v>9</v>
      </c>
      <c r="J27" t="s">
        <v>2251</v>
      </c>
      <c r="L27" t="s">
        <v>2251</v>
      </c>
      <c r="M27" t="s">
        <v>2233</v>
      </c>
      <c r="N27" t="s">
        <v>2252</v>
      </c>
      <c r="O27" t="s">
        <v>2253</v>
      </c>
      <c r="P27" t="s">
        <v>125</v>
      </c>
      <c r="Q27" t="s">
        <v>267</v>
      </c>
      <c r="S27" t="s">
        <v>3</v>
      </c>
      <c r="T27" t="s">
        <v>12</v>
      </c>
    </row>
    <row r="28" spans="1:20">
      <c r="A28" t="s">
        <v>2254</v>
      </c>
      <c r="B28" t="s">
        <v>2159</v>
      </c>
      <c r="C28">
        <v>24</v>
      </c>
      <c r="D28" t="s">
        <v>2174</v>
      </c>
      <c r="E28" s="3" t="s">
        <v>2255</v>
      </c>
      <c r="F28" t="s">
        <v>2256</v>
      </c>
      <c r="G28" t="s">
        <v>263</v>
      </c>
      <c r="H28" t="s">
        <v>264</v>
      </c>
      <c r="I28" t="s">
        <v>12</v>
      </c>
      <c r="J28" t="s">
        <v>2257</v>
      </c>
      <c r="L28" t="s">
        <v>2257</v>
      </c>
      <c r="M28" t="s">
        <v>2233</v>
      </c>
      <c r="N28" t="s">
        <v>2258</v>
      </c>
      <c r="O28" t="s">
        <v>2259</v>
      </c>
      <c r="P28" t="s">
        <v>125</v>
      </c>
      <c r="Q28" t="s">
        <v>267</v>
      </c>
      <c r="S28" t="s">
        <v>3</v>
      </c>
      <c r="T28" t="s">
        <v>15</v>
      </c>
    </row>
    <row r="29" spans="1:20">
      <c r="A29" t="s">
        <v>2260</v>
      </c>
      <c r="B29" t="s">
        <v>2159</v>
      </c>
      <c r="C29">
        <v>25</v>
      </c>
      <c r="D29" t="s">
        <v>2174</v>
      </c>
      <c r="E29" s="3" t="s">
        <v>2261</v>
      </c>
      <c r="F29" t="s">
        <v>2262</v>
      </c>
      <c r="G29" t="s">
        <v>263</v>
      </c>
      <c r="H29" t="s">
        <v>264</v>
      </c>
      <c r="I29" t="s">
        <v>15</v>
      </c>
      <c r="J29" t="s">
        <v>2263</v>
      </c>
      <c r="L29" t="s">
        <v>2263</v>
      </c>
      <c r="M29" t="s">
        <v>2264</v>
      </c>
      <c r="N29" t="s">
        <v>2265</v>
      </c>
      <c r="O29" t="s">
        <v>2266</v>
      </c>
      <c r="P29" t="s">
        <v>125</v>
      </c>
      <c r="Q29" t="s">
        <v>267</v>
      </c>
      <c r="S29" t="s">
        <v>6</v>
      </c>
      <c r="T29" t="s">
        <v>3</v>
      </c>
    </row>
    <row r="30" spans="1:20">
      <c r="A30" t="s">
        <v>2267</v>
      </c>
      <c r="B30" t="s">
        <v>2159</v>
      </c>
      <c r="C30">
        <v>26</v>
      </c>
      <c r="D30" t="s">
        <v>2174</v>
      </c>
      <c r="E30" s="3" t="s">
        <v>2268</v>
      </c>
      <c r="F30" t="s">
        <v>2269</v>
      </c>
      <c r="G30" t="s">
        <v>263</v>
      </c>
      <c r="H30" t="s">
        <v>264</v>
      </c>
      <c r="I30" t="s">
        <v>18</v>
      </c>
      <c r="J30" t="s">
        <v>2270</v>
      </c>
      <c r="L30" t="s">
        <v>2270</v>
      </c>
      <c r="M30" t="s">
        <v>2264</v>
      </c>
      <c r="N30" t="s">
        <v>2271</v>
      </c>
      <c r="O30" t="s">
        <v>2272</v>
      </c>
      <c r="P30" t="s">
        <v>125</v>
      </c>
      <c r="Q30" t="s">
        <v>267</v>
      </c>
      <c r="S30" t="s">
        <v>6</v>
      </c>
      <c r="T30" t="s">
        <v>6</v>
      </c>
    </row>
    <row r="31" spans="1:20">
      <c r="A31" t="s">
        <v>2273</v>
      </c>
      <c r="B31" t="s">
        <v>2159</v>
      </c>
      <c r="C31">
        <v>27</v>
      </c>
      <c r="D31" t="s">
        <v>2174</v>
      </c>
      <c r="E31" s="3" t="s">
        <v>2274</v>
      </c>
      <c r="F31" t="s">
        <v>2275</v>
      </c>
      <c r="G31" t="s">
        <v>263</v>
      </c>
      <c r="H31" t="s">
        <v>264</v>
      </c>
      <c r="I31" t="s">
        <v>278</v>
      </c>
      <c r="J31" t="s">
        <v>2276</v>
      </c>
      <c r="L31" t="s">
        <v>2276</v>
      </c>
      <c r="M31" t="s">
        <v>2264</v>
      </c>
      <c r="N31" t="s">
        <v>2277</v>
      </c>
      <c r="O31" t="s">
        <v>2278</v>
      </c>
      <c r="P31" t="s">
        <v>125</v>
      </c>
      <c r="Q31" t="s">
        <v>267</v>
      </c>
      <c r="S31" t="s">
        <v>6</v>
      </c>
      <c r="T31" t="s">
        <v>9</v>
      </c>
    </row>
    <row r="32" spans="1:20">
      <c r="A32" t="s">
        <v>2279</v>
      </c>
      <c r="B32" t="s">
        <v>2159</v>
      </c>
      <c r="C32">
        <v>28</v>
      </c>
      <c r="D32" t="s">
        <v>2174</v>
      </c>
      <c r="E32" s="3" t="s">
        <v>2280</v>
      </c>
      <c r="F32" t="s">
        <v>2281</v>
      </c>
      <c r="G32" t="s">
        <v>263</v>
      </c>
      <c r="H32" t="s">
        <v>264</v>
      </c>
      <c r="I32" t="s">
        <v>280</v>
      </c>
      <c r="J32" t="s">
        <v>2282</v>
      </c>
      <c r="L32" t="s">
        <v>2282</v>
      </c>
      <c r="M32" t="s">
        <v>2264</v>
      </c>
      <c r="N32" t="s">
        <v>2283</v>
      </c>
      <c r="O32" t="s">
        <v>2284</v>
      </c>
      <c r="P32" t="s">
        <v>125</v>
      </c>
      <c r="Q32" t="s">
        <v>267</v>
      </c>
      <c r="S32" t="s">
        <v>6</v>
      </c>
      <c r="T32" t="s">
        <v>12</v>
      </c>
    </row>
    <row r="33" spans="1:20">
      <c r="A33" t="s">
        <v>2285</v>
      </c>
      <c r="B33" t="s">
        <v>2159</v>
      </c>
      <c r="C33">
        <v>29</v>
      </c>
      <c r="D33" t="s">
        <v>2174</v>
      </c>
      <c r="E33" s="3" t="s">
        <v>2286</v>
      </c>
      <c r="F33" t="s">
        <v>2287</v>
      </c>
      <c r="G33" t="s">
        <v>263</v>
      </c>
      <c r="H33" t="s">
        <v>264</v>
      </c>
      <c r="I33" t="s">
        <v>282</v>
      </c>
      <c r="J33" t="s">
        <v>2288</v>
      </c>
      <c r="L33" t="s">
        <v>2288</v>
      </c>
      <c r="M33" t="s">
        <v>2264</v>
      </c>
      <c r="N33" t="s">
        <v>2289</v>
      </c>
      <c r="O33" t="s">
        <v>2290</v>
      </c>
      <c r="P33" t="s">
        <v>125</v>
      </c>
      <c r="Q33" t="s">
        <v>267</v>
      </c>
      <c r="S33" t="s">
        <v>6</v>
      </c>
      <c r="T33" t="s">
        <v>15</v>
      </c>
    </row>
    <row r="34" spans="1:20">
      <c r="A34" t="s">
        <v>2291</v>
      </c>
      <c r="B34" t="s">
        <v>2159</v>
      </c>
      <c r="C34">
        <v>30</v>
      </c>
      <c r="D34" t="s">
        <v>2174</v>
      </c>
      <c r="E34" s="3" t="s">
        <v>2292</v>
      </c>
      <c r="F34" t="s">
        <v>2293</v>
      </c>
      <c r="G34" t="s">
        <v>263</v>
      </c>
      <c r="H34" t="s">
        <v>264</v>
      </c>
      <c r="I34" t="s">
        <v>284</v>
      </c>
      <c r="J34" t="s">
        <v>2294</v>
      </c>
      <c r="L34" t="s">
        <v>2294</v>
      </c>
      <c r="M34" t="s">
        <v>2295</v>
      </c>
      <c r="N34" t="s">
        <v>2296</v>
      </c>
      <c r="O34" t="s">
        <v>2297</v>
      </c>
      <c r="P34" t="s">
        <v>125</v>
      </c>
      <c r="Q34" t="s">
        <v>267</v>
      </c>
      <c r="S34" t="s">
        <v>9</v>
      </c>
      <c r="T34" t="s">
        <v>3</v>
      </c>
    </row>
    <row r="35" spans="1:20">
      <c r="A35" t="s">
        <v>2298</v>
      </c>
      <c r="B35" t="s">
        <v>2159</v>
      </c>
      <c r="C35">
        <v>31</v>
      </c>
      <c r="D35" t="s">
        <v>2174</v>
      </c>
      <c r="E35" s="3" t="s">
        <v>2299</v>
      </c>
      <c r="F35" t="s">
        <v>2300</v>
      </c>
      <c r="G35" t="s">
        <v>263</v>
      </c>
      <c r="H35" t="s">
        <v>264</v>
      </c>
      <c r="I35" t="s">
        <v>286</v>
      </c>
      <c r="J35" t="s">
        <v>2301</v>
      </c>
      <c r="L35" t="s">
        <v>2301</v>
      </c>
      <c r="M35" t="s">
        <v>2295</v>
      </c>
      <c r="N35" t="s">
        <v>2302</v>
      </c>
      <c r="O35" t="s">
        <v>2303</v>
      </c>
      <c r="P35" t="s">
        <v>125</v>
      </c>
      <c r="Q35" t="s">
        <v>267</v>
      </c>
      <c r="S35" t="s">
        <v>9</v>
      </c>
      <c r="T35" t="s">
        <v>6</v>
      </c>
    </row>
    <row r="36" spans="1:20">
      <c r="A36" t="s">
        <v>2304</v>
      </c>
      <c r="B36" t="s">
        <v>2159</v>
      </c>
      <c r="C36">
        <v>32</v>
      </c>
      <c r="D36" t="s">
        <v>2174</v>
      </c>
      <c r="E36" s="3" t="s">
        <v>2305</v>
      </c>
      <c r="F36" t="s">
        <v>2306</v>
      </c>
      <c r="G36" t="s">
        <v>263</v>
      </c>
      <c r="H36" t="s">
        <v>264</v>
      </c>
      <c r="I36" t="s">
        <v>288</v>
      </c>
      <c r="J36" t="s">
        <v>2307</v>
      </c>
      <c r="L36" t="s">
        <v>2307</v>
      </c>
      <c r="M36" t="s">
        <v>2295</v>
      </c>
      <c r="N36" t="s">
        <v>2308</v>
      </c>
      <c r="O36" t="s">
        <v>2309</v>
      </c>
      <c r="P36" t="s">
        <v>125</v>
      </c>
      <c r="Q36" t="s">
        <v>267</v>
      </c>
      <c r="S36" t="s">
        <v>9</v>
      </c>
      <c r="T36" t="s">
        <v>9</v>
      </c>
    </row>
    <row r="37" spans="1:20">
      <c r="A37" t="s">
        <v>2310</v>
      </c>
      <c r="B37" t="s">
        <v>2159</v>
      </c>
      <c r="C37">
        <v>33</v>
      </c>
      <c r="D37" t="s">
        <v>2174</v>
      </c>
      <c r="E37" s="3" t="s">
        <v>2311</v>
      </c>
      <c r="F37" t="s">
        <v>2312</v>
      </c>
      <c r="G37" t="s">
        <v>263</v>
      </c>
      <c r="H37" t="s">
        <v>264</v>
      </c>
      <c r="I37" t="s">
        <v>290</v>
      </c>
      <c r="J37" t="s">
        <v>2313</v>
      </c>
      <c r="L37" t="s">
        <v>2313</v>
      </c>
      <c r="M37" t="s">
        <v>2295</v>
      </c>
      <c r="N37" t="s">
        <v>2314</v>
      </c>
      <c r="O37" t="s">
        <v>2309</v>
      </c>
      <c r="P37" t="s">
        <v>125</v>
      </c>
      <c r="Q37" t="s">
        <v>267</v>
      </c>
      <c r="S37" t="s">
        <v>9</v>
      </c>
      <c r="T37" t="s">
        <v>12</v>
      </c>
    </row>
    <row r="38" spans="1:20">
      <c r="A38" t="s">
        <v>2315</v>
      </c>
      <c r="B38" t="s">
        <v>2159</v>
      </c>
      <c r="C38">
        <v>34</v>
      </c>
      <c r="D38" t="s">
        <v>2174</v>
      </c>
      <c r="E38" s="3" t="s">
        <v>2316</v>
      </c>
      <c r="F38" t="s">
        <v>2317</v>
      </c>
      <c r="G38" t="s">
        <v>263</v>
      </c>
      <c r="H38" t="s">
        <v>264</v>
      </c>
      <c r="I38" t="s">
        <v>292</v>
      </c>
      <c r="J38" t="s">
        <v>2318</v>
      </c>
      <c r="L38" t="s">
        <v>2318</v>
      </c>
      <c r="M38" t="s">
        <v>2295</v>
      </c>
      <c r="N38" t="s">
        <v>2319</v>
      </c>
      <c r="O38" t="s">
        <v>2309</v>
      </c>
      <c r="P38" t="s">
        <v>125</v>
      </c>
      <c r="Q38" t="s">
        <v>267</v>
      </c>
      <c r="S38" t="s">
        <v>9</v>
      </c>
      <c r="T38" t="s">
        <v>15</v>
      </c>
    </row>
    <row r="39" spans="1:20">
      <c r="A39" t="s">
        <v>2320</v>
      </c>
      <c r="B39" t="s">
        <v>2159</v>
      </c>
      <c r="C39">
        <v>35</v>
      </c>
      <c r="D39" t="s">
        <v>2174</v>
      </c>
      <c r="E39" s="3" t="s">
        <v>2321</v>
      </c>
      <c r="F39" t="s">
        <v>2322</v>
      </c>
      <c r="G39" t="s">
        <v>232</v>
      </c>
      <c r="H39" t="s">
        <v>2177</v>
      </c>
      <c r="I39" t="s">
        <v>6</v>
      </c>
      <c r="J39" t="s">
        <v>2210</v>
      </c>
      <c r="L39" t="s">
        <v>2210</v>
      </c>
      <c r="P39" t="s">
        <v>706</v>
      </c>
      <c r="Q39" t="s">
        <v>267</v>
      </c>
    </row>
    <row r="40" spans="1:20">
      <c r="A40" t="s">
        <v>2323</v>
      </c>
      <c r="B40" t="s">
        <v>2159</v>
      </c>
      <c r="C40">
        <v>36</v>
      </c>
      <c r="D40" t="s">
        <v>2174</v>
      </c>
      <c r="E40" s="3" t="s">
        <v>2324</v>
      </c>
      <c r="F40" t="s">
        <v>2325</v>
      </c>
      <c r="G40" t="s">
        <v>232</v>
      </c>
      <c r="H40" t="s">
        <v>2182</v>
      </c>
      <c r="I40" t="s">
        <v>6</v>
      </c>
      <c r="J40" t="s">
        <v>2326</v>
      </c>
      <c r="L40" t="s">
        <v>2326</v>
      </c>
      <c r="P40" t="s">
        <v>140</v>
      </c>
      <c r="Q40" t="s">
        <v>267</v>
      </c>
    </row>
    <row r="41" spans="1:20">
      <c r="A41" t="s">
        <v>2327</v>
      </c>
      <c r="B41" t="s">
        <v>2159</v>
      </c>
      <c r="C41">
        <v>37</v>
      </c>
      <c r="D41" t="s">
        <v>2174</v>
      </c>
      <c r="E41" s="3" t="s">
        <v>2328</v>
      </c>
      <c r="F41" t="s">
        <v>2329</v>
      </c>
      <c r="G41" t="s">
        <v>232</v>
      </c>
      <c r="H41" t="s">
        <v>264</v>
      </c>
      <c r="I41" t="s">
        <v>6</v>
      </c>
      <c r="J41" t="s">
        <v>2330</v>
      </c>
      <c r="L41" t="s">
        <v>2330</v>
      </c>
      <c r="P41" t="s">
        <v>125</v>
      </c>
      <c r="Q41" t="s">
        <v>267</v>
      </c>
    </row>
    <row r="42" spans="1:20">
      <c r="A42" t="s">
        <v>2331</v>
      </c>
      <c r="B42" t="s">
        <v>2159</v>
      </c>
      <c r="C42">
        <v>38</v>
      </c>
      <c r="D42" t="s">
        <v>2174</v>
      </c>
      <c r="E42" s="3" t="s">
        <v>2332</v>
      </c>
      <c r="F42" t="s">
        <v>2333</v>
      </c>
      <c r="G42" t="s">
        <v>232</v>
      </c>
      <c r="H42" t="s">
        <v>2191</v>
      </c>
      <c r="I42" t="s">
        <v>6</v>
      </c>
      <c r="J42" t="s">
        <v>233</v>
      </c>
      <c r="L42" t="s">
        <v>233</v>
      </c>
      <c r="P42" t="s">
        <v>107</v>
      </c>
      <c r="Q42" t="s">
        <v>267</v>
      </c>
    </row>
    <row r="43" spans="1:20">
      <c r="A43" t="s">
        <v>2334</v>
      </c>
      <c r="B43" t="s">
        <v>2159</v>
      </c>
      <c r="C43">
        <v>39</v>
      </c>
      <c r="D43" t="s">
        <v>2174</v>
      </c>
      <c r="E43" s="3" t="s">
        <v>2335</v>
      </c>
      <c r="F43" t="s">
        <v>2336</v>
      </c>
      <c r="G43" t="s">
        <v>232</v>
      </c>
      <c r="H43" t="s">
        <v>2195</v>
      </c>
      <c r="I43" t="s">
        <v>6</v>
      </c>
      <c r="J43" t="s">
        <v>2337</v>
      </c>
      <c r="L43" t="s">
        <v>2337</v>
      </c>
      <c r="P43" t="s">
        <v>2197</v>
      </c>
      <c r="Q43" t="s">
        <v>267</v>
      </c>
    </row>
    <row r="44" spans="1:20">
      <c r="A44" t="s">
        <v>2338</v>
      </c>
      <c r="B44" t="s">
        <v>2159</v>
      </c>
      <c r="C44">
        <v>40</v>
      </c>
      <c r="D44" t="s">
        <v>2174</v>
      </c>
      <c r="E44" s="3" t="s">
        <v>2339</v>
      </c>
      <c r="F44" t="s">
        <v>2340</v>
      </c>
      <c r="G44" t="s">
        <v>232</v>
      </c>
      <c r="H44" t="s">
        <v>243</v>
      </c>
      <c r="R44" t="s">
        <v>2007</v>
      </c>
    </row>
    <row r="45" spans="1:20">
      <c r="A45" t="s">
        <v>2341</v>
      </c>
      <c r="B45" t="s">
        <v>2159</v>
      </c>
      <c r="C45">
        <v>41</v>
      </c>
      <c r="D45" t="s">
        <v>2174</v>
      </c>
      <c r="E45" s="3" t="s">
        <v>2342</v>
      </c>
      <c r="F45" t="s">
        <v>2343</v>
      </c>
      <c r="G45" t="s">
        <v>232</v>
      </c>
      <c r="H45" t="s">
        <v>249</v>
      </c>
      <c r="R45" t="s">
        <v>2011</v>
      </c>
    </row>
    <row r="46" spans="1:20">
      <c r="A46" t="s">
        <v>2344</v>
      </c>
      <c r="B46" t="s">
        <v>2159</v>
      </c>
      <c r="C46">
        <v>42</v>
      </c>
      <c r="D46" t="s">
        <v>2174</v>
      </c>
      <c r="E46" s="3" t="s">
        <v>2345</v>
      </c>
      <c r="F46" t="s">
        <v>2346</v>
      </c>
      <c r="G46" t="s">
        <v>232</v>
      </c>
      <c r="H46" t="s">
        <v>249</v>
      </c>
      <c r="R46" t="s">
        <v>2014</v>
      </c>
    </row>
    <row r="47" spans="1:20">
      <c r="A47" t="s">
        <v>2347</v>
      </c>
      <c r="B47" t="s">
        <v>2159</v>
      </c>
      <c r="C47">
        <v>43</v>
      </c>
      <c r="D47" t="s">
        <v>2174</v>
      </c>
      <c r="E47" s="3" t="s">
        <v>2348</v>
      </c>
      <c r="F47" t="s">
        <v>2349</v>
      </c>
      <c r="G47" t="s">
        <v>232</v>
      </c>
      <c r="H47" t="s">
        <v>2177</v>
      </c>
      <c r="I47" t="s">
        <v>9</v>
      </c>
      <c r="J47" t="s">
        <v>2210</v>
      </c>
      <c r="L47" t="s">
        <v>2210</v>
      </c>
      <c r="P47" t="s">
        <v>706</v>
      </c>
      <c r="Q47" t="s">
        <v>267</v>
      </c>
    </row>
    <row r="48" spans="1:20">
      <c r="A48" t="s">
        <v>2350</v>
      </c>
      <c r="B48" t="s">
        <v>2159</v>
      </c>
      <c r="C48">
        <v>44</v>
      </c>
      <c r="D48" t="s">
        <v>2174</v>
      </c>
      <c r="E48" s="3" t="s">
        <v>2351</v>
      </c>
      <c r="F48" t="s">
        <v>2352</v>
      </c>
      <c r="G48" t="s">
        <v>232</v>
      </c>
      <c r="H48" t="s">
        <v>2182</v>
      </c>
      <c r="I48" t="s">
        <v>9</v>
      </c>
      <c r="J48" t="s">
        <v>2183</v>
      </c>
      <c r="L48" t="s">
        <v>2183</v>
      </c>
      <c r="P48" t="s">
        <v>140</v>
      </c>
      <c r="Q48" t="s">
        <v>267</v>
      </c>
    </row>
    <row r="49" spans="1:18">
      <c r="A49" t="s">
        <v>2353</v>
      </c>
      <c r="B49" t="s">
        <v>2159</v>
      </c>
      <c r="C49">
        <v>45</v>
      </c>
      <c r="D49" t="s">
        <v>2174</v>
      </c>
      <c r="E49" s="3" t="s">
        <v>2354</v>
      </c>
      <c r="F49" t="s">
        <v>2355</v>
      </c>
      <c r="G49" t="s">
        <v>232</v>
      </c>
      <c r="H49" t="s">
        <v>264</v>
      </c>
      <c r="I49" t="s">
        <v>9</v>
      </c>
      <c r="J49" t="s">
        <v>2356</v>
      </c>
      <c r="L49" t="s">
        <v>2356</v>
      </c>
      <c r="P49" t="s">
        <v>125</v>
      </c>
      <c r="Q49" t="s">
        <v>267</v>
      </c>
    </row>
    <row r="50" spans="1:18">
      <c r="A50" t="s">
        <v>2357</v>
      </c>
      <c r="B50" t="s">
        <v>2159</v>
      </c>
      <c r="C50">
        <v>46</v>
      </c>
      <c r="D50" t="s">
        <v>2174</v>
      </c>
      <c r="E50" s="3" t="s">
        <v>2358</v>
      </c>
      <c r="F50" t="s">
        <v>2359</v>
      </c>
      <c r="G50" t="s">
        <v>232</v>
      </c>
      <c r="H50" t="s">
        <v>2191</v>
      </c>
      <c r="I50" t="s">
        <v>9</v>
      </c>
      <c r="J50" t="s">
        <v>233</v>
      </c>
      <c r="L50" t="s">
        <v>233</v>
      </c>
      <c r="P50" t="s">
        <v>107</v>
      </c>
      <c r="Q50" t="s">
        <v>267</v>
      </c>
    </row>
    <row r="51" spans="1:18">
      <c r="A51" t="s">
        <v>2360</v>
      </c>
      <c r="B51" t="s">
        <v>2159</v>
      </c>
      <c r="C51">
        <v>47</v>
      </c>
      <c r="D51" t="s">
        <v>2174</v>
      </c>
      <c r="E51" s="3" t="s">
        <v>2361</v>
      </c>
      <c r="F51" t="s">
        <v>2362</v>
      </c>
      <c r="G51" t="s">
        <v>232</v>
      </c>
      <c r="H51" t="s">
        <v>2195</v>
      </c>
      <c r="I51" t="s">
        <v>9</v>
      </c>
      <c r="J51" t="s">
        <v>2363</v>
      </c>
      <c r="L51" t="s">
        <v>2363</v>
      </c>
      <c r="P51" t="s">
        <v>2197</v>
      </c>
      <c r="Q51" t="s">
        <v>267</v>
      </c>
    </row>
    <row r="52" spans="1:18">
      <c r="A52" t="s">
        <v>2364</v>
      </c>
      <c r="B52" t="s">
        <v>2159</v>
      </c>
      <c r="C52">
        <v>48</v>
      </c>
      <c r="D52" t="s">
        <v>2174</v>
      </c>
      <c r="E52" s="3" t="s">
        <v>2365</v>
      </c>
      <c r="F52" t="s">
        <v>2366</v>
      </c>
      <c r="G52" t="s">
        <v>232</v>
      </c>
      <c r="H52" t="s">
        <v>243</v>
      </c>
      <c r="R52" t="s">
        <v>2017</v>
      </c>
    </row>
    <row r="53" spans="1:18">
      <c r="A53" t="s">
        <v>2367</v>
      </c>
      <c r="B53" t="s">
        <v>2159</v>
      </c>
      <c r="C53">
        <v>49</v>
      </c>
      <c r="D53" t="s">
        <v>2174</v>
      </c>
      <c r="E53" s="3" t="s">
        <v>2368</v>
      </c>
      <c r="F53" t="s">
        <v>2369</v>
      </c>
      <c r="G53" t="s">
        <v>232</v>
      </c>
      <c r="H53" t="s">
        <v>249</v>
      </c>
      <c r="R53" t="s">
        <v>2011</v>
      </c>
    </row>
    <row r="54" spans="1:18">
      <c r="A54" t="s">
        <v>2370</v>
      </c>
      <c r="B54" t="s">
        <v>2159</v>
      </c>
      <c r="C54">
        <v>50</v>
      </c>
      <c r="D54" t="s">
        <v>2174</v>
      </c>
      <c r="E54" s="3" t="s">
        <v>2371</v>
      </c>
      <c r="F54" t="s">
        <v>2372</v>
      </c>
      <c r="G54" t="s">
        <v>232</v>
      </c>
      <c r="H54" t="s">
        <v>249</v>
      </c>
      <c r="R54" t="s">
        <v>2014</v>
      </c>
    </row>
    <row r="55" spans="1:18">
      <c r="A55" t="s">
        <v>2373</v>
      </c>
      <c r="B55" t="s">
        <v>2159</v>
      </c>
      <c r="C55">
        <v>51</v>
      </c>
      <c r="D55" t="s">
        <v>2174</v>
      </c>
      <c r="E55" s="3" t="s">
        <v>2374</v>
      </c>
      <c r="F55" t="s">
        <v>2375</v>
      </c>
      <c r="G55" t="s">
        <v>232</v>
      </c>
      <c r="H55" t="s">
        <v>2177</v>
      </c>
      <c r="I55" t="s">
        <v>12</v>
      </c>
      <c r="J55" t="s">
        <v>2376</v>
      </c>
      <c r="L55" t="s">
        <v>2376</v>
      </c>
      <c r="P55" t="s">
        <v>706</v>
      </c>
      <c r="Q55" t="s">
        <v>267</v>
      </c>
    </row>
    <row r="56" spans="1:18">
      <c r="A56" t="s">
        <v>2377</v>
      </c>
      <c r="B56" t="s">
        <v>2159</v>
      </c>
      <c r="C56">
        <v>52</v>
      </c>
      <c r="D56" t="s">
        <v>2174</v>
      </c>
      <c r="E56" s="3" t="s">
        <v>2378</v>
      </c>
      <c r="F56" t="s">
        <v>2379</v>
      </c>
      <c r="G56" t="s">
        <v>232</v>
      </c>
      <c r="H56" t="s">
        <v>2182</v>
      </c>
      <c r="I56" t="s">
        <v>12</v>
      </c>
      <c r="J56" t="s">
        <v>2380</v>
      </c>
      <c r="L56" t="s">
        <v>2380</v>
      </c>
      <c r="P56" t="s">
        <v>140</v>
      </c>
      <c r="Q56" t="s">
        <v>267</v>
      </c>
    </row>
    <row r="57" spans="1:18">
      <c r="A57" t="s">
        <v>2381</v>
      </c>
      <c r="B57" t="s">
        <v>2159</v>
      </c>
      <c r="C57">
        <v>53</v>
      </c>
      <c r="D57" t="s">
        <v>2174</v>
      </c>
      <c r="E57" s="3" t="s">
        <v>2382</v>
      </c>
      <c r="F57" t="s">
        <v>2383</v>
      </c>
      <c r="G57" t="s">
        <v>232</v>
      </c>
      <c r="H57" t="s">
        <v>264</v>
      </c>
      <c r="I57" t="s">
        <v>12</v>
      </c>
      <c r="J57" t="s">
        <v>2384</v>
      </c>
      <c r="L57" t="s">
        <v>2384</v>
      </c>
      <c r="P57" t="s">
        <v>125</v>
      </c>
      <c r="Q57" t="s">
        <v>267</v>
      </c>
    </row>
    <row r="58" spans="1:18">
      <c r="A58" t="s">
        <v>2385</v>
      </c>
      <c r="B58" t="s">
        <v>2159</v>
      </c>
      <c r="C58">
        <v>54</v>
      </c>
      <c r="D58" t="s">
        <v>2174</v>
      </c>
      <c r="E58" s="3" t="s">
        <v>2386</v>
      </c>
      <c r="F58" t="s">
        <v>2387</v>
      </c>
      <c r="G58" t="s">
        <v>232</v>
      </c>
      <c r="H58" t="s">
        <v>2191</v>
      </c>
      <c r="I58" t="s">
        <v>12</v>
      </c>
      <c r="J58" t="s">
        <v>233</v>
      </c>
      <c r="L58" t="s">
        <v>233</v>
      </c>
      <c r="P58" t="s">
        <v>107</v>
      </c>
      <c r="Q58" t="s">
        <v>267</v>
      </c>
    </row>
    <row r="59" spans="1:18">
      <c r="A59" t="s">
        <v>2388</v>
      </c>
      <c r="B59" t="s">
        <v>2159</v>
      </c>
      <c r="C59">
        <v>55</v>
      </c>
      <c r="D59" t="s">
        <v>2174</v>
      </c>
      <c r="E59" s="3" t="s">
        <v>2389</v>
      </c>
      <c r="F59" t="s">
        <v>2390</v>
      </c>
      <c r="G59" t="s">
        <v>232</v>
      </c>
      <c r="H59" t="s">
        <v>2195</v>
      </c>
      <c r="I59" t="s">
        <v>12</v>
      </c>
      <c r="J59" t="s">
        <v>2391</v>
      </c>
      <c r="L59" t="s">
        <v>2391</v>
      </c>
      <c r="P59" t="s">
        <v>2197</v>
      </c>
      <c r="Q59" t="s">
        <v>267</v>
      </c>
    </row>
    <row r="60" spans="1:18">
      <c r="A60" t="s">
        <v>2392</v>
      </c>
      <c r="B60" t="s">
        <v>2159</v>
      </c>
      <c r="C60">
        <v>56</v>
      </c>
      <c r="D60" t="s">
        <v>2174</v>
      </c>
      <c r="E60" s="3" t="s">
        <v>2393</v>
      </c>
      <c r="F60" t="s">
        <v>2394</v>
      </c>
      <c r="G60" t="s">
        <v>232</v>
      </c>
      <c r="H60" t="s">
        <v>243</v>
      </c>
      <c r="R60" t="s">
        <v>2007</v>
      </c>
    </row>
    <row r="61" spans="1:18">
      <c r="A61" t="s">
        <v>2395</v>
      </c>
      <c r="B61" t="s">
        <v>2159</v>
      </c>
      <c r="C61">
        <v>57</v>
      </c>
      <c r="D61" t="s">
        <v>2174</v>
      </c>
      <c r="E61" s="3" t="s">
        <v>2396</v>
      </c>
      <c r="F61" t="s">
        <v>2397</v>
      </c>
      <c r="G61" t="s">
        <v>232</v>
      </c>
      <c r="H61" t="s">
        <v>304</v>
      </c>
      <c r="R61" t="s">
        <v>2033</v>
      </c>
    </row>
    <row r="62" spans="1:18">
      <c r="A62" t="s">
        <v>2398</v>
      </c>
      <c r="B62" t="s">
        <v>2159</v>
      </c>
      <c r="C62">
        <v>58</v>
      </c>
      <c r="D62" t="s">
        <v>2174</v>
      </c>
      <c r="E62" s="3" t="s">
        <v>2399</v>
      </c>
      <c r="F62" t="s">
        <v>2400</v>
      </c>
      <c r="G62" t="s">
        <v>232</v>
      </c>
      <c r="H62" t="s">
        <v>249</v>
      </c>
      <c r="R62" t="s">
        <v>2011</v>
      </c>
    </row>
    <row r="63" spans="1:18">
      <c r="A63" t="s">
        <v>2401</v>
      </c>
      <c r="B63" t="s">
        <v>2159</v>
      </c>
      <c r="C63">
        <v>59</v>
      </c>
      <c r="D63" t="s">
        <v>2174</v>
      </c>
      <c r="E63" s="3" t="s">
        <v>2402</v>
      </c>
      <c r="F63" t="s">
        <v>2403</v>
      </c>
      <c r="G63" t="s">
        <v>232</v>
      </c>
      <c r="H63" t="s">
        <v>249</v>
      </c>
      <c r="R63" t="s">
        <v>2014</v>
      </c>
    </row>
    <row r="64" spans="1:18">
      <c r="A64" t="s">
        <v>2404</v>
      </c>
      <c r="B64" t="s">
        <v>2159</v>
      </c>
      <c r="C64">
        <v>60</v>
      </c>
      <c r="D64" t="s">
        <v>2174</v>
      </c>
      <c r="E64" s="3" t="s">
        <v>2405</v>
      </c>
      <c r="F64" t="s">
        <v>2406</v>
      </c>
      <c r="G64" t="s">
        <v>232</v>
      </c>
      <c r="H64" t="s">
        <v>249</v>
      </c>
      <c r="R64" t="s">
        <v>2039</v>
      </c>
    </row>
    <row r="65" spans="1:18">
      <c r="A65" t="s">
        <v>2407</v>
      </c>
      <c r="B65" t="s">
        <v>2159</v>
      </c>
      <c r="C65">
        <v>61</v>
      </c>
      <c r="D65" t="s">
        <v>2174</v>
      </c>
      <c r="E65" s="3" t="s">
        <v>2408</v>
      </c>
      <c r="F65" t="s">
        <v>2409</v>
      </c>
      <c r="G65" t="s">
        <v>232</v>
      </c>
      <c r="H65" t="s">
        <v>249</v>
      </c>
      <c r="R65" t="s">
        <v>2041</v>
      </c>
    </row>
    <row r="66" spans="1:18">
      <c r="A66" t="s">
        <v>2410</v>
      </c>
      <c r="B66" t="s">
        <v>2159</v>
      </c>
      <c r="C66">
        <v>62</v>
      </c>
      <c r="D66" t="s">
        <v>2174</v>
      </c>
      <c r="E66" s="3" t="s">
        <v>2411</v>
      </c>
      <c r="F66" t="s">
        <v>2412</v>
      </c>
      <c r="G66" t="s">
        <v>232</v>
      </c>
      <c r="H66" t="s">
        <v>249</v>
      </c>
      <c r="R66" t="s">
        <v>2043</v>
      </c>
    </row>
    <row r="67" spans="1:18">
      <c r="A67" t="s">
        <v>2413</v>
      </c>
      <c r="B67" t="s">
        <v>2159</v>
      </c>
      <c r="C67">
        <v>63</v>
      </c>
      <c r="D67" t="s">
        <v>2174</v>
      </c>
      <c r="E67" s="3" t="s">
        <v>2414</v>
      </c>
      <c r="F67" t="s">
        <v>2415</v>
      </c>
      <c r="G67" t="s">
        <v>232</v>
      </c>
      <c r="H67" t="s">
        <v>2177</v>
      </c>
      <c r="I67" t="s">
        <v>15</v>
      </c>
      <c r="J67" t="s">
        <v>2416</v>
      </c>
      <c r="L67" t="s">
        <v>2416</v>
      </c>
      <c r="P67" t="s">
        <v>706</v>
      </c>
      <c r="Q67" t="s">
        <v>267</v>
      </c>
    </row>
    <row r="68" spans="1:18">
      <c r="A68" t="s">
        <v>2417</v>
      </c>
      <c r="B68" t="s">
        <v>2159</v>
      </c>
      <c r="C68">
        <v>64</v>
      </c>
      <c r="D68" t="s">
        <v>2174</v>
      </c>
      <c r="E68" s="3" t="s">
        <v>2418</v>
      </c>
      <c r="F68" t="s">
        <v>2419</v>
      </c>
      <c r="G68" t="s">
        <v>232</v>
      </c>
      <c r="H68" t="s">
        <v>2182</v>
      </c>
      <c r="I68" t="s">
        <v>15</v>
      </c>
      <c r="J68" t="s">
        <v>2420</v>
      </c>
      <c r="L68" t="s">
        <v>2420</v>
      </c>
      <c r="P68" t="s">
        <v>140</v>
      </c>
      <c r="Q68" t="s">
        <v>267</v>
      </c>
    </row>
    <row r="69" spans="1:18">
      <c r="A69" t="s">
        <v>2421</v>
      </c>
      <c r="B69" t="s">
        <v>2159</v>
      </c>
      <c r="C69">
        <v>65</v>
      </c>
      <c r="D69" t="s">
        <v>2174</v>
      </c>
      <c r="E69" s="3" t="s">
        <v>2422</v>
      </c>
      <c r="F69" t="s">
        <v>2423</v>
      </c>
      <c r="G69" t="s">
        <v>232</v>
      </c>
      <c r="H69" t="s">
        <v>264</v>
      </c>
      <c r="I69" t="s">
        <v>15</v>
      </c>
      <c r="J69" t="s">
        <v>2424</v>
      </c>
      <c r="L69" t="s">
        <v>2424</v>
      </c>
      <c r="P69" t="s">
        <v>125</v>
      </c>
      <c r="Q69" t="s">
        <v>267</v>
      </c>
    </row>
    <row r="70" spans="1:18">
      <c r="A70" t="s">
        <v>2425</v>
      </c>
      <c r="B70" t="s">
        <v>2159</v>
      </c>
      <c r="C70">
        <v>66</v>
      </c>
      <c r="D70" t="s">
        <v>2174</v>
      </c>
      <c r="E70" s="3" t="s">
        <v>2426</v>
      </c>
      <c r="F70" t="s">
        <v>2427</v>
      </c>
      <c r="G70" t="s">
        <v>232</v>
      </c>
      <c r="H70" t="s">
        <v>2191</v>
      </c>
      <c r="I70" t="s">
        <v>15</v>
      </c>
      <c r="J70" t="s">
        <v>233</v>
      </c>
      <c r="L70" t="s">
        <v>233</v>
      </c>
      <c r="P70" t="s">
        <v>107</v>
      </c>
      <c r="Q70" t="s">
        <v>267</v>
      </c>
    </row>
    <row r="71" spans="1:18">
      <c r="A71" t="s">
        <v>2428</v>
      </c>
      <c r="B71" t="s">
        <v>2159</v>
      </c>
      <c r="C71">
        <v>67</v>
      </c>
      <c r="D71" t="s">
        <v>2174</v>
      </c>
      <c r="E71" s="3" t="s">
        <v>2429</v>
      </c>
      <c r="F71" t="s">
        <v>2430</v>
      </c>
      <c r="G71" t="s">
        <v>232</v>
      </c>
      <c r="H71" t="s">
        <v>2195</v>
      </c>
      <c r="I71" t="s">
        <v>15</v>
      </c>
      <c r="J71" t="s">
        <v>2431</v>
      </c>
      <c r="L71" t="s">
        <v>2431</v>
      </c>
      <c r="P71" t="s">
        <v>2197</v>
      </c>
      <c r="Q71" t="s">
        <v>267</v>
      </c>
    </row>
    <row r="72" spans="1:18">
      <c r="A72" t="s">
        <v>2432</v>
      </c>
      <c r="B72" t="s">
        <v>2159</v>
      </c>
      <c r="C72">
        <v>68</v>
      </c>
      <c r="D72" t="s">
        <v>2174</v>
      </c>
      <c r="E72" s="3" t="s">
        <v>2433</v>
      </c>
      <c r="F72" t="s">
        <v>2434</v>
      </c>
      <c r="G72" t="s">
        <v>232</v>
      </c>
      <c r="H72" t="s">
        <v>304</v>
      </c>
      <c r="R72" t="s">
        <v>2045</v>
      </c>
    </row>
    <row r="73" spans="1:18">
      <c r="A73" t="s">
        <v>2435</v>
      </c>
      <c r="B73" t="s">
        <v>2159</v>
      </c>
      <c r="C73">
        <v>69</v>
      </c>
      <c r="D73" t="s">
        <v>2174</v>
      </c>
      <c r="E73" s="3" t="s">
        <v>2436</v>
      </c>
      <c r="F73" t="s">
        <v>2437</v>
      </c>
      <c r="G73" t="s">
        <v>232</v>
      </c>
      <c r="H73" t="s">
        <v>249</v>
      </c>
      <c r="R73" t="s">
        <v>2011</v>
      </c>
    </row>
    <row r="74" spans="1:18">
      <c r="A74" t="s">
        <v>2438</v>
      </c>
      <c r="B74" t="s">
        <v>2159</v>
      </c>
      <c r="C74">
        <v>70</v>
      </c>
      <c r="D74" t="s">
        <v>2174</v>
      </c>
      <c r="E74" s="3" t="s">
        <v>2439</v>
      </c>
      <c r="F74" t="s">
        <v>2440</v>
      </c>
      <c r="G74" t="s">
        <v>232</v>
      </c>
      <c r="H74" t="s">
        <v>249</v>
      </c>
      <c r="R74" t="s">
        <v>2014</v>
      </c>
    </row>
    <row r="75" spans="1:18">
      <c r="A75" t="s">
        <v>2441</v>
      </c>
      <c r="B75" t="s">
        <v>2159</v>
      </c>
      <c r="C75">
        <v>71</v>
      </c>
      <c r="D75" t="s">
        <v>2174</v>
      </c>
      <c r="E75" s="3" t="s">
        <v>2442</v>
      </c>
      <c r="F75" t="s">
        <v>2443</v>
      </c>
      <c r="G75" t="s">
        <v>232</v>
      </c>
      <c r="H75" t="s">
        <v>2177</v>
      </c>
      <c r="I75" t="s">
        <v>18</v>
      </c>
      <c r="J75" t="s">
        <v>2444</v>
      </c>
      <c r="L75" t="s">
        <v>2444</v>
      </c>
      <c r="P75" t="s">
        <v>706</v>
      </c>
      <c r="Q75" t="s">
        <v>267</v>
      </c>
    </row>
    <row r="76" spans="1:18">
      <c r="A76" t="s">
        <v>2445</v>
      </c>
      <c r="B76" t="s">
        <v>2159</v>
      </c>
      <c r="C76">
        <v>72</v>
      </c>
      <c r="D76" t="s">
        <v>2174</v>
      </c>
      <c r="E76" s="3" t="s">
        <v>2446</v>
      </c>
      <c r="F76" t="s">
        <v>2447</v>
      </c>
      <c r="G76" t="s">
        <v>232</v>
      </c>
      <c r="H76" t="s">
        <v>2182</v>
      </c>
      <c r="I76" t="s">
        <v>18</v>
      </c>
      <c r="J76" t="s">
        <v>2214</v>
      </c>
      <c r="L76" t="s">
        <v>2214</v>
      </c>
      <c r="P76" t="s">
        <v>140</v>
      </c>
      <c r="Q76" t="s">
        <v>267</v>
      </c>
    </row>
    <row r="77" spans="1:18">
      <c r="A77" t="s">
        <v>2448</v>
      </c>
      <c r="B77" t="s">
        <v>2159</v>
      </c>
      <c r="C77">
        <v>73</v>
      </c>
      <c r="D77" t="s">
        <v>2174</v>
      </c>
      <c r="E77" s="3" t="s">
        <v>2449</v>
      </c>
      <c r="F77" t="s">
        <v>2450</v>
      </c>
      <c r="G77" t="s">
        <v>232</v>
      </c>
      <c r="H77" t="s">
        <v>264</v>
      </c>
      <c r="I77" t="s">
        <v>18</v>
      </c>
      <c r="J77" t="s">
        <v>2451</v>
      </c>
      <c r="L77" t="s">
        <v>2451</v>
      </c>
      <c r="P77" t="s">
        <v>125</v>
      </c>
      <c r="Q77" t="s">
        <v>267</v>
      </c>
    </row>
    <row r="78" spans="1:18">
      <c r="A78" t="s">
        <v>2452</v>
      </c>
      <c r="B78" t="s">
        <v>2159</v>
      </c>
      <c r="C78">
        <v>74</v>
      </c>
      <c r="D78" t="s">
        <v>2174</v>
      </c>
      <c r="E78" s="3" t="s">
        <v>2453</v>
      </c>
      <c r="F78" t="s">
        <v>2454</v>
      </c>
      <c r="G78" t="s">
        <v>232</v>
      </c>
      <c r="H78" t="s">
        <v>2191</v>
      </c>
      <c r="I78" t="s">
        <v>18</v>
      </c>
      <c r="J78" t="s">
        <v>2455</v>
      </c>
      <c r="L78" t="s">
        <v>2455</v>
      </c>
      <c r="P78" t="s">
        <v>107</v>
      </c>
      <c r="Q78" t="s">
        <v>267</v>
      </c>
    </row>
    <row r="79" spans="1:18">
      <c r="A79" t="s">
        <v>2456</v>
      </c>
      <c r="B79" t="s">
        <v>2159</v>
      </c>
      <c r="C79">
        <v>75</v>
      </c>
      <c r="D79" t="s">
        <v>2174</v>
      </c>
      <c r="E79" s="3" t="s">
        <v>2457</v>
      </c>
      <c r="F79" t="s">
        <v>2458</v>
      </c>
      <c r="G79" t="s">
        <v>232</v>
      </c>
      <c r="H79" t="s">
        <v>2195</v>
      </c>
      <c r="I79" t="s">
        <v>18</v>
      </c>
      <c r="J79" t="s">
        <v>2459</v>
      </c>
      <c r="L79" t="s">
        <v>2459</v>
      </c>
      <c r="P79" t="s">
        <v>2197</v>
      </c>
      <c r="Q79" t="s">
        <v>267</v>
      </c>
    </row>
    <row r="80" spans="1:18">
      <c r="A80" t="s">
        <v>2460</v>
      </c>
      <c r="B80" t="s">
        <v>2159</v>
      </c>
      <c r="C80">
        <v>76</v>
      </c>
      <c r="D80" t="s">
        <v>2174</v>
      </c>
      <c r="E80" s="3" t="s">
        <v>2461</v>
      </c>
      <c r="F80" t="s">
        <v>2462</v>
      </c>
      <c r="G80" t="s">
        <v>232</v>
      </c>
      <c r="H80" t="s">
        <v>243</v>
      </c>
      <c r="R80" t="s">
        <v>2017</v>
      </c>
    </row>
    <row r="81" spans="1:18">
      <c r="A81" t="s">
        <v>2463</v>
      </c>
      <c r="B81" t="s">
        <v>2159</v>
      </c>
      <c r="C81">
        <v>77</v>
      </c>
      <c r="D81" t="s">
        <v>2174</v>
      </c>
      <c r="E81" s="3" t="s">
        <v>2464</v>
      </c>
      <c r="F81" t="s">
        <v>2465</v>
      </c>
      <c r="G81" t="s">
        <v>232</v>
      </c>
      <c r="H81" t="s">
        <v>249</v>
      </c>
      <c r="R81" t="s">
        <v>2011</v>
      </c>
    </row>
    <row r="82" spans="1:18">
      <c r="A82" t="s">
        <v>2466</v>
      </c>
      <c r="B82" t="s">
        <v>2159</v>
      </c>
      <c r="C82">
        <v>78</v>
      </c>
      <c r="D82" t="s">
        <v>2174</v>
      </c>
      <c r="E82" s="3" t="s">
        <v>2467</v>
      </c>
      <c r="F82" t="s">
        <v>2468</v>
      </c>
      <c r="G82" t="s">
        <v>232</v>
      </c>
      <c r="H82" t="s">
        <v>249</v>
      </c>
      <c r="R82" t="s">
        <v>2014</v>
      </c>
    </row>
    <row r="83" spans="1:18">
      <c r="A83" t="s">
        <v>2469</v>
      </c>
      <c r="B83" t="s">
        <v>2159</v>
      </c>
      <c r="C83">
        <v>79</v>
      </c>
      <c r="D83" t="s">
        <v>2174</v>
      </c>
      <c r="E83" s="3" t="s">
        <v>2470</v>
      </c>
      <c r="F83" t="s">
        <v>2471</v>
      </c>
      <c r="G83" t="s">
        <v>232</v>
      </c>
      <c r="H83" t="s">
        <v>2177</v>
      </c>
      <c r="I83" t="s">
        <v>278</v>
      </c>
      <c r="J83" t="s">
        <v>2472</v>
      </c>
      <c r="L83" t="s">
        <v>2472</v>
      </c>
      <c r="P83" t="s">
        <v>706</v>
      </c>
      <c r="Q83" t="s">
        <v>267</v>
      </c>
    </row>
    <row r="84" spans="1:18">
      <c r="A84" t="s">
        <v>2473</v>
      </c>
      <c r="B84" t="s">
        <v>2159</v>
      </c>
      <c r="C84">
        <v>80</v>
      </c>
      <c r="D84" t="s">
        <v>2174</v>
      </c>
      <c r="E84" s="3" t="s">
        <v>2474</v>
      </c>
      <c r="F84" t="s">
        <v>2475</v>
      </c>
      <c r="G84" t="s">
        <v>232</v>
      </c>
      <c r="H84" t="s">
        <v>2182</v>
      </c>
      <c r="I84" t="s">
        <v>278</v>
      </c>
      <c r="J84" t="s">
        <v>2476</v>
      </c>
      <c r="L84" t="s">
        <v>2476</v>
      </c>
      <c r="P84" t="s">
        <v>140</v>
      </c>
      <c r="Q84" t="s">
        <v>267</v>
      </c>
    </row>
    <row r="85" spans="1:18">
      <c r="A85" t="s">
        <v>2477</v>
      </c>
      <c r="B85" t="s">
        <v>2159</v>
      </c>
      <c r="C85">
        <v>81</v>
      </c>
      <c r="D85" t="s">
        <v>2174</v>
      </c>
      <c r="E85" s="3" t="s">
        <v>2478</v>
      </c>
      <c r="F85" t="s">
        <v>2479</v>
      </c>
      <c r="G85" t="s">
        <v>232</v>
      </c>
      <c r="H85" t="s">
        <v>264</v>
      </c>
      <c r="I85" t="s">
        <v>278</v>
      </c>
      <c r="J85" t="s">
        <v>2480</v>
      </c>
      <c r="L85" t="s">
        <v>2480</v>
      </c>
      <c r="P85" t="s">
        <v>125</v>
      </c>
      <c r="Q85" t="s">
        <v>267</v>
      </c>
    </row>
    <row r="86" spans="1:18">
      <c r="A86" t="s">
        <v>2481</v>
      </c>
      <c r="B86" t="s">
        <v>2159</v>
      </c>
      <c r="C86">
        <v>82</v>
      </c>
      <c r="D86" t="s">
        <v>2174</v>
      </c>
      <c r="E86" s="3" t="s">
        <v>2482</v>
      </c>
      <c r="F86" t="s">
        <v>2483</v>
      </c>
      <c r="G86" t="s">
        <v>232</v>
      </c>
      <c r="H86" t="s">
        <v>2191</v>
      </c>
      <c r="I86" t="s">
        <v>278</v>
      </c>
      <c r="J86" t="s">
        <v>2484</v>
      </c>
      <c r="L86" t="s">
        <v>2484</v>
      </c>
      <c r="P86" t="s">
        <v>107</v>
      </c>
      <c r="Q86" t="s">
        <v>267</v>
      </c>
    </row>
    <row r="87" spans="1:18">
      <c r="A87" t="s">
        <v>2485</v>
      </c>
      <c r="B87" t="s">
        <v>2159</v>
      </c>
      <c r="C87">
        <v>83</v>
      </c>
      <c r="D87" t="s">
        <v>2174</v>
      </c>
      <c r="E87" s="3" t="s">
        <v>2486</v>
      </c>
      <c r="F87" t="s">
        <v>2487</v>
      </c>
      <c r="G87" t="s">
        <v>232</v>
      </c>
      <c r="H87" t="s">
        <v>2195</v>
      </c>
      <c r="I87" t="s">
        <v>278</v>
      </c>
      <c r="J87" t="s">
        <v>2488</v>
      </c>
      <c r="L87" t="s">
        <v>2488</v>
      </c>
      <c r="P87" t="s">
        <v>2197</v>
      </c>
      <c r="Q87" t="s">
        <v>267</v>
      </c>
    </row>
    <row r="88" spans="1:18">
      <c r="A88" t="s">
        <v>2489</v>
      </c>
      <c r="B88" t="s">
        <v>2159</v>
      </c>
      <c r="C88">
        <v>84</v>
      </c>
      <c r="D88" t="s">
        <v>2174</v>
      </c>
      <c r="E88" s="3" t="s">
        <v>2490</v>
      </c>
      <c r="F88" t="s">
        <v>2491</v>
      </c>
      <c r="G88" t="s">
        <v>232</v>
      </c>
      <c r="H88" t="s">
        <v>243</v>
      </c>
      <c r="R88" t="s">
        <v>2007</v>
      </c>
    </row>
    <row r="89" spans="1:18">
      <c r="A89" t="s">
        <v>2492</v>
      </c>
      <c r="B89" t="s">
        <v>2159</v>
      </c>
      <c r="C89">
        <v>85</v>
      </c>
      <c r="D89" t="s">
        <v>2174</v>
      </c>
      <c r="E89" s="3" t="s">
        <v>2493</v>
      </c>
      <c r="F89" t="s">
        <v>2494</v>
      </c>
      <c r="G89" t="s">
        <v>232</v>
      </c>
      <c r="H89" t="s">
        <v>249</v>
      </c>
      <c r="R89" t="s">
        <v>2011</v>
      </c>
    </row>
    <row r="90" spans="1:18">
      <c r="A90" t="s">
        <v>2495</v>
      </c>
      <c r="B90" t="s">
        <v>2159</v>
      </c>
      <c r="C90">
        <v>86</v>
      </c>
      <c r="D90" t="s">
        <v>2174</v>
      </c>
      <c r="E90" s="3" t="s">
        <v>2496</v>
      </c>
      <c r="F90" t="s">
        <v>2497</v>
      </c>
      <c r="G90" t="s">
        <v>232</v>
      </c>
      <c r="H90" t="s">
        <v>249</v>
      </c>
      <c r="R90" t="s">
        <v>2014</v>
      </c>
    </row>
    <row r="91" spans="1:18">
      <c r="A91" t="s">
        <v>2498</v>
      </c>
      <c r="B91" t="s">
        <v>2159</v>
      </c>
      <c r="C91">
        <v>87</v>
      </c>
      <c r="D91" t="s">
        <v>2174</v>
      </c>
      <c r="E91" s="3" t="s">
        <v>2499</v>
      </c>
      <c r="F91" t="s">
        <v>2500</v>
      </c>
      <c r="G91" t="s">
        <v>232</v>
      </c>
      <c r="H91" t="s">
        <v>2177</v>
      </c>
      <c r="I91" t="s">
        <v>280</v>
      </c>
      <c r="P91" t="s">
        <v>706</v>
      </c>
      <c r="Q91" t="s">
        <v>2142</v>
      </c>
    </row>
    <row r="92" spans="1:18">
      <c r="A92" t="s">
        <v>2501</v>
      </c>
      <c r="B92" t="s">
        <v>2159</v>
      </c>
      <c r="C92">
        <v>88</v>
      </c>
      <c r="D92" t="s">
        <v>2174</v>
      </c>
      <c r="E92" s="3" t="s">
        <v>2502</v>
      </c>
      <c r="F92" t="s">
        <v>2500</v>
      </c>
      <c r="G92" t="s">
        <v>232</v>
      </c>
      <c r="H92" t="s">
        <v>2182</v>
      </c>
      <c r="I92" t="s">
        <v>280</v>
      </c>
      <c r="P92" t="s">
        <v>140</v>
      </c>
      <c r="Q92" t="s">
        <v>2142</v>
      </c>
    </row>
    <row r="93" spans="1:18">
      <c r="A93" t="s">
        <v>2503</v>
      </c>
      <c r="B93" t="s">
        <v>2159</v>
      </c>
      <c r="C93">
        <v>89</v>
      </c>
      <c r="D93" t="s">
        <v>2174</v>
      </c>
      <c r="E93" s="3" t="s">
        <v>2504</v>
      </c>
      <c r="F93" t="s">
        <v>2505</v>
      </c>
      <c r="G93" t="s">
        <v>232</v>
      </c>
      <c r="H93" t="s">
        <v>264</v>
      </c>
      <c r="I93" t="s">
        <v>280</v>
      </c>
      <c r="J93" t="s">
        <v>2506</v>
      </c>
      <c r="L93" t="s">
        <v>2506</v>
      </c>
      <c r="P93" t="s">
        <v>125</v>
      </c>
      <c r="Q93" t="s">
        <v>267</v>
      </c>
    </row>
    <row r="94" spans="1:18">
      <c r="A94" t="s">
        <v>2507</v>
      </c>
      <c r="B94" t="s">
        <v>2159</v>
      </c>
      <c r="C94">
        <v>90</v>
      </c>
      <c r="D94" t="s">
        <v>2174</v>
      </c>
      <c r="E94" s="3" t="s">
        <v>2508</v>
      </c>
      <c r="F94" t="s">
        <v>2509</v>
      </c>
      <c r="G94" t="s">
        <v>232</v>
      </c>
      <c r="H94" t="s">
        <v>2191</v>
      </c>
      <c r="I94" t="s">
        <v>280</v>
      </c>
      <c r="J94" t="s">
        <v>2510</v>
      </c>
      <c r="L94" t="s">
        <v>2510</v>
      </c>
      <c r="P94" t="s">
        <v>107</v>
      </c>
      <c r="Q94" t="s">
        <v>267</v>
      </c>
    </row>
    <row r="95" spans="1:18">
      <c r="A95" t="s">
        <v>2511</v>
      </c>
      <c r="B95" t="s">
        <v>2159</v>
      </c>
      <c r="C95">
        <v>91</v>
      </c>
      <c r="D95" t="s">
        <v>2174</v>
      </c>
      <c r="E95" s="3" t="s">
        <v>2512</v>
      </c>
      <c r="F95" t="s">
        <v>2513</v>
      </c>
      <c r="G95" t="s">
        <v>232</v>
      </c>
      <c r="H95" t="s">
        <v>2195</v>
      </c>
      <c r="I95" t="s">
        <v>280</v>
      </c>
      <c r="J95" t="s">
        <v>2514</v>
      </c>
      <c r="L95" t="s">
        <v>2514</v>
      </c>
      <c r="P95" t="s">
        <v>2197</v>
      </c>
      <c r="Q95" t="s">
        <v>267</v>
      </c>
    </row>
    <row r="96" spans="1:18">
      <c r="A96" t="s">
        <v>2515</v>
      </c>
      <c r="B96" t="s">
        <v>2159</v>
      </c>
      <c r="C96">
        <v>92</v>
      </c>
      <c r="D96" t="s">
        <v>2174</v>
      </c>
      <c r="E96" s="3" t="s">
        <v>2516</v>
      </c>
      <c r="F96" t="s">
        <v>2517</v>
      </c>
      <c r="G96" t="s">
        <v>232</v>
      </c>
      <c r="H96" t="s">
        <v>249</v>
      </c>
      <c r="R96" t="s">
        <v>2011</v>
      </c>
    </row>
    <row r="97" spans="1:22">
      <c r="A97" t="s">
        <v>2518</v>
      </c>
      <c r="B97" t="s">
        <v>2159</v>
      </c>
      <c r="C97">
        <v>93</v>
      </c>
      <c r="D97" t="s">
        <v>2174</v>
      </c>
      <c r="E97" s="3" t="s">
        <v>2519</v>
      </c>
      <c r="F97" t="s">
        <v>2520</v>
      </c>
      <c r="G97" t="s">
        <v>232</v>
      </c>
      <c r="H97" t="s">
        <v>249</v>
      </c>
      <c r="R97" t="s">
        <v>2014</v>
      </c>
    </row>
    <row r="98" spans="1:22">
      <c r="A98" t="s">
        <v>2521</v>
      </c>
      <c r="B98" t="s">
        <v>2159</v>
      </c>
      <c r="C98">
        <v>94</v>
      </c>
      <c r="D98" t="s">
        <v>2174</v>
      </c>
      <c r="E98" s="3" t="s">
        <v>2522</v>
      </c>
      <c r="F98" t="s">
        <v>2523</v>
      </c>
      <c r="G98" t="s">
        <v>232</v>
      </c>
      <c r="H98" t="s">
        <v>2177</v>
      </c>
      <c r="I98" t="s">
        <v>282</v>
      </c>
      <c r="P98" t="s">
        <v>706</v>
      </c>
      <c r="Q98" t="s">
        <v>2142</v>
      </c>
    </row>
    <row r="99" spans="1:22">
      <c r="A99" t="s">
        <v>2524</v>
      </c>
      <c r="B99" t="s">
        <v>2159</v>
      </c>
      <c r="C99">
        <v>95</v>
      </c>
      <c r="D99" t="s">
        <v>2174</v>
      </c>
      <c r="E99" s="3" t="s">
        <v>2525</v>
      </c>
      <c r="F99" t="s">
        <v>2526</v>
      </c>
      <c r="G99" t="s">
        <v>232</v>
      </c>
      <c r="H99" t="s">
        <v>2182</v>
      </c>
      <c r="I99" t="s">
        <v>282</v>
      </c>
      <c r="P99" t="s">
        <v>140</v>
      </c>
      <c r="Q99" t="s">
        <v>2142</v>
      </c>
    </row>
    <row r="100" spans="1:22">
      <c r="A100" t="s">
        <v>2527</v>
      </c>
      <c r="B100" t="s">
        <v>2159</v>
      </c>
      <c r="C100">
        <v>96</v>
      </c>
      <c r="D100" t="s">
        <v>2174</v>
      </c>
      <c r="E100" s="3" t="s">
        <v>2528</v>
      </c>
      <c r="F100" t="s">
        <v>2529</v>
      </c>
      <c r="G100" t="s">
        <v>232</v>
      </c>
      <c r="H100" t="s">
        <v>264</v>
      </c>
      <c r="I100" t="s">
        <v>282</v>
      </c>
      <c r="J100" t="s">
        <v>2530</v>
      </c>
      <c r="L100" t="s">
        <v>2530</v>
      </c>
      <c r="P100" t="s">
        <v>125</v>
      </c>
      <c r="Q100" t="s">
        <v>267</v>
      </c>
    </row>
    <row r="101" spans="1:22">
      <c r="A101" t="s">
        <v>2531</v>
      </c>
      <c r="B101" t="s">
        <v>2159</v>
      </c>
      <c r="C101">
        <v>97</v>
      </c>
      <c r="D101" t="s">
        <v>2174</v>
      </c>
      <c r="E101" s="3" t="s">
        <v>2532</v>
      </c>
      <c r="F101" t="s">
        <v>2533</v>
      </c>
      <c r="G101" t="s">
        <v>232</v>
      </c>
      <c r="H101" t="s">
        <v>2191</v>
      </c>
      <c r="I101" t="s">
        <v>282</v>
      </c>
      <c r="J101" t="s">
        <v>2534</v>
      </c>
      <c r="L101" t="s">
        <v>2534</v>
      </c>
      <c r="P101" t="s">
        <v>107</v>
      </c>
      <c r="Q101" t="s">
        <v>267</v>
      </c>
    </row>
    <row r="102" spans="1:22">
      <c r="A102" t="s">
        <v>2535</v>
      </c>
      <c r="B102" t="s">
        <v>2159</v>
      </c>
      <c r="C102">
        <v>98</v>
      </c>
      <c r="D102" t="s">
        <v>2174</v>
      </c>
      <c r="E102" s="3" t="s">
        <v>2536</v>
      </c>
      <c r="F102" t="s">
        <v>2537</v>
      </c>
      <c r="G102" t="s">
        <v>232</v>
      </c>
      <c r="H102" t="s">
        <v>2195</v>
      </c>
      <c r="I102" t="s">
        <v>282</v>
      </c>
      <c r="J102" t="s">
        <v>2431</v>
      </c>
      <c r="L102" t="s">
        <v>2431</v>
      </c>
      <c r="P102" t="s">
        <v>2197</v>
      </c>
      <c r="Q102" t="s">
        <v>267</v>
      </c>
    </row>
    <row r="103" spans="1:22">
      <c r="A103" t="s">
        <v>2538</v>
      </c>
      <c r="B103" t="s">
        <v>2159</v>
      </c>
      <c r="C103">
        <v>99</v>
      </c>
      <c r="D103" t="s">
        <v>2174</v>
      </c>
      <c r="E103" s="3" t="s">
        <v>2539</v>
      </c>
      <c r="F103" t="s">
        <v>2540</v>
      </c>
      <c r="G103" t="s">
        <v>232</v>
      </c>
      <c r="H103" t="s">
        <v>249</v>
      </c>
      <c r="R103" t="s">
        <v>2011</v>
      </c>
    </row>
    <row r="104" spans="1:22">
      <c r="A104" t="s">
        <v>2541</v>
      </c>
      <c r="B104" t="s">
        <v>2159</v>
      </c>
      <c r="C104">
        <v>100</v>
      </c>
      <c r="D104" t="s">
        <v>2174</v>
      </c>
      <c r="E104" s="3" t="s">
        <v>2542</v>
      </c>
      <c r="F104" t="s">
        <v>2543</v>
      </c>
      <c r="G104" t="s">
        <v>232</v>
      </c>
      <c r="H104" t="s">
        <v>249</v>
      </c>
      <c r="R104" t="s">
        <v>2014</v>
      </c>
    </row>
    <row r="105" spans="1:22">
      <c r="A105" t="s">
        <v>2544</v>
      </c>
      <c r="B105" t="s">
        <v>2159</v>
      </c>
      <c r="C105">
        <v>101</v>
      </c>
      <c r="D105" t="s">
        <v>2174</v>
      </c>
      <c r="E105" s="3" t="s">
        <v>2545</v>
      </c>
      <c r="F105" t="s">
        <v>2546</v>
      </c>
      <c r="G105" t="s">
        <v>232</v>
      </c>
      <c r="H105" t="s">
        <v>2177</v>
      </c>
      <c r="I105" t="s">
        <v>284</v>
      </c>
      <c r="P105" t="s">
        <v>706</v>
      </c>
      <c r="Q105" t="s">
        <v>2142</v>
      </c>
    </row>
    <row r="106" spans="1:22">
      <c r="A106" t="s">
        <v>2547</v>
      </c>
      <c r="B106" t="s">
        <v>2159</v>
      </c>
      <c r="C106">
        <v>102</v>
      </c>
      <c r="D106" t="s">
        <v>2174</v>
      </c>
      <c r="E106" s="3" t="s">
        <v>2548</v>
      </c>
      <c r="F106" t="s">
        <v>2546</v>
      </c>
      <c r="G106" t="s">
        <v>232</v>
      </c>
      <c r="H106" t="s">
        <v>2182</v>
      </c>
      <c r="I106" t="s">
        <v>284</v>
      </c>
      <c r="P106" t="s">
        <v>140</v>
      </c>
      <c r="Q106" t="s">
        <v>2142</v>
      </c>
    </row>
    <row r="107" spans="1:22">
      <c r="A107" t="s">
        <v>2549</v>
      </c>
      <c r="B107" t="s">
        <v>2159</v>
      </c>
      <c r="C107">
        <v>103</v>
      </c>
      <c r="D107" t="s">
        <v>2174</v>
      </c>
      <c r="E107" s="3" t="s">
        <v>2550</v>
      </c>
      <c r="F107" t="s">
        <v>2551</v>
      </c>
      <c r="G107" t="s">
        <v>232</v>
      </c>
      <c r="H107" t="s">
        <v>264</v>
      </c>
      <c r="I107" t="s">
        <v>284</v>
      </c>
      <c r="J107" t="s">
        <v>2552</v>
      </c>
      <c r="L107" t="s">
        <v>2552</v>
      </c>
      <c r="P107" t="s">
        <v>125</v>
      </c>
      <c r="Q107" t="s">
        <v>267</v>
      </c>
    </row>
    <row r="108" spans="1:22">
      <c r="A108" t="s">
        <v>2553</v>
      </c>
      <c r="B108" t="s">
        <v>2159</v>
      </c>
      <c r="C108">
        <v>104</v>
      </c>
      <c r="D108" t="s">
        <v>2174</v>
      </c>
      <c r="E108" s="3" t="s">
        <v>2554</v>
      </c>
      <c r="F108" t="s">
        <v>2555</v>
      </c>
      <c r="G108" t="s">
        <v>232</v>
      </c>
      <c r="H108" t="s">
        <v>2191</v>
      </c>
      <c r="I108" t="s">
        <v>284</v>
      </c>
      <c r="J108" t="s">
        <v>2556</v>
      </c>
      <c r="L108" t="s">
        <v>2556</v>
      </c>
      <c r="P108" t="s">
        <v>107</v>
      </c>
      <c r="Q108" t="s">
        <v>267</v>
      </c>
    </row>
    <row r="109" spans="1:22">
      <c r="A109" t="s">
        <v>2557</v>
      </c>
      <c r="B109" t="s">
        <v>2159</v>
      </c>
      <c r="C109">
        <v>105</v>
      </c>
      <c r="D109" t="s">
        <v>2174</v>
      </c>
      <c r="E109" s="3" t="s">
        <v>2558</v>
      </c>
      <c r="F109" t="s">
        <v>2559</v>
      </c>
      <c r="G109" t="s">
        <v>232</v>
      </c>
      <c r="H109" t="s">
        <v>2195</v>
      </c>
      <c r="I109" t="s">
        <v>284</v>
      </c>
      <c r="J109" t="s">
        <v>2560</v>
      </c>
      <c r="L109" t="s">
        <v>2560</v>
      </c>
      <c r="P109" t="s">
        <v>2197</v>
      </c>
      <c r="Q109" t="s">
        <v>267</v>
      </c>
    </row>
    <row r="110" spans="1:22">
      <c r="A110" t="s">
        <v>2561</v>
      </c>
      <c r="B110" t="s">
        <v>2159</v>
      </c>
      <c r="C110">
        <v>106</v>
      </c>
      <c r="D110" t="s">
        <v>2174</v>
      </c>
      <c r="E110" s="3" t="s">
        <v>2562</v>
      </c>
      <c r="F110" t="s">
        <v>2563</v>
      </c>
      <c r="G110" t="s">
        <v>232</v>
      </c>
      <c r="H110" t="s">
        <v>249</v>
      </c>
      <c r="R110" t="s">
        <v>2011</v>
      </c>
    </row>
    <row r="111" spans="1:22" ht="41.4">
      <c r="A111" t="s">
        <v>2564</v>
      </c>
      <c r="B111" t="s">
        <v>2159</v>
      </c>
      <c r="C111">
        <v>107</v>
      </c>
      <c r="D111" t="s">
        <v>2171</v>
      </c>
      <c r="E111" s="3" t="s">
        <v>2172</v>
      </c>
      <c r="F111" t="s">
        <v>2134</v>
      </c>
      <c r="G111" t="s">
        <v>2135</v>
      </c>
      <c r="H111" t="s">
        <v>2136</v>
      </c>
      <c r="I111" t="s">
        <v>2137</v>
      </c>
      <c r="J111" t="s">
        <v>2138</v>
      </c>
      <c r="K111" t="s">
        <v>2139</v>
      </c>
      <c r="L111" t="s">
        <v>2140</v>
      </c>
      <c r="M111" t="s">
        <v>2141</v>
      </c>
      <c r="N111" t="s">
        <v>2142</v>
      </c>
      <c r="O111" t="s">
        <v>2143</v>
      </c>
      <c r="P111" t="s">
        <v>2144</v>
      </c>
      <c r="Q111" t="s">
        <v>2145</v>
      </c>
      <c r="R111" t="s">
        <v>2146</v>
      </c>
      <c r="S111" t="s">
        <v>2147</v>
      </c>
      <c r="T111" t="s">
        <v>2148</v>
      </c>
      <c r="U111" t="s">
        <v>2149</v>
      </c>
      <c r="V111" t="s">
        <v>2150</v>
      </c>
    </row>
    <row r="112" spans="1:22">
      <c r="A112" t="s">
        <v>2565</v>
      </c>
      <c r="B112" t="s">
        <v>2159</v>
      </c>
      <c r="C112">
        <v>108</v>
      </c>
      <c r="D112" t="s">
        <v>2174</v>
      </c>
      <c r="E112" s="3" t="s">
        <v>2566</v>
      </c>
      <c r="F112" t="s">
        <v>2567</v>
      </c>
      <c r="G112" t="s">
        <v>232</v>
      </c>
      <c r="H112" t="s">
        <v>2177</v>
      </c>
      <c r="I112" t="s">
        <v>233</v>
      </c>
      <c r="J112" t="s">
        <v>2568</v>
      </c>
      <c r="L112" t="s">
        <v>2568</v>
      </c>
      <c r="P112" t="s">
        <v>706</v>
      </c>
      <c r="Q112" t="s">
        <v>267</v>
      </c>
    </row>
    <row r="113" spans="1:18">
      <c r="A113" t="s">
        <v>2569</v>
      </c>
      <c r="B113" t="s">
        <v>2159</v>
      </c>
      <c r="C113">
        <v>109</v>
      </c>
      <c r="D113" t="s">
        <v>2174</v>
      </c>
      <c r="E113" s="3" t="s">
        <v>2570</v>
      </c>
      <c r="F113" t="s">
        <v>2571</v>
      </c>
      <c r="G113" t="s">
        <v>232</v>
      </c>
      <c r="H113" t="s">
        <v>2182</v>
      </c>
      <c r="I113" t="s">
        <v>233</v>
      </c>
      <c r="J113" t="s">
        <v>2572</v>
      </c>
      <c r="L113" t="s">
        <v>2572</v>
      </c>
      <c r="P113" t="s">
        <v>140</v>
      </c>
      <c r="Q113" t="s">
        <v>267</v>
      </c>
    </row>
    <row r="114" spans="1:18">
      <c r="A114" t="s">
        <v>2573</v>
      </c>
      <c r="B114" t="s">
        <v>2159</v>
      </c>
      <c r="C114">
        <v>110</v>
      </c>
      <c r="D114" t="s">
        <v>2174</v>
      </c>
      <c r="E114" s="3" t="s">
        <v>2574</v>
      </c>
      <c r="F114" t="s">
        <v>2575</v>
      </c>
      <c r="G114" t="s">
        <v>232</v>
      </c>
      <c r="H114" t="s">
        <v>264</v>
      </c>
      <c r="I114" t="s">
        <v>233</v>
      </c>
      <c r="J114" t="s">
        <v>2576</v>
      </c>
      <c r="L114" t="s">
        <v>2576</v>
      </c>
      <c r="P114" t="s">
        <v>125</v>
      </c>
      <c r="Q114" t="s">
        <v>267</v>
      </c>
    </row>
    <row r="115" spans="1:18">
      <c r="A115" t="s">
        <v>2577</v>
      </c>
      <c r="B115" t="s">
        <v>2159</v>
      </c>
      <c r="C115">
        <v>111</v>
      </c>
      <c r="D115" t="s">
        <v>2174</v>
      </c>
      <c r="E115" s="3" t="s">
        <v>2578</v>
      </c>
      <c r="F115" t="s">
        <v>2579</v>
      </c>
      <c r="G115" t="s">
        <v>232</v>
      </c>
      <c r="H115" t="s">
        <v>2191</v>
      </c>
      <c r="I115" t="s">
        <v>233</v>
      </c>
      <c r="J115" t="s">
        <v>233</v>
      </c>
      <c r="L115" t="s">
        <v>233</v>
      </c>
      <c r="P115" t="s">
        <v>107</v>
      </c>
      <c r="Q115" t="s">
        <v>267</v>
      </c>
    </row>
    <row r="116" spans="1:18">
      <c r="A116" t="s">
        <v>2580</v>
      </c>
      <c r="B116" t="s">
        <v>2159</v>
      </c>
      <c r="C116">
        <v>112</v>
      </c>
      <c r="D116" t="s">
        <v>2174</v>
      </c>
      <c r="E116" s="3" t="s">
        <v>2581</v>
      </c>
      <c r="F116" t="s">
        <v>2582</v>
      </c>
      <c r="G116" t="s">
        <v>232</v>
      </c>
      <c r="H116" t="s">
        <v>2195</v>
      </c>
      <c r="I116" t="s">
        <v>233</v>
      </c>
      <c r="J116" t="s">
        <v>2391</v>
      </c>
      <c r="L116" t="s">
        <v>2391</v>
      </c>
      <c r="P116" t="s">
        <v>2197</v>
      </c>
      <c r="Q116" t="s">
        <v>267</v>
      </c>
    </row>
    <row r="117" spans="1:18">
      <c r="A117" t="s">
        <v>2583</v>
      </c>
      <c r="B117" t="s">
        <v>2159</v>
      </c>
      <c r="C117">
        <v>113</v>
      </c>
      <c r="D117" t="s">
        <v>2174</v>
      </c>
      <c r="E117" s="3" t="s">
        <v>2584</v>
      </c>
      <c r="F117" t="s">
        <v>2585</v>
      </c>
      <c r="G117" t="s">
        <v>232</v>
      </c>
      <c r="H117" t="s">
        <v>243</v>
      </c>
      <c r="R117" t="s">
        <v>2007</v>
      </c>
    </row>
    <row r="118" spans="1:18">
      <c r="A118" t="s">
        <v>2586</v>
      </c>
      <c r="B118" t="s">
        <v>2159</v>
      </c>
      <c r="C118">
        <v>114</v>
      </c>
      <c r="D118" t="s">
        <v>2174</v>
      </c>
      <c r="E118" s="3" t="s">
        <v>2202</v>
      </c>
      <c r="F118" t="s">
        <v>2203</v>
      </c>
      <c r="G118" t="s">
        <v>232</v>
      </c>
      <c r="H118" t="s">
        <v>249</v>
      </c>
      <c r="R118" t="s">
        <v>2011</v>
      </c>
    </row>
    <row r="119" spans="1:18">
      <c r="A119" t="s">
        <v>2587</v>
      </c>
      <c r="B119" t="s">
        <v>2159</v>
      </c>
      <c r="C119">
        <v>115</v>
      </c>
      <c r="D119" t="s">
        <v>2174</v>
      </c>
      <c r="E119" s="3" t="s">
        <v>2588</v>
      </c>
      <c r="F119" t="s">
        <v>2589</v>
      </c>
      <c r="G119" t="s">
        <v>232</v>
      </c>
      <c r="H119" t="s">
        <v>249</v>
      </c>
      <c r="R119" t="s">
        <v>2014</v>
      </c>
    </row>
    <row r="120" spans="1:18">
      <c r="A120" t="s">
        <v>2590</v>
      </c>
      <c r="B120" t="s">
        <v>2159</v>
      </c>
      <c r="C120">
        <v>116</v>
      </c>
      <c r="D120" t="s">
        <v>2174</v>
      </c>
      <c r="E120" s="3" t="s">
        <v>2591</v>
      </c>
      <c r="F120" t="s">
        <v>2592</v>
      </c>
      <c r="G120" t="s">
        <v>232</v>
      </c>
      <c r="H120" t="s">
        <v>2177</v>
      </c>
      <c r="I120" t="s">
        <v>3</v>
      </c>
      <c r="J120" t="s">
        <v>2593</v>
      </c>
      <c r="L120" t="s">
        <v>2593</v>
      </c>
      <c r="P120" t="s">
        <v>706</v>
      </c>
      <c r="Q120" t="s">
        <v>267</v>
      </c>
    </row>
    <row r="121" spans="1:18">
      <c r="A121" t="s">
        <v>2594</v>
      </c>
      <c r="B121" t="s">
        <v>2159</v>
      </c>
      <c r="C121">
        <v>117</v>
      </c>
      <c r="D121" t="s">
        <v>2174</v>
      </c>
      <c r="E121" s="3" t="s">
        <v>2595</v>
      </c>
      <c r="F121" t="s">
        <v>2596</v>
      </c>
      <c r="G121" t="s">
        <v>232</v>
      </c>
      <c r="H121" t="s">
        <v>2182</v>
      </c>
      <c r="I121" t="s">
        <v>3</v>
      </c>
      <c r="J121" t="s">
        <v>2597</v>
      </c>
      <c r="L121" t="s">
        <v>2597</v>
      </c>
      <c r="P121" t="s">
        <v>140</v>
      </c>
      <c r="Q121" t="s">
        <v>267</v>
      </c>
    </row>
    <row r="122" spans="1:18">
      <c r="A122" t="s">
        <v>2598</v>
      </c>
      <c r="B122" t="s">
        <v>2159</v>
      </c>
      <c r="C122">
        <v>118</v>
      </c>
      <c r="D122" t="s">
        <v>2174</v>
      </c>
      <c r="E122" s="3" t="s">
        <v>2599</v>
      </c>
      <c r="F122" t="s">
        <v>2600</v>
      </c>
      <c r="G122" t="s">
        <v>232</v>
      </c>
      <c r="H122" t="s">
        <v>264</v>
      </c>
      <c r="I122" t="s">
        <v>3</v>
      </c>
      <c r="J122" t="s">
        <v>2601</v>
      </c>
      <c r="L122" t="s">
        <v>2601</v>
      </c>
      <c r="P122" t="s">
        <v>125</v>
      </c>
      <c r="Q122" t="s">
        <v>267</v>
      </c>
    </row>
    <row r="123" spans="1:18">
      <c r="A123" t="s">
        <v>2602</v>
      </c>
      <c r="B123" t="s">
        <v>2159</v>
      </c>
      <c r="C123">
        <v>119</v>
      </c>
      <c r="D123" t="s">
        <v>2174</v>
      </c>
      <c r="E123" s="3" t="s">
        <v>2603</v>
      </c>
      <c r="F123" t="s">
        <v>2604</v>
      </c>
      <c r="G123" t="s">
        <v>232</v>
      </c>
      <c r="H123" t="s">
        <v>2191</v>
      </c>
      <c r="I123" t="s">
        <v>3</v>
      </c>
      <c r="J123" t="s">
        <v>233</v>
      </c>
      <c r="L123" t="s">
        <v>233</v>
      </c>
      <c r="P123" t="s">
        <v>107</v>
      </c>
      <c r="Q123" t="s">
        <v>267</v>
      </c>
    </row>
    <row r="124" spans="1:18">
      <c r="A124" t="s">
        <v>2605</v>
      </c>
      <c r="B124" t="s">
        <v>2159</v>
      </c>
      <c r="C124">
        <v>120</v>
      </c>
      <c r="D124" t="s">
        <v>2174</v>
      </c>
      <c r="E124" s="3" t="s">
        <v>2606</v>
      </c>
      <c r="F124" t="s">
        <v>2607</v>
      </c>
      <c r="G124" t="s">
        <v>232</v>
      </c>
      <c r="H124" t="s">
        <v>2195</v>
      </c>
      <c r="I124" t="s">
        <v>3</v>
      </c>
      <c r="J124" t="s">
        <v>2608</v>
      </c>
      <c r="L124" t="s">
        <v>2608</v>
      </c>
      <c r="P124" t="s">
        <v>2197</v>
      </c>
      <c r="Q124" t="s">
        <v>267</v>
      </c>
    </row>
    <row r="125" spans="1:18">
      <c r="A125" t="s">
        <v>2609</v>
      </c>
      <c r="B125" t="s">
        <v>2159</v>
      </c>
      <c r="C125">
        <v>121</v>
      </c>
      <c r="D125" t="s">
        <v>2174</v>
      </c>
      <c r="E125" s="3" t="s">
        <v>2610</v>
      </c>
      <c r="F125" t="s">
        <v>2611</v>
      </c>
      <c r="G125" t="s">
        <v>232</v>
      </c>
      <c r="H125" t="s">
        <v>249</v>
      </c>
      <c r="R125" t="s">
        <v>2011</v>
      </c>
    </row>
    <row r="126" spans="1:18">
      <c r="A126" t="s">
        <v>2612</v>
      </c>
      <c r="B126" t="s">
        <v>2159</v>
      </c>
      <c r="C126">
        <v>122</v>
      </c>
      <c r="D126" t="s">
        <v>2174</v>
      </c>
      <c r="E126" s="3" t="s">
        <v>2613</v>
      </c>
      <c r="F126" t="s">
        <v>2614</v>
      </c>
      <c r="G126" t="s">
        <v>232</v>
      </c>
      <c r="H126" t="s">
        <v>249</v>
      </c>
      <c r="R126" t="s">
        <v>2014</v>
      </c>
    </row>
    <row r="127" spans="1:18">
      <c r="A127" t="s">
        <v>2615</v>
      </c>
      <c r="B127" t="s">
        <v>2159</v>
      </c>
      <c r="C127">
        <v>123</v>
      </c>
      <c r="D127" t="s">
        <v>2174</v>
      </c>
      <c r="E127" s="3" t="s">
        <v>2616</v>
      </c>
      <c r="F127" t="s">
        <v>2617</v>
      </c>
      <c r="G127" t="s">
        <v>232</v>
      </c>
      <c r="H127" t="s">
        <v>2177</v>
      </c>
      <c r="I127" t="s">
        <v>6</v>
      </c>
      <c r="J127" t="s">
        <v>2618</v>
      </c>
      <c r="L127" t="s">
        <v>2618</v>
      </c>
      <c r="P127" t="s">
        <v>706</v>
      </c>
      <c r="Q127" t="s">
        <v>267</v>
      </c>
    </row>
    <row r="128" spans="1:18">
      <c r="A128" t="s">
        <v>2619</v>
      </c>
      <c r="B128" t="s">
        <v>2159</v>
      </c>
      <c r="C128">
        <v>124</v>
      </c>
      <c r="D128" t="s">
        <v>2174</v>
      </c>
      <c r="E128" s="3" t="s">
        <v>2620</v>
      </c>
      <c r="F128" t="s">
        <v>2621</v>
      </c>
      <c r="G128" t="s">
        <v>232</v>
      </c>
      <c r="H128" t="s">
        <v>2182</v>
      </c>
      <c r="I128" t="s">
        <v>6</v>
      </c>
      <c r="J128" t="s">
        <v>2622</v>
      </c>
      <c r="L128" t="s">
        <v>2622</v>
      </c>
      <c r="P128" t="s">
        <v>140</v>
      </c>
      <c r="Q128" t="s">
        <v>267</v>
      </c>
    </row>
    <row r="129" spans="1:18">
      <c r="A129" t="s">
        <v>2623</v>
      </c>
      <c r="B129" t="s">
        <v>2159</v>
      </c>
      <c r="C129">
        <v>125</v>
      </c>
      <c r="D129" t="s">
        <v>2174</v>
      </c>
      <c r="E129" s="3" t="s">
        <v>2624</v>
      </c>
      <c r="F129" t="s">
        <v>2625</v>
      </c>
      <c r="G129" t="s">
        <v>232</v>
      </c>
      <c r="H129" t="s">
        <v>264</v>
      </c>
      <c r="I129" t="s">
        <v>6</v>
      </c>
      <c r="J129" t="s">
        <v>2626</v>
      </c>
      <c r="L129" t="s">
        <v>2626</v>
      </c>
      <c r="P129" t="s">
        <v>125</v>
      </c>
      <c r="Q129" t="s">
        <v>267</v>
      </c>
    </row>
    <row r="130" spans="1:18">
      <c r="A130" t="s">
        <v>2627</v>
      </c>
      <c r="B130" t="s">
        <v>2159</v>
      </c>
      <c r="C130">
        <v>126</v>
      </c>
      <c r="D130" t="s">
        <v>2174</v>
      </c>
      <c r="E130" s="3" t="s">
        <v>2628</v>
      </c>
      <c r="F130" t="s">
        <v>2629</v>
      </c>
      <c r="G130" t="s">
        <v>232</v>
      </c>
      <c r="H130" t="s">
        <v>2191</v>
      </c>
      <c r="I130" t="s">
        <v>6</v>
      </c>
      <c r="J130" t="s">
        <v>233</v>
      </c>
      <c r="L130" t="s">
        <v>233</v>
      </c>
      <c r="P130" t="s">
        <v>107</v>
      </c>
      <c r="Q130" t="s">
        <v>267</v>
      </c>
    </row>
    <row r="131" spans="1:18">
      <c r="A131" t="s">
        <v>2630</v>
      </c>
      <c r="B131" t="s">
        <v>2159</v>
      </c>
      <c r="C131">
        <v>127</v>
      </c>
      <c r="D131" t="s">
        <v>2174</v>
      </c>
      <c r="E131" s="3" t="s">
        <v>2631</v>
      </c>
      <c r="F131" t="s">
        <v>2632</v>
      </c>
      <c r="G131" t="s">
        <v>232</v>
      </c>
      <c r="H131" t="s">
        <v>2195</v>
      </c>
      <c r="I131" t="s">
        <v>6</v>
      </c>
      <c r="J131" t="s">
        <v>2633</v>
      </c>
      <c r="L131" t="s">
        <v>2633</v>
      </c>
      <c r="P131" t="s">
        <v>2197</v>
      </c>
      <c r="Q131" t="s">
        <v>267</v>
      </c>
    </row>
    <row r="132" spans="1:18">
      <c r="A132" t="s">
        <v>2634</v>
      </c>
      <c r="B132" t="s">
        <v>2159</v>
      </c>
      <c r="C132">
        <v>128</v>
      </c>
      <c r="D132" t="s">
        <v>2174</v>
      </c>
      <c r="E132" s="3" t="s">
        <v>2635</v>
      </c>
      <c r="F132" t="s">
        <v>2636</v>
      </c>
      <c r="G132" t="s">
        <v>232</v>
      </c>
      <c r="H132" t="s">
        <v>249</v>
      </c>
      <c r="R132" t="s">
        <v>2011</v>
      </c>
    </row>
    <row r="133" spans="1:18">
      <c r="A133" t="s">
        <v>2637</v>
      </c>
      <c r="B133" t="s">
        <v>2159</v>
      </c>
      <c r="C133">
        <v>129</v>
      </c>
      <c r="D133" t="s">
        <v>2174</v>
      </c>
      <c r="E133" s="3" t="s">
        <v>2638</v>
      </c>
      <c r="F133" t="s">
        <v>2639</v>
      </c>
      <c r="G133" t="s">
        <v>232</v>
      </c>
      <c r="H133" t="s">
        <v>249</v>
      </c>
      <c r="R133" t="s">
        <v>2014</v>
      </c>
    </row>
    <row r="134" spans="1:18">
      <c r="A134" t="s">
        <v>2640</v>
      </c>
      <c r="B134" t="s">
        <v>2159</v>
      </c>
      <c r="C134">
        <v>130</v>
      </c>
      <c r="D134" t="s">
        <v>2174</v>
      </c>
      <c r="E134" s="3" t="s">
        <v>2641</v>
      </c>
      <c r="F134" t="s">
        <v>2642</v>
      </c>
      <c r="G134" t="s">
        <v>232</v>
      </c>
      <c r="H134" t="s">
        <v>2177</v>
      </c>
      <c r="I134" t="s">
        <v>9</v>
      </c>
      <c r="J134" t="s">
        <v>2178</v>
      </c>
      <c r="L134" t="s">
        <v>2178</v>
      </c>
      <c r="P134" t="s">
        <v>706</v>
      </c>
      <c r="Q134" t="s">
        <v>267</v>
      </c>
    </row>
    <row r="135" spans="1:18">
      <c r="A135" t="s">
        <v>2643</v>
      </c>
      <c r="B135" t="s">
        <v>2159</v>
      </c>
      <c r="C135">
        <v>131</v>
      </c>
      <c r="D135" t="s">
        <v>2174</v>
      </c>
      <c r="E135" s="3" t="s">
        <v>2644</v>
      </c>
      <c r="F135" t="s">
        <v>2645</v>
      </c>
      <c r="G135" t="s">
        <v>232</v>
      </c>
      <c r="H135" t="s">
        <v>2182</v>
      </c>
      <c r="I135" t="s">
        <v>9</v>
      </c>
      <c r="J135" t="s">
        <v>2646</v>
      </c>
      <c r="L135" t="s">
        <v>2646</v>
      </c>
      <c r="P135" t="s">
        <v>140</v>
      </c>
      <c r="Q135" t="s">
        <v>267</v>
      </c>
    </row>
    <row r="136" spans="1:18">
      <c r="A136" t="s">
        <v>2647</v>
      </c>
      <c r="B136" t="s">
        <v>2159</v>
      </c>
      <c r="C136">
        <v>132</v>
      </c>
      <c r="D136" t="s">
        <v>2174</v>
      </c>
      <c r="E136" s="3" t="s">
        <v>2648</v>
      </c>
      <c r="F136" t="s">
        <v>2649</v>
      </c>
      <c r="G136" t="s">
        <v>232</v>
      </c>
      <c r="H136" t="s">
        <v>264</v>
      </c>
      <c r="I136" t="s">
        <v>9</v>
      </c>
      <c r="J136" t="s">
        <v>2650</v>
      </c>
      <c r="L136" t="s">
        <v>2650</v>
      </c>
      <c r="P136" t="s">
        <v>125</v>
      </c>
      <c r="Q136" t="s">
        <v>267</v>
      </c>
    </row>
    <row r="137" spans="1:18">
      <c r="A137" t="s">
        <v>2651</v>
      </c>
      <c r="B137" t="s">
        <v>2159</v>
      </c>
      <c r="C137">
        <v>133</v>
      </c>
      <c r="D137" t="s">
        <v>2174</v>
      </c>
      <c r="E137" s="3" t="s">
        <v>2652</v>
      </c>
      <c r="F137" t="s">
        <v>2653</v>
      </c>
      <c r="G137" t="s">
        <v>232</v>
      </c>
      <c r="H137" t="s">
        <v>2191</v>
      </c>
      <c r="I137" t="s">
        <v>9</v>
      </c>
      <c r="J137" t="s">
        <v>233</v>
      </c>
      <c r="L137" t="s">
        <v>233</v>
      </c>
      <c r="P137" t="s">
        <v>107</v>
      </c>
      <c r="Q137" t="s">
        <v>267</v>
      </c>
    </row>
    <row r="138" spans="1:18">
      <c r="A138" t="s">
        <v>2654</v>
      </c>
      <c r="B138" t="s">
        <v>2159</v>
      </c>
      <c r="C138">
        <v>134</v>
      </c>
      <c r="D138" t="s">
        <v>2174</v>
      </c>
      <c r="E138" s="3" t="s">
        <v>2655</v>
      </c>
      <c r="F138" t="s">
        <v>2656</v>
      </c>
      <c r="G138" t="s">
        <v>232</v>
      </c>
      <c r="H138" t="s">
        <v>2195</v>
      </c>
      <c r="I138" t="s">
        <v>9</v>
      </c>
      <c r="J138" t="s">
        <v>2657</v>
      </c>
      <c r="L138" t="s">
        <v>2657</v>
      </c>
      <c r="P138" t="s">
        <v>2197</v>
      </c>
      <c r="Q138" t="s">
        <v>267</v>
      </c>
    </row>
    <row r="139" spans="1:18">
      <c r="A139" t="s">
        <v>2658</v>
      </c>
      <c r="B139" t="s">
        <v>2159</v>
      </c>
      <c r="C139">
        <v>135</v>
      </c>
      <c r="D139" t="s">
        <v>2174</v>
      </c>
      <c r="E139" s="3" t="s">
        <v>2659</v>
      </c>
      <c r="F139" t="s">
        <v>2660</v>
      </c>
      <c r="G139" t="s">
        <v>232</v>
      </c>
      <c r="H139" t="s">
        <v>249</v>
      </c>
      <c r="R139" t="s">
        <v>2011</v>
      </c>
    </row>
    <row r="140" spans="1:18">
      <c r="A140" t="s">
        <v>2661</v>
      </c>
      <c r="B140" t="s">
        <v>2159</v>
      </c>
      <c r="C140">
        <v>136</v>
      </c>
      <c r="D140" t="s">
        <v>2174</v>
      </c>
      <c r="E140" s="3" t="s">
        <v>2662</v>
      </c>
      <c r="F140" t="s">
        <v>2663</v>
      </c>
      <c r="G140" t="s">
        <v>232</v>
      </c>
      <c r="H140" t="s">
        <v>249</v>
      </c>
      <c r="R140" t="s">
        <v>2014</v>
      </c>
    </row>
    <row r="141" spans="1:18">
      <c r="A141" t="s">
        <v>2664</v>
      </c>
      <c r="B141" t="s">
        <v>2159</v>
      </c>
      <c r="C141">
        <v>137</v>
      </c>
      <c r="D141" t="s">
        <v>2174</v>
      </c>
      <c r="E141" s="3" t="s">
        <v>2665</v>
      </c>
      <c r="F141" t="s">
        <v>2666</v>
      </c>
      <c r="G141" t="s">
        <v>232</v>
      </c>
      <c r="H141" t="s">
        <v>2177</v>
      </c>
      <c r="I141" t="s">
        <v>12</v>
      </c>
      <c r="J141" t="s">
        <v>2178</v>
      </c>
      <c r="L141" t="s">
        <v>2178</v>
      </c>
      <c r="P141" t="s">
        <v>706</v>
      </c>
      <c r="Q141" t="s">
        <v>267</v>
      </c>
    </row>
    <row r="142" spans="1:18">
      <c r="A142" t="s">
        <v>2667</v>
      </c>
      <c r="B142" t="s">
        <v>2159</v>
      </c>
      <c r="C142">
        <v>138</v>
      </c>
      <c r="D142" t="s">
        <v>2174</v>
      </c>
      <c r="E142" s="3" t="s">
        <v>2668</v>
      </c>
      <c r="F142" t="s">
        <v>2669</v>
      </c>
      <c r="G142" t="s">
        <v>232</v>
      </c>
      <c r="H142" t="s">
        <v>2182</v>
      </c>
      <c r="I142" t="s">
        <v>12</v>
      </c>
      <c r="J142" t="s">
        <v>2670</v>
      </c>
      <c r="L142" t="s">
        <v>2670</v>
      </c>
      <c r="P142" t="s">
        <v>140</v>
      </c>
      <c r="Q142" t="s">
        <v>267</v>
      </c>
    </row>
    <row r="143" spans="1:18">
      <c r="A143" t="s">
        <v>2671</v>
      </c>
      <c r="B143" t="s">
        <v>2159</v>
      </c>
      <c r="C143">
        <v>139</v>
      </c>
      <c r="D143" t="s">
        <v>2174</v>
      </c>
      <c r="E143" s="3" t="s">
        <v>2672</v>
      </c>
      <c r="F143" t="s">
        <v>2673</v>
      </c>
      <c r="G143" t="s">
        <v>232</v>
      </c>
      <c r="H143" t="s">
        <v>264</v>
      </c>
      <c r="I143" t="s">
        <v>12</v>
      </c>
      <c r="J143" t="s">
        <v>2674</v>
      </c>
      <c r="L143" t="s">
        <v>2674</v>
      </c>
      <c r="P143" t="s">
        <v>125</v>
      </c>
      <c r="Q143" t="s">
        <v>267</v>
      </c>
    </row>
    <row r="144" spans="1:18">
      <c r="A144" t="s">
        <v>2675</v>
      </c>
      <c r="B144" t="s">
        <v>2159</v>
      </c>
      <c r="C144">
        <v>140</v>
      </c>
      <c r="D144" t="s">
        <v>2174</v>
      </c>
      <c r="E144" s="3" t="s">
        <v>2676</v>
      </c>
      <c r="F144" t="s">
        <v>2677</v>
      </c>
      <c r="G144" t="s">
        <v>232</v>
      </c>
      <c r="H144" t="s">
        <v>2191</v>
      </c>
      <c r="I144" t="s">
        <v>12</v>
      </c>
      <c r="J144" t="s">
        <v>233</v>
      </c>
      <c r="L144" t="s">
        <v>233</v>
      </c>
      <c r="P144" t="s">
        <v>107</v>
      </c>
      <c r="Q144" t="s">
        <v>267</v>
      </c>
    </row>
    <row r="145" spans="1:18">
      <c r="A145" t="s">
        <v>2678</v>
      </c>
      <c r="B145" t="s">
        <v>2159</v>
      </c>
      <c r="C145">
        <v>141</v>
      </c>
      <c r="D145" t="s">
        <v>2174</v>
      </c>
      <c r="E145" s="3" t="s">
        <v>2679</v>
      </c>
      <c r="F145" t="s">
        <v>2680</v>
      </c>
      <c r="G145" t="s">
        <v>232</v>
      </c>
      <c r="H145" t="s">
        <v>2195</v>
      </c>
      <c r="I145" t="s">
        <v>12</v>
      </c>
      <c r="J145" t="s">
        <v>2657</v>
      </c>
      <c r="L145" t="s">
        <v>2657</v>
      </c>
      <c r="P145" t="s">
        <v>2197</v>
      </c>
      <c r="Q145" t="s">
        <v>267</v>
      </c>
    </row>
    <row r="146" spans="1:18">
      <c r="A146" t="s">
        <v>2681</v>
      </c>
      <c r="B146" t="s">
        <v>2159</v>
      </c>
      <c r="C146">
        <v>142</v>
      </c>
      <c r="D146" t="s">
        <v>2174</v>
      </c>
      <c r="E146" s="3" t="s">
        <v>2682</v>
      </c>
      <c r="F146" t="s">
        <v>2683</v>
      </c>
      <c r="G146" t="s">
        <v>232</v>
      </c>
      <c r="H146" t="s">
        <v>249</v>
      </c>
      <c r="R146" t="s">
        <v>2011</v>
      </c>
    </row>
    <row r="147" spans="1:18">
      <c r="A147" t="s">
        <v>2684</v>
      </c>
      <c r="B147" t="s">
        <v>2159</v>
      </c>
      <c r="C147">
        <v>143</v>
      </c>
      <c r="D147" t="s">
        <v>2174</v>
      </c>
      <c r="E147" s="3" t="s">
        <v>2685</v>
      </c>
      <c r="F147" t="s">
        <v>2686</v>
      </c>
      <c r="G147" t="s">
        <v>232</v>
      </c>
      <c r="H147" t="s">
        <v>249</v>
      </c>
      <c r="R147" t="s">
        <v>2014</v>
      </c>
    </row>
    <row r="148" spans="1:18">
      <c r="A148" t="s">
        <v>2687</v>
      </c>
      <c r="B148" t="s">
        <v>2159</v>
      </c>
      <c r="C148">
        <v>144</v>
      </c>
      <c r="D148" t="s">
        <v>2174</v>
      </c>
      <c r="E148" s="3" t="s">
        <v>2688</v>
      </c>
      <c r="F148" t="s">
        <v>2689</v>
      </c>
      <c r="G148" t="s">
        <v>232</v>
      </c>
      <c r="H148" t="s">
        <v>2177</v>
      </c>
      <c r="I148" t="s">
        <v>15</v>
      </c>
      <c r="J148" t="s">
        <v>2178</v>
      </c>
      <c r="L148" t="s">
        <v>2178</v>
      </c>
      <c r="P148" t="s">
        <v>706</v>
      </c>
      <c r="Q148" t="s">
        <v>267</v>
      </c>
    </row>
    <row r="149" spans="1:18">
      <c r="A149" t="s">
        <v>2690</v>
      </c>
      <c r="B149" t="s">
        <v>2159</v>
      </c>
      <c r="C149">
        <v>145</v>
      </c>
      <c r="D149" t="s">
        <v>2174</v>
      </c>
      <c r="E149" s="3" t="s">
        <v>2691</v>
      </c>
      <c r="F149" t="s">
        <v>2692</v>
      </c>
      <c r="G149" t="s">
        <v>232</v>
      </c>
      <c r="H149" t="s">
        <v>2182</v>
      </c>
      <c r="I149" t="s">
        <v>15</v>
      </c>
      <c r="J149" t="s">
        <v>2693</v>
      </c>
      <c r="L149" t="s">
        <v>2693</v>
      </c>
      <c r="P149" t="s">
        <v>140</v>
      </c>
      <c r="Q149" t="s">
        <v>267</v>
      </c>
    </row>
    <row r="150" spans="1:18">
      <c r="A150" t="s">
        <v>2694</v>
      </c>
      <c r="B150" t="s">
        <v>2159</v>
      </c>
      <c r="C150">
        <v>146</v>
      </c>
      <c r="D150" t="s">
        <v>2174</v>
      </c>
      <c r="E150" s="3" t="s">
        <v>2695</v>
      </c>
      <c r="F150" t="s">
        <v>2696</v>
      </c>
      <c r="G150" t="s">
        <v>232</v>
      </c>
      <c r="H150" t="s">
        <v>264</v>
      </c>
      <c r="I150" t="s">
        <v>15</v>
      </c>
      <c r="J150" t="s">
        <v>2601</v>
      </c>
      <c r="L150" t="s">
        <v>2601</v>
      </c>
      <c r="P150" t="s">
        <v>125</v>
      </c>
      <c r="Q150" t="s">
        <v>267</v>
      </c>
    </row>
    <row r="151" spans="1:18">
      <c r="A151" t="s">
        <v>2697</v>
      </c>
      <c r="B151" t="s">
        <v>2159</v>
      </c>
      <c r="C151">
        <v>147</v>
      </c>
      <c r="D151" t="s">
        <v>2174</v>
      </c>
      <c r="E151" s="3" t="s">
        <v>2698</v>
      </c>
      <c r="F151" t="s">
        <v>2699</v>
      </c>
      <c r="G151" t="s">
        <v>232</v>
      </c>
      <c r="H151" t="s">
        <v>2191</v>
      </c>
      <c r="I151" t="s">
        <v>15</v>
      </c>
      <c r="J151" t="s">
        <v>233</v>
      </c>
      <c r="L151" t="s">
        <v>233</v>
      </c>
      <c r="P151" t="s">
        <v>107</v>
      </c>
      <c r="Q151" t="s">
        <v>267</v>
      </c>
    </row>
    <row r="152" spans="1:18">
      <c r="A152" t="s">
        <v>2700</v>
      </c>
      <c r="B152" t="s">
        <v>2159</v>
      </c>
      <c r="C152">
        <v>148</v>
      </c>
      <c r="D152" t="s">
        <v>2174</v>
      </c>
      <c r="E152" s="3" t="s">
        <v>2701</v>
      </c>
      <c r="F152" t="s">
        <v>2702</v>
      </c>
      <c r="G152" t="s">
        <v>232</v>
      </c>
      <c r="H152" t="s">
        <v>2195</v>
      </c>
      <c r="I152" t="s">
        <v>15</v>
      </c>
      <c r="J152" t="s">
        <v>2703</v>
      </c>
      <c r="L152" t="s">
        <v>2703</v>
      </c>
      <c r="P152" t="s">
        <v>2197</v>
      </c>
      <c r="Q152" t="s">
        <v>267</v>
      </c>
    </row>
    <row r="153" spans="1:18">
      <c r="A153" t="s">
        <v>2704</v>
      </c>
      <c r="B153" t="s">
        <v>2159</v>
      </c>
      <c r="C153">
        <v>149</v>
      </c>
      <c r="D153" t="s">
        <v>2174</v>
      </c>
      <c r="E153" s="3" t="s">
        <v>2705</v>
      </c>
      <c r="F153" t="s">
        <v>2706</v>
      </c>
      <c r="G153" t="s">
        <v>232</v>
      </c>
      <c r="H153" t="s">
        <v>249</v>
      </c>
      <c r="R153" t="s">
        <v>2011</v>
      </c>
    </row>
    <row r="154" spans="1:18">
      <c r="A154" t="s">
        <v>2707</v>
      </c>
      <c r="B154" t="s">
        <v>2159</v>
      </c>
      <c r="C154">
        <v>150</v>
      </c>
      <c r="D154" t="s">
        <v>2174</v>
      </c>
      <c r="E154" s="3" t="s">
        <v>2708</v>
      </c>
      <c r="F154" t="s">
        <v>2709</v>
      </c>
      <c r="G154" t="s">
        <v>232</v>
      </c>
      <c r="H154" t="s">
        <v>249</v>
      </c>
      <c r="R154" t="s">
        <v>2014</v>
      </c>
    </row>
    <row r="155" spans="1:18">
      <c r="A155" t="s">
        <v>2710</v>
      </c>
      <c r="B155" t="s">
        <v>2159</v>
      </c>
      <c r="C155">
        <v>151</v>
      </c>
      <c r="D155" t="s">
        <v>2174</v>
      </c>
      <c r="E155" s="3" t="s">
        <v>2711</v>
      </c>
      <c r="F155" t="s">
        <v>2712</v>
      </c>
      <c r="G155" t="s">
        <v>232</v>
      </c>
      <c r="H155" t="s">
        <v>2177</v>
      </c>
      <c r="I155" t="s">
        <v>18</v>
      </c>
      <c r="J155" t="s">
        <v>2618</v>
      </c>
      <c r="L155" t="s">
        <v>2618</v>
      </c>
      <c r="P155" t="s">
        <v>706</v>
      </c>
      <c r="Q155" t="s">
        <v>267</v>
      </c>
    </row>
    <row r="156" spans="1:18">
      <c r="A156" t="s">
        <v>2713</v>
      </c>
      <c r="B156" t="s">
        <v>2159</v>
      </c>
      <c r="C156">
        <v>152</v>
      </c>
      <c r="D156" t="s">
        <v>2174</v>
      </c>
      <c r="E156" s="3" t="s">
        <v>2714</v>
      </c>
      <c r="F156" t="s">
        <v>2715</v>
      </c>
      <c r="G156" t="s">
        <v>232</v>
      </c>
      <c r="H156" t="s">
        <v>2182</v>
      </c>
      <c r="I156" t="s">
        <v>18</v>
      </c>
      <c r="J156" t="s">
        <v>2597</v>
      </c>
      <c r="L156" t="s">
        <v>2597</v>
      </c>
      <c r="P156" t="s">
        <v>140</v>
      </c>
      <c r="Q156" t="s">
        <v>267</v>
      </c>
    </row>
    <row r="157" spans="1:18">
      <c r="A157" t="s">
        <v>2716</v>
      </c>
      <c r="B157" t="s">
        <v>2159</v>
      </c>
      <c r="C157">
        <v>153</v>
      </c>
      <c r="D157" t="s">
        <v>2174</v>
      </c>
      <c r="E157" s="3" t="s">
        <v>2717</v>
      </c>
      <c r="F157" t="s">
        <v>2718</v>
      </c>
      <c r="G157" t="s">
        <v>232</v>
      </c>
      <c r="H157" t="s">
        <v>264</v>
      </c>
      <c r="I157" t="s">
        <v>18</v>
      </c>
      <c r="J157" t="s">
        <v>2601</v>
      </c>
      <c r="L157" t="s">
        <v>2601</v>
      </c>
      <c r="P157" t="s">
        <v>125</v>
      </c>
      <c r="Q157" t="s">
        <v>267</v>
      </c>
    </row>
    <row r="158" spans="1:18">
      <c r="A158" t="s">
        <v>2719</v>
      </c>
      <c r="B158" t="s">
        <v>2159</v>
      </c>
      <c r="C158">
        <v>154</v>
      </c>
      <c r="D158" t="s">
        <v>2174</v>
      </c>
      <c r="E158" s="3" t="s">
        <v>2720</v>
      </c>
      <c r="F158" t="s">
        <v>2721</v>
      </c>
      <c r="G158" t="s">
        <v>232</v>
      </c>
      <c r="H158" t="s">
        <v>2191</v>
      </c>
      <c r="I158" t="s">
        <v>18</v>
      </c>
      <c r="J158" t="s">
        <v>233</v>
      </c>
      <c r="L158" t="s">
        <v>233</v>
      </c>
      <c r="P158" t="s">
        <v>107</v>
      </c>
      <c r="Q158" t="s">
        <v>267</v>
      </c>
    </row>
    <row r="159" spans="1:18">
      <c r="A159" t="s">
        <v>2722</v>
      </c>
      <c r="B159" t="s">
        <v>2159</v>
      </c>
      <c r="C159">
        <v>155</v>
      </c>
      <c r="D159" t="s">
        <v>2174</v>
      </c>
      <c r="E159" s="3" t="s">
        <v>2723</v>
      </c>
      <c r="F159" t="s">
        <v>2724</v>
      </c>
      <c r="G159" t="s">
        <v>232</v>
      </c>
      <c r="H159" t="s">
        <v>2195</v>
      </c>
      <c r="I159" t="s">
        <v>18</v>
      </c>
      <c r="J159" t="s">
        <v>2657</v>
      </c>
      <c r="L159" t="s">
        <v>2657</v>
      </c>
      <c r="P159" t="s">
        <v>2197</v>
      </c>
      <c r="Q159" t="s">
        <v>267</v>
      </c>
    </row>
    <row r="160" spans="1:18">
      <c r="A160" t="s">
        <v>2725</v>
      </c>
      <c r="B160" t="s">
        <v>2159</v>
      </c>
      <c r="C160">
        <v>156</v>
      </c>
      <c r="D160" t="s">
        <v>2174</v>
      </c>
      <c r="E160" s="3" t="s">
        <v>2726</v>
      </c>
      <c r="F160" t="s">
        <v>2727</v>
      </c>
      <c r="G160" t="s">
        <v>232</v>
      </c>
      <c r="H160" t="s">
        <v>249</v>
      </c>
      <c r="R160" t="s">
        <v>2011</v>
      </c>
    </row>
    <row r="161" spans="1:18">
      <c r="A161" t="s">
        <v>2728</v>
      </c>
      <c r="B161" t="s">
        <v>2159</v>
      </c>
      <c r="C161">
        <v>157</v>
      </c>
      <c r="D161" t="s">
        <v>2174</v>
      </c>
      <c r="E161" s="3" t="s">
        <v>2729</v>
      </c>
      <c r="F161" t="s">
        <v>2730</v>
      </c>
      <c r="G161" t="s">
        <v>232</v>
      </c>
      <c r="H161" t="s">
        <v>249</v>
      </c>
      <c r="R161" t="s">
        <v>2014</v>
      </c>
    </row>
    <row r="162" spans="1:18">
      <c r="A162" t="s">
        <v>2731</v>
      </c>
      <c r="B162" t="s">
        <v>2159</v>
      </c>
      <c r="C162">
        <v>158</v>
      </c>
      <c r="D162" t="s">
        <v>2174</v>
      </c>
      <c r="E162" s="3" t="s">
        <v>2732</v>
      </c>
      <c r="F162" t="s">
        <v>2733</v>
      </c>
      <c r="G162" t="s">
        <v>232</v>
      </c>
      <c r="H162" t="s">
        <v>2177</v>
      </c>
      <c r="I162" t="s">
        <v>278</v>
      </c>
      <c r="J162" t="s">
        <v>2178</v>
      </c>
      <c r="L162" t="s">
        <v>2178</v>
      </c>
      <c r="P162" t="s">
        <v>706</v>
      </c>
      <c r="Q162" t="s">
        <v>267</v>
      </c>
    </row>
    <row r="163" spans="1:18">
      <c r="A163" t="s">
        <v>2734</v>
      </c>
      <c r="B163" t="s">
        <v>2159</v>
      </c>
      <c r="C163">
        <v>159</v>
      </c>
      <c r="D163" t="s">
        <v>2174</v>
      </c>
      <c r="E163" s="3" t="s">
        <v>2735</v>
      </c>
      <c r="F163" t="s">
        <v>2736</v>
      </c>
      <c r="G163" t="s">
        <v>232</v>
      </c>
      <c r="H163" t="s">
        <v>2182</v>
      </c>
      <c r="I163" t="s">
        <v>278</v>
      </c>
      <c r="J163" t="s">
        <v>2737</v>
      </c>
      <c r="L163" t="s">
        <v>2737</v>
      </c>
      <c r="P163" t="s">
        <v>140</v>
      </c>
      <c r="Q163" t="s">
        <v>267</v>
      </c>
    </row>
    <row r="164" spans="1:18">
      <c r="A164" t="s">
        <v>2738</v>
      </c>
      <c r="B164" t="s">
        <v>2159</v>
      </c>
      <c r="C164">
        <v>160</v>
      </c>
      <c r="D164" t="s">
        <v>2174</v>
      </c>
      <c r="E164" s="3" t="s">
        <v>2739</v>
      </c>
      <c r="F164" t="s">
        <v>2740</v>
      </c>
      <c r="G164" t="s">
        <v>232</v>
      </c>
      <c r="H164" t="s">
        <v>264</v>
      </c>
      <c r="I164" t="s">
        <v>278</v>
      </c>
      <c r="J164" t="s">
        <v>2741</v>
      </c>
      <c r="L164" t="s">
        <v>2741</v>
      </c>
      <c r="P164" t="s">
        <v>125</v>
      </c>
      <c r="Q164" t="s">
        <v>267</v>
      </c>
    </row>
    <row r="165" spans="1:18">
      <c r="A165" t="s">
        <v>2742</v>
      </c>
      <c r="B165" t="s">
        <v>2159</v>
      </c>
      <c r="C165">
        <v>161</v>
      </c>
      <c r="D165" t="s">
        <v>2174</v>
      </c>
      <c r="E165" s="3" t="s">
        <v>2743</v>
      </c>
      <c r="F165" t="s">
        <v>2744</v>
      </c>
      <c r="G165" t="s">
        <v>232</v>
      </c>
      <c r="H165" t="s">
        <v>2191</v>
      </c>
      <c r="I165" t="s">
        <v>278</v>
      </c>
      <c r="J165" t="s">
        <v>233</v>
      </c>
      <c r="L165" t="s">
        <v>233</v>
      </c>
      <c r="P165" t="s">
        <v>107</v>
      </c>
      <c r="Q165" t="s">
        <v>267</v>
      </c>
    </row>
    <row r="166" spans="1:18">
      <c r="A166" t="s">
        <v>2745</v>
      </c>
      <c r="B166" t="s">
        <v>2159</v>
      </c>
      <c r="C166">
        <v>162</v>
      </c>
      <c r="D166" t="s">
        <v>2174</v>
      </c>
      <c r="E166" s="3" t="s">
        <v>2746</v>
      </c>
      <c r="F166" t="s">
        <v>2747</v>
      </c>
      <c r="G166" t="s">
        <v>232</v>
      </c>
      <c r="H166" t="s">
        <v>2195</v>
      </c>
      <c r="I166" t="s">
        <v>278</v>
      </c>
      <c r="J166" t="s">
        <v>2633</v>
      </c>
      <c r="L166" t="s">
        <v>2633</v>
      </c>
      <c r="P166" t="s">
        <v>2197</v>
      </c>
      <c r="Q166" t="s">
        <v>267</v>
      </c>
    </row>
    <row r="167" spans="1:18">
      <c r="A167" t="s">
        <v>2748</v>
      </c>
      <c r="B167" t="s">
        <v>2159</v>
      </c>
      <c r="C167">
        <v>163</v>
      </c>
      <c r="D167" t="s">
        <v>2174</v>
      </c>
      <c r="E167" s="3" t="s">
        <v>2749</v>
      </c>
      <c r="F167" t="s">
        <v>2750</v>
      </c>
      <c r="G167" t="s">
        <v>232</v>
      </c>
      <c r="H167" t="s">
        <v>243</v>
      </c>
      <c r="R167" t="s">
        <v>2017</v>
      </c>
    </row>
    <row r="168" spans="1:18">
      <c r="A168" t="s">
        <v>2751</v>
      </c>
      <c r="B168" t="s">
        <v>2159</v>
      </c>
      <c r="C168">
        <v>164</v>
      </c>
      <c r="D168" t="s">
        <v>2174</v>
      </c>
      <c r="E168" s="3" t="s">
        <v>2752</v>
      </c>
      <c r="F168" t="s">
        <v>2753</v>
      </c>
      <c r="G168" t="s">
        <v>232</v>
      </c>
      <c r="H168" t="s">
        <v>249</v>
      </c>
      <c r="R168" t="s">
        <v>2011</v>
      </c>
    </row>
    <row r="169" spans="1:18">
      <c r="A169" t="s">
        <v>2754</v>
      </c>
      <c r="B169" t="s">
        <v>2159</v>
      </c>
      <c r="C169">
        <v>165</v>
      </c>
      <c r="D169" t="s">
        <v>2174</v>
      </c>
      <c r="E169" s="3" t="s">
        <v>2755</v>
      </c>
      <c r="F169" t="s">
        <v>2756</v>
      </c>
      <c r="G169" t="s">
        <v>232</v>
      </c>
      <c r="H169" t="s">
        <v>249</v>
      </c>
      <c r="R169" t="s">
        <v>2014</v>
      </c>
    </row>
    <row r="170" spans="1:18">
      <c r="A170" t="s">
        <v>2757</v>
      </c>
      <c r="B170" t="s">
        <v>2159</v>
      </c>
      <c r="C170">
        <v>166</v>
      </c>
      <c r="D170" t="s">
        <v>2174</v>
      </c>
      <c r="E170" s="3" t="s">
        <v>2758</v>
      </c>
      <c r="F170" t="s">
        <v>2759</v>
      </c>
      <c r="G170" t="s">
        <v>232</v>
      </c>
      <c r="H170" t="s">
        <v>2177</v>
      </c>
      <c r="I170" t="s">
        <v>280</v>
      </c>
      <c r="J170" t="s">
        <v>2618</v>
      </c>
      <c r="L170" t="s">
        <v>2618</v>
      </c>
      <c r="P170" t="s">
        <v>706</v>
      </c>
      <c r="Q170" t="s">
        <v>267</v>
      </c>
    </row>
    <row r="171" spans="1:18">
      <c r="A171" t="s">
        <v>2760</v>
      </c>
      <c r="B171" t="s">
        <v>2159</v>
      </c>
      <c r="C171">
        <v>167</v>
      </c>
      <c r="D171" t="s">
        <v>2174</v>
      </c>
      <c r="E171" s="3" t="s">
        <v>2761</v>
      </c>
      <c r="F171" t="s">
        <v>2762</v>
      </c>
      <c r="G171" t="s">
        <v>232</v>
      </c>
      <c r="H171" t="s">
        <v>2182</v>
      </c>
      <c r="I171" t="s">
        <v>280</v>
      </c>
      <c r="J171" t="s">
        <v>2763</v>
      </c>
      <c r="L171" t="s">
        <v>2763</v>
      </c>
      <c r="P171" t="s">
        <v>140</v>
      </c>
      <c r="Q171" t="s">
        <v>267</v>
      </c>
    </row>
    <row r="172" spans="1:18">
      <c r="A172" t="s">
        <v>2764</v>
      </c>
      <c r="B172" t="s">
        <v>2159</v>
      </c>
      <c r="C172">
        <v>168</v>
      </c>
      <c r="D172" t="s">
        <v>2174</v>
      </c>
      <c r="E172" s="3" t="s">
        <v>2765</v>
      </c>
      <c r="F172" t="s">
        <v>2766</v>
      </c>
      <c r="G172" t="s">
        <v>232</v>
      </c>
      <c r="H172" t="s">
        <v>264</v>
      </c>
      <c r="I172" t="s">
        <v>280</v>
      </c>
      <c r="J172" t="s">
        <v>2767</v>
      </c>
      <c r="L172" t="s">
        <v>2767</v>
      </c>
      <c r="P172" t="s">
        <v>125</v>
      </c>
      <c r="Q172" t="s">
        <v>267</v>
      </c>
    </row>
    <row r="173" spans="1:18">
      <c r="A173" t="s">
        <v>2768</v>
      </c>
      <c r="B173" t="s">
        <v>2159</v>
      </c>
      <c r="C173">
        <v>169</v>
      </c>
      <c r="D173" t="s">
        <v>2174</v>
      </c>
      <c r="E173" s="3" t="s">
        <v>2769</v>
      </c>
      <c r="F173" t="s">
        <v>2770</v>
      </c>
      <c r="G173" t="s">
        <v>232</v>
      </c>
      <c r="H173" t="s">
        <v>2191</v>
      </c>
      <c r="I173" t="s">
        <v>280</v>
      </c>
      <c r="J173" t="s">
        <v>233</v>
      </c>
      <c r="L173" t="s">
        <v>233</v>
      </c>
      <c r="P173" t="s">
        <v>107</v>
      </c>
      <c r="Q173" t="s">
        <v>267</v>
      </c>
    </row>
    <row r="174" spans="1:18">
      <c r="A174" t="s">
        <v>2771</v>
      </c>
      <c r="B174" t="s">
        <v>2159</v>
      </c>
      <c r="C174">
        <v>170</v>
      </c>
      <c r="D174" t="s">
        <v>2174</v>
      </c>
      <c r="E174" s="3" t="s">
        <v>2772</v>
      </c>
      <c r="F174" t="s">
        <v>2773</v>
      </c>
      <c r="G174" t="s">
        <v>232</v>
      </c>
      <c r="H174" t="s">
        <v>2195</v>
      </c>
      <c r="I174" t="s">
        <v>280</v>
      </c>
      <c r="J174" t="s">
        <v>2774</v>
      </c>
      <c r="L174" t="s">
        <v>2774</v>
      </c>
      <c r="P174" t="s">
        <v>2197</v>
      </c>
      <c r="Q174" t="s">
        <v>267</v>
      </c>
    </row>
    <row r="175" spans="1:18">
      <c r="A175" t="s">
        <v>2775</v>
      </c>
      <c r="B175" t="s">
        <v>2159</v>
      </c>
      <c r="C175">
        <v>171</v>
      </c>
      <c r="D175" t="s">
        <v>2174</v>
      </c>
      <c r="E175" s="3" t="s">
        <v>2776</v>
      </c>
      <c r="F175" t="s">
        <v>2777</v>
      </c>
      <c r="G175" t="s">
        <v>232</v>
      </c>
      <c r="H175" t="s">
        <v>243</v>
      </c>
      <c r="R175" t="s">
        <v>2007</v>
      </c>
    </row>
    <row r="176" spans="1:18">
      <c r="A176" t="s">
        <v>2778</v>
      </c>
      <c r="B176" t="s">
        <v>2159</v>
      </c>
      <c r="C176">
        <v>172</v>
      </c>
      <c r="D176" t="s">
        <v>2174</v>
      </c>
      <c r="E176" s="3" t="s">
        <v>2779</v>
      </c>
      <c r="F176" t="s">
        <v>2780</v>
      </c>
      <c r="G176" t="s">
        <v>232</v>
      </c>
      <c r="H176" t="s">
        <v>249</v>
      </c>
      <c r="R176" t="s">
        <v>2011</v>
      </c>
    </row>
    <row r="177" spans="1:29">
      <c r="A177" t="s">
        <v>2781</v>
      </c>
      <c r="B177" t="s">
        <v>2159</v>
      </c>
      <c r="C177">
        <v>173</v>
      </c>
      <c r="D177" t="s">
        <v>2174</v>
      </c>
      <c r="E177" s="3" t="s">
        <v>2782</v>
      </c>
      <c r="F177" t="s">
        <v>2783</v>
      </c>
      <c r="G177" t="s">
        <v>232</v>
      </c>
      <c r="H177" t="s">
        <v>249</v>
      </c>
      <c r="R177" t="s">
        <v>2014</v>
      </c>
    </row>
    <row r="178" spans="1:29">
      <c r="A178" t="s">
        <v>2784</v>
      </c>
      <c r="B178" t="s">
        <v>2785</v>
      </c>
      <c r="C178">
        <v>174</v>
      </c>
      <c r="D178" t="s">
        <v>2786</v>
      </c>
      <c r="E178" s="3" t="s">
        <v>2787</v>
      </c>
    </row>
    <row r="179" spans="1:29">
      <c r="A179" t="s">
        <v>2788</v>
      </c>
      <c r="B179" t="s">
        <v>2785</v>
      </c>
      <c r="C179">
        <v>175</v>
      </c>
      <c r="D179" t="s">
        <v>2789</v>
      </c>
      <c r="E179" s="3" t="s">
        <v>376</v>
      </c>
    </row>
    <row r="180" spans="1:29">
      <c r="A180" t="s">
        <v>2790</v>
      </c>
      <c r="B180" t="s">
        <v>2785</v>
      </c>
      <c r="C180">
        <v>176</v>
      </c>
      <c r="D180" t="s">
        <v>2789</v>
      </c>
      <c r="E180" s="3" t="s">
        <v>380</v>
      </c>
    </row>
    <row r="181" spans="1:29">
      <c r="A181" t="s">
        <v>2791</v>
      </c>
      <c r="B181" t="s">
        <v>2785</v>
      </c>
      <c r="C181">
        <v>177</v>
      </c>
      <c r="D181" t="s">
        <v>2789</v>
      </c>
      <c r="E181" s="3" t="s">
        <v>383</v>
      </c>
    </row>
    <row r="182" spans="1:29" ht="27.6">
      <c r="A182" t="s">
        <v>2792</v>
      </c>
      <c r="B182" t="s">
        <v>2785</v>
      </c>
      <c r="C182">
        <v>178</v>
      </c>
      <c r="D182" t="s">
        <v>2786</v>
      </c>
      <c r="E182" s="3" t="s">
        <v>2793</v>
      </c>
    </row>
    <row r="183" spans="1:29">
      <c r="A183" t="s">
        <v>2794</v>
      </c>
      <c r="B183" t="s">
        <v>2785</v>
      </c>
      <c r="C183">
        <v>179</v>
      </c>
      <c r="D183" t="s">
        <v>2795</v>
      </c>
      <c r="E183" s="3" t="s">
        <v>2796</v>
      </c>
    </row>
    <row r="184" spans="1:29">
      <c r="A184" t="s">
        <v>2797</v>
      </c>
      <c r="B184" t="s">
        <v>2785</v>
      </c>
      <c r="C184">
        <v>180</v>
      </c>
      <c r="D184" t="s">
        <v>2798</v>
      </c>
      <c r="E184" s="3" t="s">
        <v>2799</v>
      </c>
      <c r="F184">
        <v>5107</v>
      </c>
      <c r="W184">
        <v>27.2</v>
      </c>
      <c r="X184">
        <v>81.599999999999994</v>
      </c>
      <c r="Y184">
        <v>0</v>
      </c>
      <c r="Z184">
        <v>0</v>
      </c>
      <c r="AA184">
        <v>1</v>
      </c>
      <c r="AB184" t="s">
        <v>385</v>
      </c>
      <c r="AC184">
        <v>0</v>
      </c>
    </row>
    <row r="185" spans="1:29">
      <c r="A185" t="s">
        <v>2800</v>
      </c>
      <c r="B185" t="s">
        <v>2785</v>
      </c>
      <c r="C185">
        <v>181</v>
      </c>
      <c r="D185" t="s">
        <v>2795</v>
      </c>
      <c r="E185" s="3" t="s">
        <v>2796</v>
      </c>
    </row>
    <row r="186" spans="1:29">
      <c r="A186" t="s">
        <v>2801</v>
      </c>
      <c r="B186" t="s">
        <v>2785</v>
      </c>
      <c r="C186">
        <v>182</v>
      </c>
      <c r="D186" t="s">
        <v>2798</v>
      </c>
      <c r="E186" s="3" t="s">
        <v>2802</v>
      </c>
      <c r="F186">
        <v>10128</v>
      </c>
      <c r="W186">
        <v>27.3</v>
      </c>
      <c r="X186">
        <v>82</v>
      </c>
      <c r="Y186">
        <v>0.1</v>
      </c>
      <c r="Z186">
        <v>0</v>
      </c>
      <c r="AA186">
        <v>1</v>
      </c>
      <c r="AB186" t="s">
        <v>385</v>
      </c>
      <c r="AC186">
        <v>0</v>
      </c>
    </row>
    <row r="187" spans="1:29">
      <c r="A187" t="s">
        <v>2803</v>
      </c>
      <c r="B187" t="s">
        <v>2785</v>
      </c>
      <c r="C187">
        <v>183</v>
      </c>
      <c r="D187" t="s">
        <v>2795</v>
      </c>
      <c r="E187" s="3" t="s">
        <v>2796</v>
      </c>
    </row>
    <row r="188" spans="1:29">
      <c r="A188" t="s">
        <v>2804</v>
      </c>
      <c r="B188" t="s">
        <v>2785</v>
      </c>
      <c r="C188">
        <v>184</v>
      </c>
      <c r="D188" t="s">
        <v>2798</v>
      </c>
      <c r="E188" s="3" t="s">
        <v>2805</v>
      </c>
      <c r="F188">
        <v>15147</v>
      </c>
      <c r="W188">
        <v>27.3</v>
      </c>
      <c r="X188">
        <v>82</v>
      </c>
      <c r="Y188">
        <v>0.3</v>
      </c>
      <c r="Z188">
        <v>0</v>
      </c>
      <c r="AA188">
        <v>1</v>
      </c>
      <c r="AB188" t="s">
        <v>385</v>
      </c>
      <c r="AC188">
        <v>0</v>
      </c>
    </row>
    <row r="189" spans="1:29">
      <c r="A189" t="s">
        <v>2806</v>
      </c>
      <c r="B189" t="s">
        <v>2785</v>
      </c>
      <c r="C189">
        <v>185</v>
      </c>
      <c r="D189" t="s">
        <v>2795</v>
      </c>
      <c r="E189" s="3" t="s">
        <v>2796</v>
      </c>
    </row>
    <row r="190" spans="1:29">
      <c r="A190" t="s">
        <v>2807</v>
      </c>
      <c r="B190" t="s">
        <v>2785</v>
      </c>
      <c r="C190">
        <v>186</v>
      </c>
      <c r="D190" t="s">
        <v>2798</v>
      </c>
      <c r="E190" s="3" t="s">
        <v>2808</v>
      </c>
      <c r="F190">
        <v>20167</v>
      </c>
      <c r="W190">
        <v>27.3</v>
      </c>
      <c r="X190">
        <v>82</v>
      </c>
      <c r="Y190">
        <v>0.2</v>
      </c>
      <c r="Z190">
        <v>0</v>
      </c>
      <c r="AA190">
        <v>1</v>
      </c>
      <c r="AB190" t="s">
        <v>385</v>
      </c>
      <c r="AC190">
        <v>0</v>
      </c>
    </row>
    <row r="191" spans="1:29">
      <c r="A191" t="s">
        <v>2809</v>
      </c>
      <c r="B191" t="s">
        <v>2785</v>
      </c>
      <c r="C191">
        <v>187</v>
      </c>
      <c r="D191" t="s">
        <v>2795</v>
      </c>
      <c r="E191" s="3" t="s">
        <v>2796</v>
      </c>
    </row>
    <row r="192" spans="1:29">
      <c r="A192" t="s">
        <v>2810</v>
      </c>
      <c r="B192" t="s">
        <v>2785</v>
      </c>
      <c r="C192">
        <v>188</v>
      </c>
      <c r="D192" t="s">
        <v>2798</v>
      </c>
      <c r="E192" s="3" t="s">
        <v>2811</v>
      </c>
      <c r="F192">
        <v>25188</v>
      </c>
      <c r="W192">
        <v>27.3</v>
      </c>
      <c r="X192">
        <v>82.1</v>
      </c>
      <c r="Y192">
        <v>0.4</v>
      </c>
      <c r="Z192">
        <v>0</v>
      </c>
      <c r="AA192">
        <v>1</v>
      </c>
      <c r="AB192" t="s">
        <v>385</v>
      </c>
      <c r="AC192">
        <v>0</v>
      </c>
    </row>
    <row r="193" spans="1:29">
      <c r="A193" t="s">
        <v>2812</v>
      </c>
      <c r="B193" t="s">
        <v>2785</v>
      </c>
      <c r="C193">
        <v>189</v>
      </c>
      <c r="D193" t="s">
        <v>2795</v>
      </c>
      <c r="E193" s="3" t="s">
        <v>2796</v>
      </c>
    </row>
    <row r="194" spans="1:29">
      <c r="A194" t="s">
        <v>2813</v>
      </c>
      <c r="B194" t="s">
        <v>2785</v>
      </c>
      <c r="C194">
        <v>190</v>
      </c>
      <c r="D194" t="s">
        <v>2798</v>
      </c>
      <c r="E194" s="3" t="s">
        <v>2814</v>
      </c>
      <c r="F194">
        <v>30206</v>
      </c>
      <c r="W194">
        <v>27.3</v>
      </c>
      <c r="X194">
        <v>82.1</v>
      </c>
      <c r="Y194">
        <v>0.3</v>
      </c>
      <c r="Z194">
        <v>0</v>
      </c>
      <c r="AA194">
        <v>1</v>
      </c>
      <c r="AB194" t="s">
        <v>385</v>
      </c>
      <c r="AC194">
        <v>0</v>
      </c>
    </row>
    <row r="195" spans="1:29">
      <c r="A195" t="s">
        <v>2815</v>
      </c>
      <c r="B195" t="s">
        <v>2785</v>
      </c>
      <c r="C195">
        <v>191</v>
      </c>
      <c r="D195" t="s">
        <v>2795</v>
      </c>
      <c r="E195" s="3" t="s">
        <v>2796</v>
      </c>
    </row>
    <row r="196" spans="1:29">
      <c r="A196" t="s">
        <v>2816</v>
      </c>
      <c r="B196" t="s">
        <v>2785</v>
      </c>
      <c r="C196">
        <v>192</v>
      </c>
      <c r="D196" t="s">
        <v>2798</v>
      </c>
      <c r="E196" s="3" t="s">
        <v>2817</v>
      </c>
      <c r="F196">
        <v>35227</v>
      </c>
      <c r="W196">
        <v>27.3</v>
      </c>
      <c r="X196">
        <v>82.1</v>
      </c>
      <c r="Y196">
        <v>0.5</v>
      </c>
      <c r="Z196">
        <v>0</v>
      </c>
      <c r="AA196">
        <v>1</v>
      </c>
      <c r="AB196" t="s">
        <v>385</v>
      </c>
      <c r="AC196">
        <v>0</v>
      </c>
    </row>
    <row r="197" spans="1:29">
      <c r="A197" t="s">
        <v>2818</v>
      </c>
      <c r="B197" t="s">
        <v>2785</v>
      </c>
      <c r="C197">
        <v>193</v>
      </c>
      <c r="D197" t="s">
        <v>2795</v>
      </c>
      <c r="E197" s="3" t="s">
        <v>2796</v>
      </c>
    </row>
    <row r="198" spans="1:29">
      <c r="A198" t="s">
        <v>2819</v>
      </c>
      <c r="B198" t="s">
        <v>2785</v>
      </c>
      <c r="C198">
        <v>194</v>
      </c>
      <c r="D198" t="s">
        <v>2798</v>
      </c>
      <c r="E198" s="3" t="s">
        <v>2820</v>
      </c>
      <c r="F198">
        <v>40246</v>
      </c>
      <c r="W198">
        <v>27.3</v>
      </c>
      <c r="X198">
        <v>82.3</v>
      </c>
      <c r="Y198">
        <v>0.5</v>
      </c>
      <c r="Z198">
        <v>0</v>
      </c>
      <c r="AA198">
        <v>1</v>
      </c>
      <c r="AB198" t="s">
        <v>385</v>
      </c>
      <c r="AC198">
        <v>0</v>
      </c>
    </row>
    <row r="199" spans="1:29">
      <c r="A199" t="s">
        <v>2821</v>
      </c>
      <c r="B199" t="s">
        <v>2785</v>
      </c>
      <c r="C199">
        <v>195</v>
      </c>
      <c r="D199" t="s">
        <v>2795</v>
      </c>
      <c r="E199" s="3" t="s">
        <v>2796</v>
      </c>
    </row>
    <row r="200" spans="1:29">
      <c r="A200" t="s">
        <v>2822</v>
      </c>
      <c r="B200" t="s">
        <v>2785</v>
      </c>
      <c r="C200">
        <v>196</v>
      </c>
      <c r="D200" t="s">
        <v>2798</v>
      </c>
      <c r="E200" s="3" t="s">
        <v>2823</v>
      </c>
      <c r="F200">
        <v>45264</v>
      </c>
      <c r="W200">
        <v>27.3</v>
      </c>
      <c r="X200">
        <v>82.1</v>
      </c>
      <c r="Y200">
        <v>0.5</v>
      </c>
      <c r="Z200">
        <v>0</v>
      </c>
      <c r="AA200">
        <v>1</v>
      </c>
      <c r="AB200" t="s">
        <v>385</v>
      </c>
      <c r="AC200">
        <v>0</v>
      </c>
    </row>
    <row r="201" spans="1:29">
      <c r="A201" t="s">
        <v>2824</v>
      </c>
      <c r="B201" t="s">
        <v>2785</v>
      </c>
      <c r="C201">
        <v>197</v>
      </c>
      <c r="D201" t="s">
        <v>2795</v>
      </c>
      <c r="E201" s="3" t="s">
        <v>2796</v>
      </c>
    </row>
    <row r="202" spans="1:29">
      <c r="A202" t="s">
        <v>2825</v>
      </c>
      <c r="B202" t="s">
        <v>2785</v>
      </c>
      <c r="C202">
        <v>198</v>
      </c>
      <c r="D202" t="s">
        <v>2798</v>
      </c>
      <c r="E202" s="3" t="s">
        <v>2826</v>
      </c>
      <c r="F202">
        <v>50285</v>
      </c>
      <c r="W202">
        <v>27.3</v>
      </c>
      <c r="X202">
        <v>82</v>
      </c>
      <c r="Y202">
        <v>0.5</v>
      </c>
      <c r="Z202">
        <v>0</v>
      </c>
      <c r="AA202">
        <v>1</v>
      </c>
      <c r="AB202" t="s">
        <v>385</v>
      </c>
      <c r="AC202">
        <v>0</v>
      </c>
    </row>
    <row r="203" spans="1:29">
      <c r="A203" t="s">
        <v>2827</v>
      </c>
      <c r="B203" t="s">
        <v>2785</v>
      </c>
      <c r="C203">
        <v>199</v>
      </c>
      <c r="D203" t="s">
        <v>2795</v>
      </c>
      <c r="E203" s="3" t="s">
        <v>2796</v>
      </c>
    </row>
    <row r="204" spans="1:29">
      <c r="A204" t="s">
        <v>2828</v>
      </c>
      <c r="B204" t="s">
        <v>2785</v>
      </c>
      <c r="C204">
        <v>200</v>
      </c>
      <c r="D204" t="s">
        <v>2798</v>
      </c>
      <c r="E204" s="3" t="s">
        <v>2829</v>
      </c>
      <c r="F204">
        <v>55304</v>
      </c>
      <c r="W204">
        <v>27.3</v>
      </c>
      <c r="X204">
        <v>81.599999999999994</v>
      </c>
      <c r="Y204">
        <v>0.4</v>
      </c>
      <c r="Z204">
        <v>0</v>
      </c>
      <c r="AA204">
        <v>1</v>
      </c>
      <c r="AB204" t="s">
        <v>385</v>
      </c>
      <c r="AC204">
        <v>0</v>
      </c>
    </row>
    <row r="205" spans="1:29">
      <c r="A205" t="s">
        <v>2830</v>
      </c>
      <c r="B205" t="s">
        <v>2785</v>
      </c>
      <c r="C205">
        <v>201</v>
      </c>
      <c r="D205" t="s">
        <v>2795</v>
      </c>
      <c r="E205" s="3" t="s">
        <v>2796</v>
      </c>
    </row>
    <row r="206" spans="1:29">
      <c r="A206" t="s">
        <v>2831</v>
      </c>
      <c r="B206" t="s">
        <v>2785</v>
      </c>
      <c r="C206">
        <v>202</v>
      </c>
      <c r="D206" t="s">
        <v>2798</v>
      </c>
      <c r="E206" s="3" t="s">
        <v>2832</v>
      </c>
      <c r="F206">
        <v>60324</v>
      </c>
      <c r="W206">
        <v>27.3</v>
      </c>
      <c r="X206">
        <v>81.3</v>
      </c>
      <c r="Y206">
        <v>0.4</v>
      </c>
      <c r="Z206">
        <v>0</v>
      </c>
      <c r="AA206">
        <v>1</v>
      </c>
      <c r="AB206" t="s">
        <v>385</v>
      </c>
      <c r="AC206">
        <v>0</v>
      </c>
    </row>
    <row r="207" spans="1:29">
      <c r="A207" t="s">
        <v>2833</v>
      </c>
      <c r="B207" t="s">
        <v>2785</v>
      </c>
      <c r="C207">
        <v>203</v>
      </c>
      <c r="D207" t="s">
        <v>2795</v>
      </c>
      <c r="E207" s="3" t="s">
        <v>2796</v>
      </c>
    </row>
    <row r="208" spans="1:29">
      <c r="A208" t="s">
        <v>2834</v>
      </c>
      <c r="B208" t="s">
        <v>2785</v>
      </c>
      <c r="C208">
        <v>204</v>
      </c>
      <c r="D208" t="s">
        <v>2798</v>
      </c>
      <c r="E208" s="3" t="s">
        <v>2835</v>
      </c>
      <c r="F208">
        <v>65343</v>
      </c>
      <c r="W208">
        <v>27.3</v>
      </c>
      <c r="X208">
        <v>81.099999999999994</v>
      </c>
      <c r="Y208">
        <v>0.2</v>
      </c>
      <c r="Z208">
        <v>0</v>
      </c>
      <c r="AA208">
        <v>1</v>
      </c>
      <c r="AB208" t="s">
        <v>385</v>
      </c>
      <c r="AC208">
        <v>0</v>
      </c>
    </row>
    <row r="209" spans="1:29">
      <c r="A209" t="s">
        <v>2836</v>
      </c>
      <c r="B209" t="s">
        <v>2785</v>
      </c>
      <c r="C209">
        <v>205</v>
      </c>
      <c r="D209" t="s">
        <v>2795</v>
      </c>
      <c r="E209" s="3" t="s">
        <v>2796</v>
      </c>
    </row>
    <row r="210" spans="1:29">
      <c r="A210" t="s">
        <v>2837</v>
      </c>
      <c r="B210" t="s">
        <v>2785</v>
      </c>
      <c r="C210">
        <v>206</v>
      </c>
      <c r="D210" t="s">
        <v>2798</v>
      </c>
      <c r="E210" s="3" t="s">
        <v>2838</v>
      </c>
      <c r="F210">
        <v>70362</v>
      </c>
      <c r="W210">
        <v>27.3</v>
      </c>
      <c r="X210">
        <v>81.099999999999994</v>
      </c>
      <c r="Y210">
        <v>0.7</v>
      </c>
      <c r="Z210">
        <v>0</v>
      </c>
      <c r="AA210">
        <v>1</v>
      </c>
      <c r="AB210" t="s">
        <v>385</v>
      </c>
      <c r="AC210">
        <v>0</v>
      </c>
    </row>
    <row r="211" spans="1:29">
      <c r="A211" t="s">
        <v>2839</v>
      </c>
      <c r="B211" t="s">
        <v>2785</v>
      </c>
      <c r="C211">
        <v>207</v>
      </c>
      <c r="D211" t="s">
        <v>2795</v>
      </c>
      <c r="E211" s="3" t="s">
        <v>2796</v>
      </c>
    </row>
    <row r="212" spans="1:29">
      <c r="A212" t="s">
        <v>2840</v>
      </c>
      <c r="B212" t="s">
        <v>2785</v>
      </c>
      <c r="C212">
        <v>208</v>
      </c>
      <c r="D212" t="s">
        <v>2798</v>
      </c>
      <c r="E212" s="3" t="s">
        <v>2841</v>
      </c>
      <c r="F212">
        <v>75382</v>
      </c>
      <c r="W212">
        <v>27.3</v>
      </c>
      <c r="X212">
        <v>81.3</v>
      </c>
      <c r="Y212">
        <v>0.3</v>
      </c>
      <c r="Z212">
        <v>0</v>
      </c>
      <c r="AA212">
        <v>1</v>
      </c>
      <c r="AB212" t="s">
        <v>385</v>
      </c>
      <c r="AC212">
        <v>0</v>
      </c>
    </row>
    <row r="213" spans="1:29">
      <c r="A213" t="s">
        <v>2842</v>
      </c>
      <c r="B213" t="s">
        <v>2785</v>
      </c>
      <c r="C213">
        <v>209</v>
      </c>
      <c r="D213" t="s">
        <v>2795</v>
      </c>
      <c r="E213" s="3" t="s">
        <v>2796</v>
      </c>
    </row>
    <row r="214" spans="1:29">
      <c r="A214" t="s">
        <v>2843</v>
      </c>
      <c r="B214" t="s">
        <v>2785</v>
      </c>
      <c r="C214">
        <v>210</v>
      </c>
      <c r="D214" t="s">
        <v>2798</v>
      </c>
      <c r="E214" s="3" t="s">
        <v>2844</v>
      </c>
      <c r="F214">
        <v>80401</v>
      </c>
      <c r="W214">
        <v>27.3</v>
      </c>
      <c r="X214">
        <v>81.099999999999994</v>
      </c>
      <c r="Y214">
        <v>0.2</v>
      </c>
      <c r="Z214">
        <v>0</v>
      </c>
      <c r="AA214">
        <v>1</v>
      </c>
      <c r="AB214" t="s">
        <v>385</v>
      </c>
      <c r="AC214">
        <v>0</v>
      </c>
    </row>
    <row r="215" spans="1:29">
      <c r="A215" t="s">
        <v>2845</v>
      </c>
      <c r="B215" t="s">
        <v>2785</v>
      </c>
      <c r="C215">
        <v>211</v>
      </c>
      <c r="D215" t="s">
        <v>2795</v>
      </c>
      <c r="E215" s="3" t="s">
        <v>2796</v>
      </c>
    </row>
    <row r="216" spans="1:29">
      <c r="A216" t="s">
        <v>2846</v>
      </c>
      <c r="B216" t="s">
        <v>2785</v>
      </c>
      <c r="C216">
        <v>212</v>
      </c>
      <c r="D216" t="s">
        <v>2798</v>
      </c>
      <c r="E216" s="3" t="s">
        <v>2847</v>
      </c>
      <c r="F216">
        <v>85421</v>
      </c>
      <c r="W216">
        <v>27.3</v>
      </c>
      <c r="X216">
        <v>81</v>
      </c>
      <c r="Y216">
        <v>0</v>
      </c>
      <c r="Z216">
        <v>0</v>
      </c>
      <c r="AA216">
        <v>1</v>
      </c>
      <c r="AB216" t="s">
        <v>385</v>
      </c>
      <c r="AC216">
        <v>0</v>
      </c>
    </row>
    <row r="217" spans="1:29">
      <c r="A217" t="s">
        <v>2848</v>
      </c>
      <c r="B217" t="s">
        <v>2785</v>
      </c>
      <c r="C217">
        <v>213</v>
      </c>
      <c r="D217" t="s">
        <v>2795</v>
      </c>
      <c r="E217" s="3" t="s">
        <v>2796</v>
      </c>
    </row>
    <row r="218" spans="1:29">
      <c r="A218" t="s">
        <v>2849</v>
      </c>
      <c r="B218" t="s">
        <v>2785</v>
      </c>
      <c r="C218">
        <v>214</v>
      </c>
      <c r="D218" t="s">
        <v>2798</v>
      </c>
      <c r="E218" s="3" t="s">
        <v>2850</v>
      </c>
      <c r="F218">
        <v>90439</v>
      </c>
      <c r="W218">
        <v>27.3</v>
      </c>
      <c r="X218">
        <v>81</v>
      </c>
      <c r="Y218">
        <v>0.2</v>
      </c>
      <c r="Z218">
        <v>0</v>
      </c>
      <c r="AA218">
        <v>1</v>
      </c>
      <c r="AB218" t="s">
        <v>385</v>
      </c>
      <c r="AC218">
        <v>0</v>
      </c>
    </row>
    <row r="219" spans="1:29">
      <c r="A219" t="s">
        <v>2851</v>
      </c>
      <c r="B219" t="s">
        <v>2785</v>
      </c>
      <c r="C219">
        <v>215</v>
      </c>
      <c r="D219" t="s">
        <v>2795</v>
      </c>
      <c r="E219" s="3" t="s">
        <v>2796</v>
      </c>
    </row>
    <row r="220" spans="1:29">
      <c r="A220" t="s">
        <v>2852</v>
      </c>
      <c r="B220" t="s">
        <v>2785</v>
      </c>
      <c r="C220">
        <v>216</v>
      </c>
      <c r="D220" t="s">
        <v>2798</v>
      </c>
      <c r="E220" s="3" t="s">
        <v>2853</v>
      </c>
      <c r="F220">
        <v>95458</v>
      </c>
      <c r="W220">
        <v>27.3</v>
      </c>
      <c r="X220">
        <v>80.8</v>
      </c>
      <c r="Y220">
        <v>0.2</v>
      </c>
      <c r="Z220">
        <v>0</v>
      </c>
      <c r="AA220">
        <v>1</v>
      </c>
      <c r="AB220" t="s">
        <v>385</v>
      </c>
      <c r="AC220">
        <v>0</v>
      </c>
    </row>
    <row r="221" spans="1:29">
      <c r="A221" t="s">
        <v>2854</v>
      </c>
      <c r="B221" t="s">
        <v>2785</v>
      </c>
      <c r="C221">
        <v>217</v>
      </c>
      <c r="D221" t="s">
        <v>2795</v>
      </c>
      <c r="E221" s="3" t="s">
        <v>2796</v>
      </c>
    </row>
    <row r="222" spans="1:29">
      <c r="A222" t="s">
        <v>2855</v>
      </c>
      <c r="B222" t="s">
        <v>2785</v>
      </c>
      <c r="C222">
        <v>218</v>
      </c>
      <c r="D222" t="s">
        <v>2798</v>
      </c>
      <c r="E222" s="3" t="s">
        <v>2856</v>
      </c>
      <c r="F222">
        <v>100478</v>
      </c>
      <c r="W222">
        <v>27.3</v>
      </c>
      <c r="X222">
        <v>80.8</v>
      </c>
      <c r="Y222">
        <v>0.1</v>
      </c>
      <c r="Z222">
        <v>0</v>
      </c>
      <c r="AA222">
        <v>1</v>
      </c>
      <c r="AB222" t="s">
        <v>385</v>
      </c>
      <c r="AC222">
        <v>0</v>
      </c>
    </row>
    <row r="223" spans="1:29">
      <c r="A223" t="s">
        <v>2857</v>
      </c>
      <c r="B223" t="s">
        <v>2785</v>
      </c>
      <c r="C223">
        <v>219</v>
      </c>
      <c r="D223" t="s">
        <v>2795</v>
      </c>
      <c r="E223" s="3" t="s">
        <v>2796</v>
      </c>
    </row>
    <row r="224" spans="1:29">
      <c r="A224" t="s">
        <v>2858</v>
      </c>
      <c r="B224" t="s">
        <v>2785</v>
      </c>
      <c r="C224">
        <v>220</v>
      </c>
      <c r="D224" t="s">
        <v>2798</v>
      </c>
      <c r="E224" s="3" t="s">
        <v>2859</v>
      </c>
      <c r="F224">
        <v>105498</v>
      </c>
      <c r="W224">
        <v>27.3</v>
      </c>
      <c r="X224">
        <v>80.7</v>
      </c>
      <c r="Y224">
        <v>0</v>
      </c>
      <c r="Z224">
        <v>0</v>
      </c>
      <c r="AA224">
        <v>1</v>
      </c>
      <c r="AB224" t="s">
        <v>385</v>
      </c>
      <c r="AC224">
        <v>0</v>
      </c>
    </row>
    <row r="225" spans="1:29">
      <c r="A225" t="s">
        <v>2860</v>
      </c>
      <c r="B225" t="s">
        <v>2785</v>
      </c>
      <c r="C225">
        <v>221</v>
      </c>
      <c r="D225" t="s">
        <v>2795</v>
      </c>
      <c r="E225" s="3" t="s">
        <v>2796</v>
      </c>
    </row>
    <row r="226" spans="1:29">
      <c r="A226" t="s">
        <v>2861</v>
      </c>
      <c r="B226" t="s">
        <v>2785</v>
      </c>
      <c r="C226">
        <v>222</v>
      </c>
      <c r="D226" t="s">
        <v>2798</v>
      </c>
      <c r="E226" s="3" t="s">
        <v>2862</v>
      </c>
      <c r="F226">
        <v>110517</v>
      </c>
      <c r="W226">
        <v>27.3</v>
      </c>
      <c r="X226">
        <v>80.5</v>
      </c>
      <c r="Y226">
        <v>0.1</v>
      </c>
      <c r="Z226">
        <v>0</v>
      </c>
      <c r="AA226">
        <v>1</v>
      </c>
      <c r="AB226" t="s">
        <v>385</v>
      </c>
      <c r="AC226">
        <v>0</v>
      </c>
    </row>
    <row r="227" spans="1:29">
      <c r="A227" t="s">
        <v>2863</v>
      </c>
      <c r="B227" t="s">
        <v>2785</v>
      </c>
      <c r="C227">
        <v>223</v>
      </c>
      <c r="D227" t="s">
        <v>2795</v>
      </c>
      <c r="E227" s="3" t="s">
        <v>2796</v>
      </c>
    </row>
    <row r="228" spans="1:29">
      <c r="A228" t="s">
        <v>2864</v>
      </c>
      <c r="B228" t="s">
        <v>2785</v>
      </c>
      <c r="C228">
        <v>224</v>
      </c>
      <c r="D228" t="s">
        <v>2798</v>
      </c>
      <c r="E228" s="3" t="s">
        <v>2865</v>
      </c>
      <c r="F228">
        <v>115535</v>
      </c>
      <c r="W228">
        <v>27.3</v>
      </c>
      <c r="X228">
        <v>80.400000000000006</v>
      </c>
      <c r="Y228">
        <v>-0.1</v>
      </c>
      <c r="Z228">
        <v>0</v>
      </c>
      <c r="AA228">
        <v>1</v>
      </c>
      <c r="AB228" t="s">
        <v>385</v>
      </c>
      <c r="AC228">
        <v>0</v>
      </c>
    </row>
    <row r="229" spans="1:29">
      <c r="A229" t="s">
        <v>2866</v>
      </c>
      <c r="B229" t="s">
        <v>2785</v>
      </c>
      <c r="C229">
        <v>225</v>
      </c>
      <c r="D229" t="s">
        <v>2795</v>
      </c>
      <c r="E229" s="3" t="s">
        <v>2796</v>
      </c>
    </row>
    <row r="230" spans="1:29">
      <c r="A230" t="s">
        <v>2867</v>
      </c>
      <c r="B230" t="s">
        <v>2785</v>
      </c>
      <c r="C230">
        <v>226</v>
      </c>
      <c r="D230" t="s">
        <v>2798</v>
      </c>
      <c r="E230" s="3" t="s">
        <v>2868</v>
      </c>
      <c r="F230">
        <v>120556</v>
      </c>
      <c r="W230">
        <v>27.3</v>
      </c>
      <c r="X230">
        <v>80.400000000000006</v>
      </c>
      <c r="Y230">
        <v>0.2</v>
      </c>
      <c r="Z230">
        <v>0</v>
      </c>
      <c r="AA230">
        <v>1</v>
      </c>
      <c r="AB230" t="s">
        <v>385</v>
      </c>
      <c r="AC230">
        <v>0</v>
      </c>
    </row>
    <row r="231" spans="1:29">
      <c r="A231" t="s">
        <v>2869</v>
      </c>
      <c r="B231" t="s">
        <v>2785</v>
      </c>
      <c r="C231">
        <v>227</v>
      </c>
      <c r="D231" t="s">
        <v>2795</v>
      </c>
      <c r="E231" s="3" t="s">
        <v>2796</v>
      </c>
    </row>
    <row r="232" spans="1:29">
      <c r="A232" t="s">
        <v>2870</v>
      </c>
      <c r="B232" t="s">
        <v>2785</v>
      </c>
      <c r="C232">
        <v>228</v>
      </c>
      <c r="D232" t="s">
        <v>2798</v>
      </c>
      <c r="E232" s="3" t="s">
        <v>2871</v>
      </c>
      <c r="F232">
        <v>125575</v>
      </c>
      <c r="W232">
        <v>27.3</v>
      </c>
      <c r="X232">
        <v>80.5</v>
      </c>
      <c r="Y232">
        <v>0</v>
      </c>
      <c r="Z232">
        <v>0</v>
      </c>
      <c r="AA232">
        <v>1</v>
      </c>
      <c r="AB232" t="s">
        <v>385</v>
      </c>
      <c r="AC232">
        <v>0</v>
      </c>
    </row>
    <row r="233" spans="1:29">
      <c r="A233" t="s">
        <v>2872</v>
      </c>
      <c r="B233" t="s">
        <v>2785</v>
      </c>
      <c r="C233">
        <v>229</v>
      </c>
      <c r="D233" t="s">
        <v>2795</v>
      </c>
      <c r="E233" s="3" t="s">
        <v>2796</v>
      </c>
    </row>
    <row r="234" spans="1:29">
      <c r="A234" t="s">
        <v>2873</v>
      </c>
      <c r="B234" t="s">
        <v>2785</v>
      </c>
      <c r="C234">
        <v>230</v>
      </c>
      <c r="D234" t="s">
        <v>2798</v>
      </c>
      <c r="E234" s="3" t="s">
        <v>2874</v>
      </c>
      <c r="F234">
        <v>130595</v>
      </c>
      <c r="W234">
        <v>27.3</v>
      </c>
      <c r="X234">
        <v>80.8</v>
      </c>
      <c r="Y234">
        <v>0.1</v>
      </c>
      <c r="Z234">
        <v>0</v>
      </c>
      <c r="AA234">
        <v>1</v>
      </c>
      <c r="AB234" t="s">
        <v>385</v>
      </c>
      <c r="AC234">
        <v>0</v>
      </c>
    </row>
    <row r="235" spans="1:29">
      <c r="A235" t="s">
        <v>2875</v>
      </c>
      <c r="B235" t="s">
        <v>2785</v>
      </c>
      <c r="C235">
        <v>231</v>
      </c>
      <c r="D235" t="s">
        <v>2795</v>
      </c>
      <c r="E235" s="3" t="s">
        <v>2796</v>
      </c>
    </row>
    <row r="236" spans="1:29">
      <c r="A236" t="s">
        <v>2876</v>
      </c>
      <c r="B236" t="s">
        <v>2785</v>
      </c>
      <c r="C236">
        <v>232</v>
      </c>
      <c r="D236" t="s">
        <v>2798</v>
      </c>
      <c r="E236" s="3" t="s">
        <v>2877</v>
      </c>
      <c r="F236">
        <v>135614</v>
      </c>
      <c r="W236">
        <v>27.3</v>
      </c>
      <c r="X236">
        <v>80.8</v>
      </c>
      <c r="Y236">
        <v>0.1</v>
      </c>
      <c r="Z236">
        <v>0</v>
      </c>
      <c r="AA236">
        <v>1</v>
      </c>
      <c r="AB236" t="s">
        <v>385</v>
      </c>
      <c r="AC236">
        <v>0</v>
      </c>
    </row>
    <row r="237" spans="1:29">
      <c r="A237" t="s">
        <v>2878</v>
      </c>
      <c r="B237" t="s">
        <v>2785</v>
      </c>
      <c r="C237">
        <v>233</v>
      </c>
      <c r="D237" t="s">
        <v>2795</v>
      </c>
      <c r="E237" s="3" t="s">
        <v>2796</v>
      </c>
    </row>
    <row r="238" spans="1:29">
      <c r="A238" t="s">
        <v>2879</v>
      </c>
      <c r="B238" t="s">
        <v>2785</v>
      </c>
      <c r="C238">
        <v>234</v>
      </c>
      <c r="D238" t="s">
        <v>2798</v>
      </c>
      <c r="E238" s="3" t="s">
        <v>2880</v>
      </c>
      <c r="F238">
        <v>140634</v>
      </c>
      <c r="W238">
        <v>27.3</v>
      </c>
      <c r="X238">
        <v>80.900000000000006</v>
      </c>
      <c r="Y238">
        <v>0</v>
      </c>
      <c r="Z238">
        <v>0</v>
      </c>
      <c r="AA238">
        <v>1</v>
      </c>
      <c r="AB238" t="s">
        <v>385</v>
      </c>
      <c r="AC238">
        <v>0</v>
      </c>
    </row>
    <row r="239" spans="1:29">
      <c r="A239" t="s">
        <v>2881</v>
      </c>
      <c r="B239" t="s">
        <v>2785</v>
      </c>
      <c r="C239">
        <v>235</v>
      </c>
      <c r="D239" t="s">
        <v>2795</v>
      </c>
      <c r="E239" s="3" t="s">
        <v>2796</v>
      </c>
    </row>
    <row r="240" spans="1:29">
      <c r="A240" t="s">
        <v>2882</v>
      </c>
      <c r="B240" t="s">
        <v>2785</v>
      </c>
      <c r="C240">
        <v>236</v>
      </c>
      <c r="D240" t="s">
        <v>2798</v>
      </c>
      <c r="E240" s="3" t="s">
        <v>2883</v>
      </c>
      <c r="F240">
        <v>145653</v>
      </c>
      <c r="W240">
        <v>27.3</v>
      </c>
      <c r="X240">
        <v>80.900000000000006</v>
      </c>
      <c r="Y240">
        <v>0.4</v>
      </c>
      <c r="Z240">
        <v>0</v>
      </c>
      <c r="AA240">
        <v>1</v>
      </c>
      <c r="AB240" t="s">
        <v>385</v>
      </c>
      <c r="AC240">
        <v>0</v>
      </c>
    </row>
    <row r="241" spans="1:29">
      <c r="A241" t="s">
        <v>2884</v>
      </c>
      <c r="B241" t="s">
        <v>2785</v>
      </c>
      <c r="C241">
        <v>237</v>
      </c>
      <c r="D241" t="s">
        <v>2795</v>
      </c>
      <c r="E241" s="3" t="s">
        <v>2796</v>
      </c>
    </row>
    <row r="242" spans="1:29">
      <c r="A242" t="s">
        <v>2885</v>
      </c>
      <c r="B242" t="s">
        <v>2785</v>
      </c>
      <c r="C242">
        <v>238</v>
      </c>
      <c r="D242" t="s">
        <v>2798</v>
      </c>
      <c r="E242" s="3" t="s">
        <v>2886</v>
      </c>
      <c r="F242">
        <v>150670</v>
      </c>
      <c r="W242">
        <v>27.3</v>
      </c>
      <c r="X242">
        <v>80.900000000000006</v>
      </c>
      <c r="Y242">
        <v>0</v>
      </c>
      <c r="Z242">
        <v>0</v>
      </c>
      <c r="AA242">
        <v>1</v>
      </c>
      <c r="AB242" t="s">
        <v>385</v>
      </c>
      <c r="AC242">
        <v>0</v>
      </c>
    </row>
    <row r="243" spans="1:29">
      <c r="A243" t="s">
        <v>2887</v>
      </c>
      <c r="B243" t="s">
        <v>2785</v>
      </c>
      <c r="C243">
        <v>239</v>
      </c>
      <c r="D243" t="s">
        <v>2795</v>
      </c>
      <c r="E243" s="3" t="s">
        <v>2796</v>
      </c>
    </row>
    <row r="244" spans="1:29">
      <c r="A244" t="s">
        <v>2888</v>
      </c>
      <c r="B244" t="s">
        <v>2785</v>
      </c>
      <c r="C244">
        <v>240</v>
      </c>
      <c r="D244" t="s">
        <v>2798</v>
      </c>
      <c r="E244" s="3" t="s">
        <v>2889</v>
      </c>
      <c r="F244">
        <v>155687</v>
      </c>
      <c r="W244">
        <v>27.3</v>
      </c>
      <c r="X244">
        <v>80.900000000000006</v>
      </c>
      <c r="Y244">
        <v>-0.3</v>
      </c>
      <c r="Z244">
        <v>0</v>
      </c>
      <c r="AA244">
        <v>1</v>
      </c>
      <c r="AB244" t="s">
        <v>385</v>
      </c>
      <c r="AC244">
        <v>0</v>
      </c>
    </row>
    <row r="245" spans="1:29">
      <c r="A245" t="s">
        <v>2890</v>
      </c>
      <c r="B245" t="s">
        <v>2785</v>
      </c>
      <c r="C245">
        <v>241</v>
      </c>
      <c r="D245" t="s">
        <v>2795</v>
      </c>
      <c r="E245" s="3" t="s">
        <v>2796</v>
      </c>
    </row>
    <row r="246" spans="1:29">
      <c r="A246" t="s">
        <v>2891</v>
      </c>
      <c r="B246" t="s">
        <v>2785</v>
      </c>
      <c r="C246">
        <v>242</v>
      </c>
      <c r="D246" t="s">
        <v>2798</v>
      </c>
      <c r="E246" s="3" t="s">
        <v>2892</v>
      </c>
      <c r="F246">
        <v>160705</v>
      </c>
      <c r="W246">
        <v>27.3</v>
      </c>
      <c r="X246">
        <v>80.8</v>
      </c>
      <c r="Y246">
        <v>-0.3</v>
      </c>
      <c r="Z246">
        <v>0</v>
      </c>
      <c r="AA246">
        <v>1</v>
      </c>
      <c r="AB246" t="s">
        <v>385</v>
      </c>
      <c r="AC246">
        <v>0</v>
      </c>
    </row>
    <row r="247" spans="1:29">
      <c r="A247" t="s">
        <v>2893</v>
      </c>
      <c r="B247" t="s">
        <v>2785</v>
      </c>
      <c r="C247">
        <v>243</v>
      </c>
      <c r="D247" t="s">
        <v>2795</v>
      </c>
      <c r="E247" s="3" t="s">
        <v>2796</v>
      </c>
    </row>
    <row r="248" spans="1:29">
      <c r="A248" t="s">
        <v>2894</v>
      </c>
      <c r="B248" t="s">
        <v>2785</v>
      </c>
      <c r="C248">
        <v>244</v>
      </c>
      <c r="D248" t="s">
        <v>2798</v>
      </c>
      <c r="E248" s="3" t="s">
        <v>2895</v>
      </c>
      <c r="F248">
        <v>165724</v>
      </c>
      <c r="W248">
        <v>27.3</v>
      </c>
      <c r="X248">
        <v>80.8</v>
      </c>
      <c r="Y248">
        <v>-0.2</v>
      </c>
      <c r="Z248">
        <v>0</v>
      </c>
      <c r="AA248">
        <v>1</v>
      </c>
      <c r="AB248" t="s">
        <v>385</v>
      </c>
      <c r="AC248">
        <v>0</v>
      </c>
    </row>
    <row r="249" spans="1:29">
      <c r="A249" t="s">
        <v>2896</v>
      </c>
      <c r="B249" t="s">
        <v>2785</v>
      </c>
      <c r="C249">
        <v>245</v>
      </c>
      <c r="D249" t="s">
        <v>2795</v>
      </c>
      <c r="E249" s="3" t="s">
        <v>2796</v>
      </c>
    </row>
    <row r="250" spans="1:29">
      <c r="A250" t="s">
        <v>2897</v>
      </c>
      <c r="B250" t="s">
        <v>2785</v>
      </c>
      <c r="C250">
        <v>246</v>
      </c>
      <c r="D250" t="s">
        <v>2798</v>
      </c>
      <c r="E250" s="3" t="s">
        <v>2898</v>
      </c>
      <c r="F250">
        <v>170741</v>
      </c>
      <c r="W250">
        <v>27.3</v>
      </c>
      <c r="X250">
        <v>80.900000000000006</v>
      </c>
      <c r="Y250">
        <v>-0.1</v>
      </c>
      <c r="Z250">
        <v>0</v>
      </c>
      <c r="AA250">
        <v>1</v>
      </c>
      <c r="AB250" t="s">
        <v>385</v>
      </c>
      <c r="AC250">
        <v>0</v>
      </c>
    </row>
    <row r="251" spans="1:29">
      <c r="A251" t="s">
        <v>2899</v>
      </c>
      <c r="B251" t="s">
        <v>2785</v>
      </c>
      <c r="C251">
        <v>247</v>
      </c>
      <c r="D251" t="s">
        <v>2795</v>
      </c>
      <c r="E251" s="3" t="s">
        <v>2796</v>
      </c>
    </row>
    <row r="252" spans="1:29">
      <c r="A252" t="s">
        <v>2900</v>
      </c>
      <c r="B252" t="s">
        <v>2785</v>
      </c>
      <c r="C252">
        <v>248</v>
      </c>
      <c r="D252" t="s">
        <v>2798</v>
      </c>
      <c r="E252" s="3" t="s">
        <v>2901</v>
      </c>
      <c r="F252">
        <v>175761</v>
      </c>
      <c r="W252">
        <v>27.3</v>
      </c>
      <c r="X252">
        <v>80.900000000000006</v>
      </c>
      <c r="Y252">
        <v>-0.1</v>
      </c>
      <c r="Z252">
        <v>0</v>
      </c>
      <c r="AA252">
        <v>1</v>
      </c>
      <c r="AB252" t="s">
        <v>385</v>
      </c>
      <c r="AC252">
        <v>0</v>
      </c>
    </row>
    <row r="253" spans="1:29">
      <c r="A253" t="s">
        <v>2902</v>
      </c>
      <c r="B253" t="s">
        <v>2785</v>
      </c>
      <c r="C253">
        <v>249</v>
      </c>
      <c r="D253" t="s">
        <v>2795</v>
      </c>
      <c r="E253" s="3" t="s">
        <v>2796</v>
      </c>
    </row>
    <row r="254" spans="1:29">
      <c r="A254" t="s">
        <v>2903</v>
      </c>
      <c r="B254" t="s">
        <v>2785</v>
      </c>
      <c r="C254">
        <v>250</v>
      </c>
      <c r="D254" t="s">
        <v>2798</v>
      </c>
      <c r="E254" s="3" t="s">
        <v>2904</v>
      </c>
      <c r="F254">
        <v>180779</v>
      </c>
      <c r="W254">
        <v>27.3</v>
      </c>
      <c r="X254">
        <v>80.8</v>
      </c>
      <c r="Y254">
        <v>-0.2</v>
      </c>
      <c r="Z254">
        <v>0</v>
      </c>
      <c r="AA254">
        <v>1</v>
      </c>
      <c r="AB254" t="s">
        <v>385</v>
      </c>
      <c r="AC254">
        <v>0</v>
      </c>
    </row>
    <row r="255" spans="1:29">
      <c r="A255" t="s">
        <v>2905</v>
      </c>
      <c r="B255" t="s">
        <v>2785</v>
      </c>
      <c r="C255">
        <v>251</v>
      </c>
      <c r="D255" t="s">
        <v>2795</v>
      </c>
      <c r="E255" s="3" t="s">
        <v>2796</v>
      </c>
    </row>
    <row r="256" spans="1:29">
      <c r="A256" t="s">
        <v>2906</v>
      </c>
      <c r="B256" t="s">
        <v>2785</v>
      </c>
      <c r="C256">
        <v>252</v>
      </c>
      <c r="D256" t="s">
        <v>2798</v>
      </c>
      <c r="E256" s="3" t="s">
        <v>2907</v>
      </c>
      <c r="F256">
        <v>185798</v>
      </c>
      <c r="W256">
        <v>27.3</v>
      </c>
      <c r="X256">
        <v>80.8</v>
      </c>
      <c r="Y256">
        <v>-0.1</v>
      </c>
      <c r="Z256">
        <v>0</v>
      </c>
      <c r="AA256">
        <v>1</v>
      </c>
      <c r="AB256" t="s">
        <v>385</v>
      </c>
      <c r="AC256">
        <v>0</v>
      </c>
    </row>
    <row r="257" spans="1:29">
      <c r="A257" t="s">
        <v>2908</v>
      </c>
      <c r="B257" t="s">
        <v>2785</v>
      </c>
      <c r="C257">
        <v>253</v>
      </c>
      <c r="D257" t="s">
        <v>2795</v>
      </c>
      <c r="E257" s="3" t="s">
        <v>2796</v>
      </c>
    </row>
    <row r="258" spans="1:29">
      <c r="A258" t="s">
        <v>2909</v>
      </c>
      <c r="B258" t="s">
        <v>2785</v>
      </c>
      <c r="C258">
        <v>254</v>
      </c>
      <c r="D258" t="s">
        <v>2798</v>
      </c>
      <c r="E258" s="3" t="s">
        <v>2910</v>
      </c>
      <c r="F258">
        <v>190816</v>
      </c>
      <c r="W258">
        <v>27.3</v>
      </c>
      <c r="X258">
        <v>80.8</v>
      </c>
      <c r="Y258">
        <v>-0.2</v>
      </c>
      <c r="Z258">
        <v>0</v>
      </c>
      <c r="AA258">
        <v>1</v>
      </c>
      <c r="AB258" t="s">
        <v>385</v>
      </c>
      <c r="AC258">
        <v>0</v>
      </c>
    </row>
    <row r="259" spans="1:29">
      <c r="A259" t="s">
        <v>2911</v>
      </c>
      <c r="B259" t="s">
        <v>2785</v>
      </c>
      <c r="C259">
        <v>255</v>
      </c>
      <c r="D259" t="s">
        <v>2795</v>
      </c>
      <c r="E259" s="3" t="s">
        <v>2796</v>
      </c>
    </row>
    <row r="260" spans="1:29">
      <c r="A260" t="s">
        <v>2912</v>
      </c>
      <c r="B260" t="s">
        <v>2785</v>
      </c>
      <c r="C260">
        <v>256</v>
      </c>
      <c r="D260" t="s">
        <v>2798</v>
      </c>
      <c r="E260" s="3" t="s">
        <v>2913</v>
      </c>
      <c r="F260">
        <v>195835</v>
      </c>
      <c r="W260">
        <v>27.3</v>
      </c>
      <c r="X260">
        <v>80.7</v>
      </c>
      <c r="Y260">
        <v>-0.2</v>
      </c>
      <c r="Z260">
        <v>0</v>
      </c>
      <c r="AA260">
        <v>1</v>
      </c>
      <c r="AB260" t="s">
        <v>385</v>
      </c>
      <c r="AC260">
        <v>0</v>
      </c>
    </row>
    <row r="261" spans="1:29">
      <c r="A261" t="s">
        <v>2914</v>
      </c>
      <c r="B261" t="s">
        <v>2785</v>
      </c>
      <c r="C261">
        <v>257</v>
      </c>
      <c r="D261" t="s">
        <v>2795</v>
      </c>
      <c r="E261" s="3" t="s">
        <v>2796</v>
      </c>
    </row>
    <row r="262" spans="1:29">
      <c r="A262" t="s">
        <v>2915</v>
      </c>
      <c r="B262" t="s">
        <v>2785</v>
      </c>
      <c r="C262">
        <v>258</v>
      </c>
      <c r="D262" t="s">
        <v>2798</v>
      </c>
      <c r="E262" s="3" t="s">
        <v>2916</v>
      </c>
      <c r="F262">
        <v>200853</v>
      </c>
      <c r="W262">
        <v>27.3</v>
      </c>
      <c r="X262">
        <v>80.5</v>
      </c>
      <c r="Y262">
        <v>-0.2</v>
      </c>
      <c r="Z262">
        <v>0</v>
      </c>
      <c r="AA262">
        <v>1</v>
      </c>
      <c r="AB262" t="s">
        <v>385</v>
      </c>
      <c r="AC262">
        <v>0</v>
      </c>
    </row>
    <row r="263" spans="1:29">
      <c r="A263" t="s">
        <v>2917</v>
      </c>
      <c r="B263" t="s">
        <v>2785</v>
      </c>
      <c r="C263">
        <v>259</v>
      </c>
      <c r="D263" t="s">
        <v>2795</v>
      </c>
      <c r="E263" s="3" t="s">
        <v>2796</v>
      </c>
    </row>
    <row r="264" spans="1:29">
      <c r="A264" t="s">
        <v>2918</v>
      </c>
      <c r="B264" t="s">
        <v>2785</v>
      </c>
      <c r="C264">
        <v>260</v>
      </c>
      <c r="D264" t="s">
        <v>2798</v>
      </c>
      <c r="E264" s="3" t="s">
        <v>2919</v>
      </c>
      <c r="F264">
        <v>205873</v>
      </c>
      <c r="W264">
        <v>27.3</v>
      </c>
      <c r="X264">
        <v>80.5</v>
      </c>
      <c r="Y264">
        <v>-0.1</v>
      </c>
      <c r="Z264">
        <v>0</v>
      </c>
      <c r="AA264">
        <v>1</v>
      </c>
      <c r="AB264" t="s">
        <v>385</v>
      </c>
      <c r="AC264">
        <v>0</v>
      </c>
    </row>
    <row r="265" spans="1:29">
      <c r="A265" t="s">
        <v>2920</v>
      </c>
      <c r="B265" t="s">
        <v>2785</v>
      </c>
      <c r="C265">
        <v>261</v>
      </c>
      <c r="D265" t="s">
        <v>2795</v>
      </c>
      <c r="E265" s="3" t="s">
        <v>2796</v>
      </c>
    </row>
    <row r="266" spans="1:29">
      <c r="A266" t="s">
        <v>2921</v>
      </c>
      <c r="B266" t="s">
        <v>2785</v>
      </c>
      <c r="C266">
        <v>262</v>
      </c>
      <c r="D266" t="s">
        <v>2798</v>
      </c>
      <c r="E266" s="3" t="s">
        <v>2922</v>
      </c>
      <c r="F266">
        <v>210890</v>
      </c>
      <c r="W266">
        <v>27.3</v>
      </c>
      <c r="X266">
        <v>80.5</v>
      </c>
      <c r="Y266">
        <v>-0.1</v>
      </c>
      <c r="Z266">
        <v>0</v>
      </c>
      <c r="AA266">
        <v>1</v>
      </c>
      <c r="AB266" t="s">
        <v>385</v>
      </c>
      <c r="AC266">
        <v>0</v>
      </c>
    </row>
    <row r="267" spans="1:29">
      <c r="A267" t="s">
        <v>2923</v>
      </c>
      <c r="B267" t="s">
        <v>2785</v>
      </c>
      <c r="C267">
        <v>263</v>
      </c>
      <c r="D267" t="s">
        <v>2795</v>
      </c>
      <c r="E267" s="3" t="s">
        <v>2796</v>
      </c>
    </row>
    <row r="268" spans="1:29">
      <c r="A268" t="s">
        <v>2924</v>
      </c>
      <c r="B268" t="s">
        <v>2785</v>
      </c>
      <c r="C268">
        <v>264</v>
      </c>
      <c r="D268" t="s">
        <v>2798</v>
      </c>
      <c r="E268" s="3" t="s">
        <v>2925</v>
      </c>
      <c r="F268">
        <v>215909</v>
      </c>
      <c r="W268">
        <v>27.3</v>
      </c>
      <c r="X268">
        <v>80.7</v>
      </c>
      <c r="Y268">
        <v>-0.2</v>
      </c>
      <c r="Z268">
        <v>0</v>
      </c>
      <c r="AA268">
        <v>1</v>
      </c>
      <c r="AB268" t="s">
        <v>385</v>
      </c>
      <c r="AC268">
        <v>0</v>
      </c>
    </row>
    <row r="269" spans="1:29">
      <c r="A269" t="s">
        <v>2926</v>
      </c>
      <c r="B269" t="s">
        <v>2785</v>
      </c>
      <c r="C269">
        <v>265</v>
      </c>
      <c r="D269" t="s">
        <v>2795</v>
      </c>
      <c r="E269" s="3" t="s">
        <v>2796</v>
      </c>
    </row>
    <row r="270" spans="1:29">
      <c r="A270" t="s">
        <v>2927</v>
      </c>
      <c r="B270" t="s">
        <v>2785</v>
      </c>
      <c r="C270">
        <v>266</v>
      </c>
      <c r="D270" t="s">
        <v>2798</v>
      </c>
      <c r="E270" s="3" t="s">
        <v>2928</v>
      </c>
      <c r="F270">
        <v>220926</v>
      </c>
      <c r="W270">
        <v>27.3</v>
      </c>
      <c r="X270">
        <v>80.7</v>
      </c>
      <c r="Y270">
        <v>-0.1</v>
      </c>
      <c r="Z270">
        <v>0</v>
      </c>
      <c r="AA270">
        <v>1</v>
      </c>
      <c r="AB270" t="s">
        <v>385</v>
      </c>
      <c r="AC270">
        <v>0</v>
      </c>
    </row>
    <row r="271" spans="1:29">
      <c r="A271" t="s">
        <v>2929</v>
      </c>
      <c r="B271" t="s">
        <v>2785</v>
      </c>
      <c r="C271">
        <v>267</v>
      </c>
      <c r="D271" t="s">
        <v>2795</v>
      </c>
      <c r="E271" s="3" t="s">
        <v>2796</v>
      </c>
    </row>
    <row r="272" spans="1:29">
      <c r="A272" t="s">
        <v>2930</v>
      </c>
      <c r="B272" t="s">
        <v>2785</v>
      </c>
      <c r="C272">
        <v>268</v>
      </c>
      <c r="D272" t="s">
        <v>2798</v>
      </c>
      <c r="E272" s="3" t="s">
        <v>2931</v>
      </c>
      <c r="F272">
        <v>225945</v>
      </c>
      <c r="W272">
        <v>27.3</v>
      </c>
      <c r="X272">
        <v>80.599999999999994</v>
      </c>
      <c r="Y272">
        <v>-0.2</v>
      </c>
      <c r="Z272">
        <v>0</v>
      </c>
      <c r="AA272">
        <v>1</v>
      </c>
      <c r="AB272" t="s">
        <v>385</v>
      </c>
      <c r="AC272">
        <v>0</v>
      </c>
    </row>
    <row r="273" spans="1:29">
      <c r="A273" t="s">
        <v>2932</v>
      </c>
      <c r="B273" t="s">
        <v>2785</v>
      </c>
      <c r="C273">
        <v>269</v>
      </c>
      <c r="D273" t="s">
        <v>2795</v>
      </c>
      <c r="E273" s="3" t="s">
        <v>2796</v>
      </c>
    </row>
    <row r="274" spans="1:29">
      <c r="A274" t="s">
        <v>2933</v>
      </c>
      <c r="B274" t="s">
        <v>2785</v>
      </c>
      <c r="C274">
        <v>270</v>
      </c>
      <c r="D274" t="s">
        <v>2798</v>
      </c>
      <c r="E274" s="3" t="s">
        <v>2934</v>
      </c>
      <c r="F274">
        <v>230964</v>
      </c>
      <c r="W274">
        <v>27.3</v>
      </c>
      <c r="X274">
        <v>80.5</v>
      </c>
      <c r="Y274">
        <v>-0.2</v>
      </c>
      <c r="Z274">
        <v>0</v>
      </c>
      <c r="AA274">
        <v>1</v>
      </c>
      <c r="AB274" t="s">
        <v>385</v>
      </c>
      <c r="AC274">
        <v>0</v>
      </c>
    </row>
    <row r="275" spans="1:29">
      <c r="A275" t="s">
        <v>2935</v>
      </c>
      <c r="B275" t="s">
        <v>2785</v>
      </c>
      <c r="C275">
        <v>271</v>
      </c>
      <c r="D275" t="s">
        <v>2795</v>
      </c>
      <c r="E275" s="3" t="s">
        <v>2796</v>
      </c>
    </row>
    <row r="276" spans="1:29">
      <c r="A276" t="s">
        <v>2936</v>
      </c>
      <c r="B276" t="s">
        <v>2785</v>
      </c>
      <c r="C276">
        <v>272</v>
      </c>
      <c r="D276" t="s">
        <v>2798</v>
      </c>
      <c r="E276" s="3" t="s">
        <v>2937</v>
      </c>
      <c r="F276">
        <v>235981</v>
      </c>
      <c r="W276">
        <v>27.3</v>
      </c>
      <c r="X276">
        <v>80.3</v>
      </c>
      <c r="Y276">
        <v>-0.2</v>
      </c>
      <c r="Z276">
        <v>0</v>
      </c>
      <c r="AA276">
        <v>1</v>
      </c>
      <c r="AB276" t="s">
        <v>385</v>
      </c>
      <c r="AC276">
        <v>0</v>
      </c>
    </row>
    <row r="277" spans="1:29">
      <c r="A277" t="s">
        <v>2938</v>
      </c>
      <c r="B277" t="s">
        <v>2785</v>
      </c>
      <c r="C277">
        <v>273</v>
      </c>
      <c r="D277" t="s">
        <v>2939</v>
      </c>
      <c r="E277" s="3" t="s">
        <v>436</v>
      </c>
    </row>
    <row r="278" spans="1:29">
      <c r="A278" t="s">
        <v>2940</v>
      </c>
      <c r="B278" t="s">
        <v>2785</v>
      </c>
      <c r="C278">
        <v>274</v>
      </c>
      <c r="D278" t="s">
        <v>2939</v>
      </c>
      <c r="E278" s="3" t="s">
        <v>2941</v>
      </c>
    </row>
    <row r="279" spans="1:29">
      <c r="A279" t="s">
        <v>2942</v>
      </c>
      <c r="B279" t="s">
        <v>2785</v>
      </c>
      <c r="C279">
        <v>275</v>
      </c>
      <c r="D279" t="s">
        <v>2795</v>
      </c>
      <c r="E279" s="3" t="s">
        <v>2796</v>
      </c>
    </row>
    <row r="280" spans="1:29">
      <c r="A280" t="s">
        <v>2943</v>
      </c>
      <c r="B280" t="s">
        <v>2785</v>
      </c>
      <c r="C280">
        <v>276</v>
      </c>
      <c r="D280" t="s">
        <v>2798</v>
      </c>
      <c r="E280" s="3" t="s">
        <v>2944</v>
      </c>
      <c r="F280">
        <v>259020</v>
      </c>
      <c r="W280">
        <v>27.3</v>
      </c>
      <c r="X280">
        <v>80.099999999999994</v>
      </c>
      <c r="Y280">
        <v>13.3</v>
      </c>
      <c r="Z280">
        <v>0</v>
      </c>
      <c r="AA280">
        <v>1</v>
      </c>
      <c r="AB280" t="s">
        <v>385</v>
      </c>
      <c r="AC280">
        <v>1</v>
      </c>
    </row>
    <row r="281" spans="1:29">
      <c r="A281" t="s">
        <v>2945</v>
      </c>
      <c r="B281" t="s">
        <v>2785</v>
      </c>
      <c r="C281">
        <v>277</v>
      </c>
      <c r="D281" t="s">
        <v>2795</v>
      </c>
      <c r="E281" s="3" t="s">
        <v>2796</v>
      </c>
    </row>
    <row r="282" spans="1:29">
      <c r="A282" t="s">
        <v>2946</v>
      </c>
      <c r="B282" t="s">
        <v>2785</v>
      </c>
      <c r="C282">
        <v>278</v>
      </c>
      <c r="D282" t="s">
        <v>2798</v>
      </c>
      <c r="E282" s="3" t="s">
        <v>2947</v>
      </c>
      <c r="F282">
        <v>264020</v>
      </c>
      <c r="W282">
        <v>27.3</v>
      </c>
      <c r="X282">
        <v>80.599999999999994</v>
      </c>
      <c r="Y282">
        <v>-0.2</v>
      </c>
      <c r="Z282">
        <v>0</v>
      </c>
      <c r="AA282">
        <v>1</v>
      </c>
      <c r="AB282" t="s">
        <v>385</v>
      </c>
      <c r="AC282">
        <v>1</v>
      </c>
    </row>
    <row r="283" spans="1:29">
      <c r="A283" t="s">
        <v>2948</v>
      </c>
      <c r="B283" t="s">
        <v>2785</v>
      </c>
      <c r="C283">
        <v>279</v>
      </c>
      <c r="D283" t="s">
        <v>2795</v>
      </c>
      <c r="E283" s="3" t="s">
        <v>2796</v>
      </c>
    </row>
    <row r="284" spans="1:29">
      <c r="A284" t="s">
        <v>2949</v>
      </c>
      <c r="B284" t="s">
        <v>2785</v>
      </c>
      <c r="C284">
        <v>280</v>
      </c>
      <c r="D284" t="s">
        <v>2798</v>
      </c>
      <c r="E284" s="3" t="s">
        <v>2950</v>
      </c>
      <c r="F284">
        <v>269021</v>
      </c>
      <c r="W284">
        <v>27.3</v>
      </c>
      <c r="X284">
        <v>80.8</v>
      </c>
      <c r="Y284">
        <v>-0.2</v>
      </c>
      <c r="Z284">
        <v>0</v>
      </c>
      <c r="AA284">
        <v>1</v>
      </c>
      <c r="AB284" t="s">
        <v>385</v>
      </c>
      <c r="AC284">
        <v>1</v>
      </c>
    </row>
    <row r="285" spans="1:29">
      <c r="A285" t="s">
        <v>2951</v>
      </c>
      <c r="B285" t="s">
        <v>2785</v>
      </c>
      <c r="C285">
        <v>281</v>
      </c>
      <c r="D285" t="s">
        <v>2795</v>
      </c>
      <c r="E285" s="3" t="s">
        <v>2796</v>
      </c>
    </row>
    <row r="286" spans="1:29">
      <c r="A286" t="s">
        <v>2952</v>
      </c>
      <c r="B286" t="s">
        <v>2785</v>
      </c>
      <c r="C286">
        <v>282</v>
      </c>
      <c r="D286" t="s">
        <v>2798</v>
      </c>
      <c r="E286" s="3" t="s">
        <v>2953</v>
      </c>
      <c r="F286">
        <v>274021</v>
      </c>
      <c r="W286">
        <v>27.3</v>
      </c>
      <c r="X286">
        <v>80.8</v>
      </c>
      <c r="Y286">
        <v>-0.3</v>
      </c>
      <c r="Z286">
        <v>0</v>
      </c>
      <c r="AA286">
        <v>1</v>
      </c>
      <c r="AB286" t="s">
        <v>385</v>
      </c>
      <c r="AC286">
        <v>1</v>
      </c>
    </row>
    <row r="287" spans="1:29">
      <c r="A287" t="s">
        <v>2954</v>
      </c>
      <c r="B287" t="s">
        <v>2785</v>
      </c>
      <c r="C287">
        <v>283</v>
      </c>
      <c r="D287" t="s">
        <v>2795</v>
      </c>
      <c r="E287" s="3" t="s">
        <v>2796</v>
      </c>
    </row>
    <row r="288" spans="1:29">
      <c r="A288" t="s">
        <v>2955</v>
      </c>
      <c r="B288" t="s">
        <v>2785</v>
      </c>
      <c r="C288">
        <v>284</v>
      </c>
      <c r="D288" t="s">
        <v>2798</v>
      </c>
      <c r="E288" s="3" t="s">
        <v>2956</v>
      </c>
      <c r="F288">
        <v>279020</v>
      </c>
      <c r="W288">
        <v>27.3</v>
      </c>
      <c r="X288">
        <v>80.900000000000006</v>
      </c>
      <c r="Y288">
        <v>-1.4</v>
      </c>
      <c r="Z288">
        <v>0</v>
      </c>
      <c r="AA288">
        <v>1</v>
      </c>
      <c r="AB288" t="s">
        <v>385</v>
      </c>
      <c r="AC288">
        <v>1</v>
      </c>
    </row>
    <row r="289" spans="1:29">
      <c r="A289" t="s">
        <v>2957</v>
      </c>
      <c r="B289" t="s">
        <v>2785</v>
      </c>
      <c r="C289">
        <v>285</v>
      </c>
      <c r="D289" t="s">
        <v>2939</v>
      </c>
      <c r="E289" s="3" t="s">
        <v>436</v>
      </c>
    </row>
    <row r="290" spans="1:29">
      <c r="A290" t="s">
        <v>2958</v>
      </c>
      <c r="B290" t="s">
        <v>2785</v>
      </c>
      <c r="C290">
        <v>286</v>
      </c>
      <c r="D290" t="s">
        <v>2939</v>
      </c>
      <c r="E290" s="3" t="s">
        <v>2941</v>
      </c>
    </row>
    <row r="291" spans="1:29">
      <c r="A291" t="s">
        <v>2959</v>
      </c>
      <c r="B291" t="s">
        <v>2785</v>
      </c>
      <c r="C291">
        <v>287</v>
      </c>
      <c r="D291" t="s">
        <v>2795</v>
      </c>
      <c r="E291" s="3" t="s">
        <v>2796</v>
      </c>
    </row>
    <row r="292" spans="1:29">
      <c r="A292" t="s">
        <v>2960</v>
      </c>
      <c r="B292" t="s">
        <v>2785</v>
      </c>
      <c r="C292">
        <v>288</v>
      </c>
      <c r="D292" t="s">
        <v>2798</v>
      </c>
      <c r="E292" s="3" t="s">
        <v>2961</v>
      </c>
      <c r="F292">
        <v>294210</v>
      </c>
      <c r="W292">
        <v>27.3</v>
      </c>
      <c r="X292">
        <v>80.900000000000006</v>
      </c>
      <c r="Y292">
        <v>29.8</v>
      </c>
      <c r="Z292">
        <v>0</v>
      </c>
      <c r="AA292">
        <v>1</v>
      </c>
      <c r="AB292" t="s">
        <v>385</v>
      </c>
      <c r="AC292">
        <v>2</v>
      </c>
    </row>
    <row r="293" spans="1:29">
      <c r="A293" t="s">
        <v>2962</v>
      </c>
      <c r="B293" t="s">
        <v>2785</v>
      </c>
      <c r="C293">
        <v>289</v>
      </c>
      <c r="D293" t="s">
        <v>2939</v>
      </c>
      <c r="E293" s="3" t="s">
        <v>436</v>
      </c>
    </row>
    <row r="294" spans="1:29">
      <c r="A294" t="s">
        <v>2963</v>
      </c>
      <c r="B294" t="s">
        <v>2785</v>
      </c>
      <c r="C294">
        <v>290</v>
      </c>
      <c r="D294" t="s">
        <v>2939</v>
      </c>
      <c r="E294" s="3" t="s">
        <v>2941</v>
      </c>
    </row>
    <row r="295" spans="1:29">
      <c r="A295" t="s">
        <v>2964</v>
      </c>
      <c r="B295" t="s">
        <v>2785</v>
      </c>
      <c r="C295">
        <v>291</v>
      </c>
      <c r="D295" t="s">
        <v>2795</v>
      </c>
      <c r="E295" s="3" t="s">
        <v>2796</v>
      </c>
    </row>
    <row r="296" spans="1:29">
      <c r="A296" t="s">
        <v>2965</v>
      </c>
      <c r="B296" t="s">
        <v>2785</v>
      </c>
      <c r="C296">
        <v>292</v>
      </c>
      <c r="D296" t="s">
        <v>2798</v>
      </c>
      <c r="E296" s="3" t="s">
        <v>2966</v>
      </c>
      <c r="F296">
        <v>302134</v>
      </c>
      <c r="W296">
        <v>27.3</v>
      </c>
      <c r="X296">
        <v>81.3</v>
      </c>
      <c r="Y296">
        <v>32.4</v>
      </c>
      <c r="Z296">
        <v>0</v>
      </c>
      <c r="AA296">
        <v>1</v>
      </c>
      <c r="AB296" t="s">
        <v>385</v>
      </c>
      <c r="AC296">
        <v>0</v>
      </c>
    </row>
    <row r="297" spans="1:29">
      <c r="A297" t="s">
        <v>2967</v>
      </c>
      <c r="B297" t="s">
        <v>2785</v>
      </c>
      <c r="C297">
        <v>293</v>
      </c>
      <c r="D297" t="s">
        <v>2795</v>
      </c>
      <c r="E297" s="3" t="s">
        <v>2796</v>
      </c>
    </row>
    <row r="298" spans="1:29">
      <c r="A298" t="s">
        <v>2968</v>
      </c>
      <c r="B298" t="s">
        <v>2785</v>
      </c>
      <c r="C298">
        <v>294</v>
      </c>
      <c r="D298" t="s">
        <v>2798</v>
      </c>
      <c r="E298" s="3" t="s">
        <v>2969</v>
      </c>
      <c r="F298">
        <v>307277</v>
      </c>
      <c r="W298">
        <v>27.3</v>
      </c>
      <c r="X298">
        <v>81.5</v>
      </c>
      <c r="Y298">
        <v>0.4</v>
      </c>
      <c r="Z298">
        <v>0</v>
      </c>
      <c r="AA298">
        <v>1</v>
      </c>
      <c r="AB298" t="s">
        <v>385</v>
      </c>
      <c r="AC298">
        <v>0</v>
      </c>
    </row>
    <row r="299" spans="1:29">
      <c r="A299" t="s">
        <v>2970</v>
      </c>
      <c r="B299" t="s">
        <v>2785</v>
      </c>
      <c r="C299">
        <v>295</v>
      </c>
      <c r="D299" t="s">
        <v>2795</v>
      </c>
      <c r="E299" s="3" t="s">
        <v>2796</v>
      </c>
    </row>
    <row r="300" spans="1:29">
      <c r="A300" t="s">
        <v>2971</v>
      </c>
      <c r="B300" t="s">
        <v>2785</v>
      </c>
      <c r="C300">
        <v>296</v>
      </c>
      <c r="D300" t="s">
        <v>2798</v>
      </c>
      <c r="E300" s="3" t="s">
        <v>2972</v>
      </c>
      <c r="F300">
        <v>312296</v>
      </c>
      <c r="W300">
        <v>27.3</v>
      </c>
      <c r="X300">
        <v>81.3</v>
      </c>
      <c r="Y300">
        <v>0.8</v>
      </c>
      <c r="Z300">
        <v>0</v>
      </c>
      <c r="AA300">
        <v>1</v>
      </c>
      <c r="AB300" t="s">
        <v>385</v>
      </c>
      <c r="AC300">
        <v>0</v>
      </c>
    </row>
    <row r="301" spans="1:29">
      <c r="A301" t="s">
        <v>2973</v>
      </c>
      <c r="B301" t="s">
        <v>2785</v>
      </c>
      <c r="C301">
        <v>297</v>
      </c>
      <c r="D301" t="s">
        <v>2795</v>
      </c>
      <c r="E301" s="3" t="s">
        <v>2796</v>
      </c>
    </row>
    <row r="302" spans="1:29">
      <c r="A302" t="s">
        <v>2974</v>
      </c>
      <c r="B302" t="s">
        <v>2785</v>
      </c>
      <c r="C302">
        <v>298</v>
      </c>
      <c r="D302" t="s">
        <v>2798</v>
      </c>
      <c r="E302" s="3" t="s">
        <v>2975</v>
      </c>
      <c r="F302">
        <v>317316</v>
      </c>
      <c r="W302">
        <v>27.3</v>
      </c>
      <c r="X302">
        <v>81.3</v>
      </c>
      <c r="Y302">
        <v>-3</v>
      </c>
      <c r="Z302">
        <v>0</v>
      </c>
      <c r="AA302">
        <v>1</v>
      </c>
      <c r="AB302" t="s">
        <v>385</v>
      </c>
      <c r="AC302">
        <v>0</v>
      </c>
    </row>
    <row r="303" spans="1:29">
      <c r="A303" t="s">
        <v>2976</v>
      </c>
      <c r="B303" t="s">
        <v>2785</v>
      </c>
      <c r="C303">
        <v>299</v>
      </c>
      <c r="D303" t="s">
        <v>2795</v>
      </c>
      <c r="E303" s="3" t="s">
        <v>2796</v>
      </c>
    </row>
    <row r="304" spans="1:29">
      <c r="A304" t="s">
        <v>2977</v>
      </c>
      <c r="B304" t="s">
        <v>2785</v>
      </c>
      <c r="C304">
        <v>300</v>
      </c>
      <c r="D304" t="s">
        <v>2798</v>
      </c>
      <c r="E304" s="3" t="s">
        <v>2978</v>
      </c>
      <c r="F304">
        <v>322333</v>
      </c>
      <c r="W304">
        <v>27.3</v>
      </c>
      <c r="X304">
        <v>81.3</v>
      </c>
      <c r="Y304">
        <v>-0.9</v>
      </c>
      <c r="Z304">
        <v>0</v>
      </c>
      <c r="AA304">
        <v>1</v>
      </c>
      <c r="AB304" t="s">
        <v>385</v>
      </c>
      <c r="AC304">
        <v>0</v>
      </c>
    </row>
    <row r="305" spans="1:29">
      <c r="A305" t="s">
        <v>2979</v>
      </c>
      <c r="B305" t="s">
        <v>2785</v>
      </c>
      <c r="C305">
        <v>301</v>
      </c>
      <c r="D305" t="s">
        <v>2795</v>
      </c>
      <c r="E305" s="3" t="s">
        <v>2796</v>
      </c>
    </row>
    <row r="306" spans="1:29">
      <c r="A306" t="s">
        <v>2980</v>
      </c>
      <c r="B306" t="s">
        <v>2785</v>
      </c>
      <c r="C306">
        <v>302</v>
      </c>
      <c r="D306" t="s">
        <v>2798</v>
      </c>
      <c r="E306" s="3" t="s">
        <v>2981</v>
      </c>
      <c r="F306">
        <v>327353</v>
      </c>
      <c r="W306">
        <v>27.3</v>
      </c>
      <c r="X306">
        <v>81.3</v>
      </c>
      <c r="Y306">
        <v>-0.3</v>
      </c>
      <c r="Z306">
        <v>0</v>
      </c>
      <c r="AA306">
        <v>1</v>
      </c>
      <c r="AB306" t="s">
        <v>385</v>
      </c>
      <c r="AC306">
        <v>0</v>
      </c>
    </row>
    <row r="307" spans="1:29">
      <c r="A307" t="s">
        <v>2982</v>
      </c>
      <c r="B307" t="s">
        <v>2785</v>
      </c>
      <c r="C307">
        <v>303</v>
      </c>
      <c r="D307" t="s">
        <v>2795</v>
      </c>
      <c r="E307" s="3" t="s">
        <v>2796</v>
      </c>
    </row>
    <row r="308" spans="1:29">
      <c r="A308" t="s">
        <v>2983</v>
      </c>
      <c r="B308" t="s">
        <v>2785</v>
      </c>
      <c r="C308">
        <v>304</v>
      </c>
      <c r="D308" t="s">
        <v>2798</v>
      </c>
      <c r="E308" s="3" t="s">
        <v>2984</v>
      </c>
      <c r="F308">
        <v>332371</v>
      </c>
      <c r="W308">
        <v>27.3</v>
      </c>
      <c r="X308">
        <v>81.3</v>
      </c>
      <c r="Y308">
        <v>-0.1</v>
      </c>
      <c r="Z308">
        <v>0</v>
      </c>
      <c r="AA308">
        <v>1</v>
      </c>
      <c r="AB308" t="s">
        <v>385</v>
      </c>
      <c r="AC308">
        <v>0</v>
      </c>
    </row>
    <row r="309" spans="1:29">
      <c r="A309" t="s">
        <v>2985</v>
      </c>
      <c r="B309" t="s">
        <v>2785</v>
      </c>
      <c r="C309">
        <v>305</v>
      </c>
      <c r="D309" t="s">
        <v>2795</v>
      </c>
      <c r="E309" s="3" t="s">
        <v>2796</v>
      </c>
    </row>
    <row r="310" spans="1:29">
      <c r="A310" t="s">
        <v>2986</v>
      </c>
      <c r="B310" t="s">
        <v>2785</v>
      </c>
      <c r="C310">
        <v>306</v>
      </c>
      <c r="D310" t="s">
        <v>2798</v>
      </c>
      <c r="E310" s="3" t="s">
        <v>2987</v>
      </c>
      <c r="F310">
        <v>337389</v>
      </c>
      <c r="W310">
        <v>27.3</v>
      </c>
      <c r="X310">
        <v>81.5</v>
      </c>
      <c r="Y310">
        <v>-1</v>
      </c>
      <c r="Z310">
        <v>0</v>
      </c>
      <c r="AA310">
        <v>1</v>
      </c>
      <c r="AB310" t="s">
        <v>385</v>
      </c>
      <c r="AC310">
        <v>0</v>
      </c>
    </row>
    <row r="311" spans="1:29">
      <c r="A311" t="s">
        <v>2988</v>
      </c>
      <c r="B311" t="s">
        <v>2785</v>
      </c>
      <c r="C311">
        <v>307</v>
      </c>
      <c r="D311" t="s">
        <v>2939</v>
      </c>
      <c r="E311" s="3" t="s">
        <v>436</v>
      </c>
    </row>
    <row r="312" spans="1:29">
      <c r="A312" t="s">
        <v>2989</v>
      </c>
      <c r="B312" t="s">
        <v>2785</v>
      </c>
      <c r="C312">
        <v>308</v>
      </c>
      <c r="D312" t="s">
        <v>2939</v>
      </c>
      <c r="E312" s="3" t="s">
        <v>2990</v>
      </c>
    </row>
    <row r="313" spans="1:29">
      <c r="A313" t="s">
        <v>2991</v>
      </c>
      <c r="B313" t="s">
        <v>2785</v>
      </c>
      <c r="C313">
        <v>309</v>
      </c>
      <c r="D313" t="s">
        <v>2795</v>
      </c>
      <c r="E313" s="3" t="s">
        <v>2796</v>
      </c>
    </row>
    <row r="314" spans="1:29">
      <c r="A314" t="s">
        <v>2992</v>
      </c>
      <c r="B314" t="s">
        <v>2785</v>
      </c>
      <c r="C314">
        <v>310</v>
      </c>
      <c r="D314" t="s">
        <v>2798</v>
      </c>
      <c r="E314" s="3" t="s">
        <v>2993</v>
      </c>
      <c r="F314">
        <v>348723</v>
      </c>
      <c r="W314">
        <v>27.3</v>
      </c>
      <c r="X314">
        <v>81.5</v>
      </c>
      <c r="Y314">
        <v>67.099999999999994</v>
      </c>
      <c r="Z314">
        <v>0</v>
      </c>
      <c r="AA314">
        <v>1</v>
      </c>
      <c r="AB314" t="s">
        <v>385</v>
      </c>
      <c r="AC314">
        <v>0</v>
      </c>
    </row>
    <row r="315" spans="1:29">
      <c r="A315" t="s">
        <v>2994</v>
      </c>
      <c r="B315" t="s">
        <v>2785</v>
      </c>
      <c r="C315">
        <v>311</v>
      </c>
      <c r="D315" t="s">
        <v>2795</v>
      </c>
      <c r="E315" s="3" t="s">
        <v>2796</v>
      </c>
    </row>
    <row r="316" spans="1:29">
      <c r="A316" t="s">
        <v>2995</v>
      </c>
      <c r="B316" t="s">
        <v>2785</v>
      </c>
      <c r="C316">
        <v>312</v>
      </c>
      <c r="D316" t="s">
        <v>2798</v>
      </c>
      <c r="E316" s="3" t="s">
        <v>2996</v>
      </c>
      <c r="F316">
        <v>353722</v>
      </c>
      <c r="W316">
        <v>27.2</v>
      </c>
      <c r="X316">
        <v>81.7</v>
      </c>
      <c r="Y316">
        <v>-0.6</v>
      </c>
      <c r="Z316">
        <v>0</v>
      </c>
      <c r="AA316">
        <v>1</v>
      </c>
      <c r="AB316" t="s">
        <v>385</v>
      </c>
      <c r="AC316">
        <v>0</v>
      </c>
    </row>
    <row r="317" spans="1:29">
      <c r="A317" t="s">
        <v>2997</v>
      </c>
      <c r="B317" t="s">
        <v>2785</v>
      </c>
      <c r="C317">
        <v>313</v>
      </c>
      <c r="D317" t="s">
        <v>2795</v>
      </c>
      <c r="E317" s="3" t="s">
        <v>2796</v>
      </c>
    </row>
    <row r="318" spans="1:29">
      <c r="A318" t="s">
        <v>2998</v>
      </c>
      <c r="B318" t="s">
        <v>2785</v>
      </c>
      <c r="C318">
        <v>314</v>
      </c>
      <c r="D318" t="s">
        <v>2798</v>
      </c>
      <c r="E318" s="3" t="s">
        <v>2999</v>
      </c>
      <c r="F318">
        <v>358721</v>
      </c>
      <c r="W318">
        <v>27.3</v>
      </c>
      <c r="X318">
        <v>81.3</v>
      </c>
      <c r="Y318">
        <v>-0.4</v>
      </c>
      <c r="Z318">
        <v>0</v>
      </c>
      <c r="AA318">
        <v>1</v>
      </c>
      <c r="AB318" t="s">
        <v>385</v>
      </c>
      <c r="AC318">
        <v>0</v>
      </c>
    </row>
    <row r="319" spans="1:29">
      <c r="A319" t="s">
        <v>3000</v>
      </c>
      <c r="B319" t="s">
        <v>2785</v>
      </c>
      <c r="C319">
        <v>315</v>
      </c>
      <c r="D319" t="s">
        <v>2795</v>
      </c>
      <c r="E319" s="3" t="s">
        <v>2796</v>
      </c>
    </row>
    <row r="320" spans="1:29">
      <c r="A320" t="s">
        <v>3001</v>
      </c>
      <c r="B320" t="s">
        <v>2785</v>
      </c>
      <c r="C320">
        <v>316</v>
      </c>
      <c r="D320" t="s">
        <v>2798</v>
      </c>
      <c r="E320" s="3" t="s">
        <v>3002</v>
      </c>
      <c r="F320">
        <v>363721</v>
      </c>
      <c r="W320">
        <v>27.3</v>
      </c>
      <c r="X320">
        <v>81.099999999999994</v>
      </c>
      <c r="Y320">
        <v>-0.3</v>
      </c>
      <c r="Z320">
        <v>0</v>
      </c>
      <c r="AA320">
        <v>1</v>
      </c>
      <c r="AB320" t="s">
        <v>385</v>
      </c>
      <c r="AC320">
        <v>0</v>
      </c>
    </row>
    <row r="321" spans="1:29">
      <c r="A321" t="s">
        <v>3003</v>
      </c>
      <c r="B321" t="s">
        <v>2785</v>
      </c>
      <c r="C321">
        <v>317</v>
      </c>
      <c r="D321" t="s">
        <v>2795</v>
      </c>
      <c r="E321" s="3" t="s">
        <v>2796</v>
      </c>
    </row>
    <row r="322" spans="1:29">
      <c r="A322" t="s">
        <v>3004</v>
      </c>
      <c r="B322" t="s">
        <v>2785</v>
      </c>
      <c r="C322">
        <v>318</v>
      </c>
      <c r="D322" t="s">
        <v>2798</v>
      </c>
      <c r="E322" s="3" t="s">
        <v>3005</v>
      </c>
      <c r="F322">
        <v>368721</v>
      </c>
      <c r="W322">
        <v>27.3</v>
      </c>
      <c r="X322">
        <v>81</v>
      </c>
      <c r="Y322">
        <v>-0.2</v>
      </c>
      <c r="Z322">
        <v>0</v>
      </c>
      <c r="AA322">
        <v>1</v>
      </c>
      <c r="AB322" t="s">
        <v>385</v>
      </c>
      <c r="AC322">
        <v>0</v>
      </c>
    </row>
    <row r="323" spans="1:29">
      <c r="A323" t="s">
        <v>3006</v>
      </c>
      <c r="B323" t="s">
        <v>2785</v>
      </c>
      <c r="C323">
        <v>319</v>
      </c>
      <c r="D323" t="s">
        <v>2795</v>
      </c>
      <c r="E323" s="3" t="s">
        <v>2796</v>
      </c>
    </row>
    <row r="324" spans="1:29">
      <c r="A324" t="s">
        <v>3007</v>
      </c>
      <c r="B324" t="s">
        <v>2785</v>
      </c>
      <c r="C324">
        <v>320</v>
      </c>
      <c r="D324" t="s">
        <v>2798</v>
      </c>
      <c r="E324" s="3" t="s">
        <v>3008</v>
      </c>
      <c r="F324">
        <v>373726</v>
      </c>
      <c r="W324">
        <v>27.3</v>
      </c>
      <c r="X324">
        <v>80.900000000000006</v>
      </c>
      <c r="Y324">
        <v>-0.2</v>
      </c>
      <c r="Z324">
        <v>0</v>
      </c>
      <c r="AA324">
        <v>1</v>
      </c>
      <c r="AB324" t="s">
        <v>385</v>
      </c>
      <c r="AC324">
        <v>0</v>
      </c>
    </row>
    <row r="325" spans="1:29">
      <c r="A325" t="s">
        <v>3009</v>
      </c>
      <c r="B325" t="s">
        <v>2785</v>
      </c>
      <c r="C325">
        <v>321</v>
      </c>
      <c r="D325" t="s">
        <v>2795</v>
      </c>
      <c r="E325" s="3" t="s">
        <v>2796</v>
      </c>
    </row>
    <row r="326" spans="1:29">
      <c r="A326" t="s">
        <v>3010</v>
      </c>
      <c r="B326" t="s">
        <v>2785</v>
      </c>
      <c r="C326">
        <v>322</v>
      </c>
      <c r="D326" t="s">
        <v>2798</v>
      </c>
      <c r="E326" s="3" t="s">
        <v>3011</v>
      </c>
      <c r="F326">
        <v>378745</v>
      </c>
      <c r="W326">
        <v>27.2</v>
      </c>
      <c r="X326">
        <v>80.900000000000006</v>
      </c>
      <c r="Y326">
        <v>-0.2</v>
      </c>
      <c r="Z326">
        <v>0</v>
      </c>
      <c r="AA326">
        <v>1</v>
      </c>
      <c r="AB326" t="s">
        <v>385</v>
      </c>
      <c r="AC326">
        <v>0</v>
      </c>
    </row>
    <row r="327" spans="1:29">
      <c r="A327" t="s">
        <v>3012</v>
      </c>
      <c r="B327" t="s">
        <v>2785</v>
      </c>
      <c r="C327">
        <v>323</v>
      </c>
      <c r="D327" t="s">
        <v>2795</v>
      </c>
      <c r="E327" s="3" t="s">
        <v>2796</v>
      </c>
    </row>
    <row r="328" spans="1:29">
      <c r="A328" t="s">
        <v>3013</v>
      </c>
      <c r="B328" t="s">
        <v>2785</v>
      </c>
      <c r="C328">
        <v>324</v>
      </c>
      <c r="D328" t="s">
        <v>2798</v>
      </c>
      <c r="E328" s="3" t="s">
        <v>3014</v>
      </c>
      <c r="F328">
        <v>383763</v>
      </c>
      <c r="W328">
        <v>27.3</v>
      </c>
      <c r="X328">
        <v>80.5</v>
      </c>
      <c r="Y328">
        <v>-0.2</v>
      </c>
      <c r="Z328">
        <v>0</v>
      </c>
      <c r="AA328">
        <v>1</v>
      </c>
      <c r="AB328" t="s">
        <v>385</v>
      </c>
      <c r="AC328">
        <v>0</v>
      </c>
    </row>
    <row r="329" spans="1:29">
      <c r="A329" t="s">
        <v>3015</v>
      </c>
      <c r="B329" t="s">
        <v>2785</v>
      </c>
      <c r="C329">
        <v>325</v>
      </c>
      <c r="D329" t="s">
        <v>2795</v>
      </c>
      <c r="E329" s="3" t="s">
        <v>2796</v>
      </c>
    </row>
    <row r="330" spans="1:29">
      <c r="A330" t="s">
        <v>3016</v>
      </c>
      <c r="B330" t="s">
        <v>2785</v>
      </c>
      <c r="C330">
        <v>326</v>
      </c>
      <c r="D330" t="s">
        <v>2798</v>
      </c>
      <c r="E330" s="3" t="s">
        <v>3017</v>
      </c>
      <c r="F330">
        <v>388782</v>
      </c>
      <c r="W330">
        <v>27.3</v>
      </c>
      <c r="X330">
        <v>80.400000000000006</v>
      </c>
      <c r="Y330">
        <v>0</v>
      </c>
      <c r="Z330">
        <v>0</v>
      </c>
      <c r="AA330">
        <v>1</v>
      </c>
      <c r="AB330" t="s">
        <v>385</v>
      </c>
      <c r="AC330">
        <v>0</v>
      </c>
    </row>
    <row r="331" spans="1:29">
      <c r="A331" t="s">
        <v>3018</v>
      </c>
      <c r="B331" t="s">
        <v>2785</v>
      </c>
      <c r="C331">
        <v>327</v>
      </c>
      <c r="D331" t="s">
        <v>2795</v>
      </c>
      <c r="E331" s="3" t="s">
        <v>2796</v>
      </c>
    </row>
    <row r="332" spans="1:29">
      <c r="A332" t="s">
        <v>3019</v>
      </c>
      <c r="B332" t="s">
        <v>2785</v>
      </c>
      <c r="C332">
        <v>328</v>
      </c>
      <c r="D332" t="s">
        <v>2798</v>
      </c>
      <c r="E332" s="3" t="s">
        <v>3020</v>
      </c>
      <c r="F332">
        <v>393801</v>
      </c>
      <c r="W332">
        <v>27.3</v>
      </c>
      <c r="X332">
        <v>80.3</v>
      </c>
      <c r="Y332">
        <v>-0.1</v>
      </c>
      <c r="Z332">
        <v>0</v>
      </c>
      <c r="AA332">
        <v>1</v>
      </c>
      <c r="AB332" t="s">
        <v>385</v>
      </c>
      <c r="AC332">
        <v>0</v>
      </c>
    </row>
    <row r="333" spans="1:29">
      <c r="A333" t="s">
        <v>3021</v>
      </c>
      <c r="B333" t="s">
        <v>2785</v>
      </c>
      <c r="C333">
        <v>329</v>
      </c>
      <c r="D333" t="s">
        <v>2795</v>
      </c>
      <c r="E333" s="3" t="s">
        <v>2796</v>
      </c>
    </row>
    <row r="334" spans="1:29">
      <c r="A334" t="s">
        <v>3022</v>
      </c>
      <c r="B334" t="s">
        <v>2785</v>
      </c>
      <c r="C334">
        <v>330</v>
      </c>
      <c r="D334" t="s">
        <v>2798</v>
      </c>
      <c r="E334" s="3" t="s">
        <v>3023</v>
      </c>
      <c r="F334">
        <v>398821</v>
      </c>
      <c r="W334">
        <v>27.3</v>
      </c>
      <c r="X334">
        <v>80.3</v>
      </c>
      <c r="Y334">
        <v>-0.1</v>
      </c>
      <c r="Z334">
        <v>0</v>
      </c>
      <c r="AA334">
        <v>1</v>
      </c>
      <c r="AB334" t="s">
        <v>385</v>
      </c>
      <c r="AC334">
        <v>0</v>
      </c>
    </row>
    <row r="335" spans="1:29">
      <c r="A335" t="s">
        <v>3024</v>
      </c>
      <c r="B335" t="s">
        <v>2785</v>
      </c>
      <c r="C335">
        <v>331</v>
      </c>
      <c r="D335" t="s">
        <v>2795</v>
      </c>
      <c r="E335" s="3" t="s">
        <v>2796</v>
      </c>
    </row>
    <row r="336" spans="1:29">
      <c r="A336" t="s">
        <v>3025</v>
      </c>
      <c r="B336" t="s">
        <v>2785</v>
      </c>
      <c r="C336">
        <v>332</v>
      </c>
      <c r="D336" t="s">
        <v>2798</v>
      </c>
      <c r="E336" s="3" t="s">
        <v>3026</v>
      </c>
      <c r="F336">
        <v>403838</v>
      </c>
      <c r="W336">
        <v>27.3</v>
      </c>
      <c r="X336">
        <v>80.3</v>
      </c>
      <c r="Y336">
        <v>0</v>
      </c>
      <c r="Z336">
        <v>0</v>
      </c>
      <c r="AA336">
        <v>1</v>
      </c>
      <c r="AB336" t="s">
        <v>385</v>
      </c>
      <c r="AC336">
        <v>0</v>
      </c>
    </row>
    <row r="337" spans="1:29">
      <c r="A337" t="s">
        <v>3027</v>
      </c>
      <c r="B337" t="s">
        <v>2785</v>
      </c>
      <c r="C337">
        <v>333</v>
      </c>
      <c r="D337" t="s">
        <v>2795</v>
      </c>
      <c r="E337" s="3" t="s">
        <v>2796</v>
      </c>
    </row>
    <row r="338" spans="1:29">
      <c r="A338" t="s">
        <v>3028</v>
      </c>
      <c r="B338" t="s">
        <v>2785</v>
      </c>
      <c r="C338">
        <v>334</v>
      </c>
      <c r="D338" t="s">
        <v>2798</v>
      </c>
      <c r="E338" s="3" t="s">
        <v>3029</v>
      </c>
      <c r="F338">
        <v>408857</v>
      </c>
      <c r="W338">
        <v>27.3</v>
      </c>
      <c r="X338">
        <v>80.5</v>
      </c>
      <c r="Y338">
        <v>0</v>
      </c>
      <c r="Z338">
        <v>0</v>
      </c>
      <c r="AA338">
        <v>1</v>
      </c>
      <c r="AB338" t="s">
        <v>385</v>
      </c>
      <c r="AC338">
        <v>0</v>
      </c>
    </row>
    <row r="339" spans="1:29">
      <c r="A339" t="s">
        <v>3030</v>
      </c>
      <c r="B339" t="s">
        <v>2785</v>
      </c>
      <c r="C339">
        <v>335</v>
      </c>
      <c r="D339" t="s">
        <v>2795</v>
      </c>
      <c r="E339" s="3" t="s">
        <v>2796</v>
      </c>
    </row>
    <row r="340" spans="1:29">
      <c r="A340" t="s">
        <v>3031</v>
      </c>
      <c r="B340" t="s">
        <v>2785</v>
      </c>
      <c r="C340">
        <v>336</v>
      </c>
      <c r="D340" t="s">
        <v>2798</v>
      </c>
      <c r="E340" s="3" t="s">
        <v>3032</v>
      </c>
      <c r="F340">
        <v>413877</v>
      </c>
      <c r="W340">
        <v>27.3</v>
      </c>
      <c r="X340">
        <v>80.400000000000006</v>
      </c>
      <c r="Y340">
        <v>-0.1</v>
      </c>
      <c r="Z340">
        <v>0</v>
      </c>
      <c r="AA340">
        <v>1</v>
      </c>
      <c r="AB340" t="s">
        <v>385</v>
      </c>
      <c r="AC340">
        <v>0</v>
      </c>
    </row>
    <row r="341" spans="1:29">
      <c r="A341" t="s">
        <v>3033</v>
      </c>
      <c r="B341" t="s">
        <v>2785</v>
      </c>
      <c r="C341">
        <v>337</v>
      </c>
      <c r="D341" t="s">
        <v>2795</v>
      </c>
      <c r="E341" s="3" t="s">
        <v>2796</v>
      </c>
    </row>
    <row r="342" spans="1:29">
      <c r="A342" t="s">
        <v>3034</v>
      </c>
      <c r="B342" t="s">
        <v>2785</v>
      </c>
      <c r="C342">
        <v>338</v>
      </c>
      <c r="D342" t="s">
        <v>2798</v>
      </c>
      <c r="E342" s="3" t="s">
        <v>3035</v>
      </c>
      <c r="F342">
        <v>418894</v>
      </c>
      <c r="W342">
        <v>27.3</v>
      </c>
      <c r="X342">
        <v>80.3</v>
      </c>
      <c r="Y342">
        <v>0.1</v>
      </c>
      <c r="Z342">
        <v>0</v>
      </c>
      <c r="AA342">
        <v>1</v>
      </c>
      <c r="AB342" t="s">
        <v>385</v>
      </c>
      <c r="AC342">
        <v>0</v>
      </c>
    </row>
    <row r="343" spans="1:29">
      <c r="A343" t="s">
        <v>3036</v>
      </c>
      <c r="B343" t="s">
        <v>2785</v>
      </c>
      <c r="C343">
        <v>339</v>
      </c>
      <c r="D343" t="s">
        <v>2795</v>
      </c>
      <c r="E343" s="3" t="s">
        <v>2796</v>
      </c>
    </row>
    <row r="344" spans="1:29">
      <c r="A344" t="s">
        <v>3037</v>
      </c>
      <c r="B344" t="s">
        <v>2785</v>
      </c>
      <c r="C344">
        <v>340</v>
      </c>
      <c r="D344" t="s">
        <v>2798</v>
      </c>
      <c r="E344" s="3" t="s">
        <v>3038</v>
      </c>
      <c r="F344">
        <v>423913</v>
      </c>
      <c r="W344">
        <v>27.2</v>
      </c>
      <c r="X344">
        <v>80.2</v>
      </c>
      <c r="Y344">
        <v>0</v>
      </c>
      <c r="Z344">
        <v>0</v>
      </c>
      <c r="AA344">
        <v>1</v>
      </c>
      <c r="AB344" t="s">
        <v>385</v>
      </c>
      <c r="AC344">
        <v>0</v>
      </c>
    </row>
    <row r="345" spans="1:29">
      <c r="A345" t="s">
        <v>3039</v>
      </c>
      <c r="B345" t="s">
        <v>2785</v>
      </c>
      <c r="C345">
        <v>341</v>
      </c>
      <c r="D345" t="s">
        <v>2795</v>
      </c>
      <c r="E345" s="3" t="s">
        <v>2796</v>
      </c>
    </row>
    <row r="346" spans="1:29">
      <c r="A346" t="s">
        <v>3040</v>
      </c>
      <c r="B346" t="s">
        <v>2785</v>
      </c>
      <c r="C346">
        <v>342</v>
      </c>
      <c r="D346" t="s">
        <v>2798</v>
      </c>
      <c r="E346" s="3" t="s">
        <v>3041</v>
      </c>
      <c r="F346">
        <v>428932</v>
      </c>
      <c r="W346">
        <v>27.3</v>
      </c>
      <c r="X346">
        <v>80.099999999999994</v>
      </c>
      <c r="Y346">
        <v>0.1</v>
      </c>
      <c r="Z346">
        <v>0</v>
      </c>
      <c r="AA346">
        <v>1</v>
      </c>
      <c r="AB346" t="s">
        <v>385</v>
      </c>
      <c r="AC346">
        <v>0</v>
      </c>
    </row>
    <row r="347" spans="1:29">
      <c r="A347" t="s">
        <v>3042</v>
      </c>
      <c r="B347" t="s">
        <v>2785</v>
      </c>
      <c r="C347">
        <v>343</v>
      </c>
      <c r="D347" t="s">
        <v>2795</v>
      </c>
      <c r="E347" s="3" t="s">
        <v>2796</v>
      </c>
    </row>
    <row r="348" spans="1:29">
      <c r="A348" t="s">
        <v>3043</v>
      </c>
      <c r="B348" t="s">
        <v>2785</v>
      </c>
      <c r="C348">
        <v>344</v>
      </c>
      <c r="D348" t="s">
        <v>2798</v>
      </c>
      <c r="E348" s="3" t="s">
        <v>3044</v>
      </c>
      <c r="F348">
        <v>433951</v>
      </c>
      <c r="W348">
        <v>27.3</v>
      </c>
      <c r="X348">
        <v>80.099999999999994</v>
      </c>
      <c r="Y348">
        <v>0</v>
      </c>
      <c r="Z348">
        <v>0</v>
      </c>
      <c r="AA348">
        <v>1</v>
      </c>
      <c r="AB348" t="s">
        <v>385</v>
      </c>
      <c r="AC348">
        <v>0</v>
      </c>
    </row>
    <row r="349" spans="1:29">
      <c r="A349" t="s">
        <v>3045</v>
      </c>
      <c r="B349" t="s">
        <v>2785</v>
      </c>
      <c r="C349">
        <v>345</v>
      </c>
      <c r="D349" t="s">
        <v>2795</v>
      </c>
      <c r="E349" s="3" t="s">
        <v>2796</v>
      </c>
    </row>
    <row r="350" spans="1:29">
      <c r="A350" t="s">
        <v>3046</v>
      </c>
      <c r="B350" t="s">
        <v>2785</v>
      </c>
      <c r="C350">
        <v>346</v>
      </c>
      <c r="D350" t="s">
        <v>2798</v>
      </c>
      <c r="E350" s="3" t="s">
        <v>3047</v>
      </c>
      <c r="F350">
        <v>438969</v>
      </c>
      <c r="W350">
        <v>27.3</v>
      </c>
      <c r="X350">
        <v>80</v>
      </c>
      <c r="Y350">
        <v>0</v>
      </c>
      <c r="Z350">
        <v>0</v>
      </c>
      <c r="AA350">
        <v>0</v>
      </c>
      <c r="AB350" t="s">
        <v>385</v>
      </c>
      <c r="AC350">
        <v>0</v>
      </c>
    </row>
    <row r="351" spans="1:29">
      <c r="A351" t="s">
        <v>3048</v>
      </c>
      <c r="B351" t="s">
        <v>2785</v>
      </c>
      <c r="C351">
        <v>347</v>
      </c>
      <c r="D351" t="s">
        <v>2795</v>
      </c>
      <c r="E351" s="3" t="s">
        <v>2796</v>
      </c>
    </row>
    <row r="352" spans="1:29">
      <c r="A352" t="s">
        <v>3049</v>
      </c>
      <c r="B352" t="s">
        <v>2785</v>
      </c>
      <c r="C352">
        <v>348</v>
      </c>
      <c r="D352" t="s">
        <v>2798</v>
      </c>
      <c r="E352" s="3" t="s">
        <v>3050</v>
      </c>
      <c r="F352">
        <v>443988</v>
      </c>
      <c r="W352">
        <v>27.3</v>
      </c>
      <c r="X352">
        <v>80</v>
      </c>
      <c r="Y352">
        <v>-0.8</v>
      </c>
      <c r="Z352">
        <v>0</v>
      </c>
      <c r="AA352">
        <v>1</v>
      </c>
      <c r="AB352" t="s">
        <v>385</v>
      </c>
      <c r="AC352">
        <v>0</v>
      </c>
    </row>
    <row r="353" spans="1:29">
      <c r="A353" t="s">
        <v>3051</v>
      </c>
      <c r="B353" t="s">
        <v>2785</v>
      </c>
      <c r="C353">
        <v>349</v>
      </c>
      <c r="D353" t="s">
        <v>2795</v>
      </c>
      <c r="E353" s="3" t="s">
        <v>2796</v>
      </c>
    </row>
    <row r="354" spans="1:29">
      <c r="A354" t="s">
        <v>3052</v>
      </c>
      <c r="B354" t="s">
        <v>2785</v>
      </c>
      <c r="C354">
        <v>350</v>
      </c>
      <c r="D354" t="s">
        <v>2798</v>
      </c>
      <c r="E354" s="3" t="s">
        <v>3053</v>
      </c>
      <c r="F354">
        <v>449007</v>
      </c>
      <c r="W354">
        <v>27.3</v>
      </c>
      <c r="X354">
        <v>80.099999999999994</v>
      </c>
      <c r="Y354">
        <v>-1.1000000000000001</v>
      </c>
      <c r="Z354">
        <v>0</v>
      </c>
      <c r="AA354">
        <v>1</v>
      </c>
      <c r="AB354" t="s">
        <v>385</v>
      </c>
      <c r="AC354">
        <v>0</v>
      </c>
    </row>
    <row r="355" spans="1:29">
      <c r="A355" t="s">
        <v>3054</v>
      </c>
      <c r="B355" t="s">
        <v>2785</v>
      </c>
      <c r="C355">
        <v>351</v>
      </c>
      <c r="D355" t="s">
        <v>2795</v>
      </c>
      <c r="E355" s="3" t="s">
        <v>2796</v>
      </c>
    </row>
    <row r="356" spans="1:29">
      <c r="A356" t="s">
        <v>3055</v>
      </c>
      <c r="B356" t="s">
        <v>2785</v>
      </c>
      <c r="C356">
        <v>352</v>
      </c>
      <c r="D356" t="s">
        <v>2798</v>
      </c>
      <c r="E356" s="3" t="s">
        <v>3056</v>
      </c>
      <c r="F356">
        <v>454025</v>
      </c>
      <c r="W356">
        <v>27.3</v>
      </c>
      <c r="X356">
        <v>80.099999999999994</v>
      </c>
      <c r="Y356">
        <v>-1.2</v>
      </c>
      <c r="Z356">
        <v>0</v>
      </c>
      <c r="AA356">
        <v>1</v>
      </c>
      <c r="AB356" t="s">
        <v>385</v>
      </c>
      <c r="AC356">
        <v>0</v>
      </c>
    </row>
    <row r="357" spans="1:29">
      <c r="A357" t="s">
        <v>3057</v>
      </c>
      <c r="B357" t="s">
        <v>2785</v>
      </c>
      <c r="C357">
        <v>353</v>
      </c>
      <c r="D357" t="s">
        <v>2939</v>
      </c>
      <c r="E357" s="3" t="s">
        <v>436</v>
      </c>
    </row>
    <row r="358" spans="1:29">
      <c r="A358" t="s">
        <v>3058</v>
      </c>
      <c r="B358" t="s">
        <v>2785</v>
      </c>
      <c r="C358">
        <v>354</v>
      </c>
      <c r="D358" t="s">
        <v>2939</v>
      </c>
      <c r="E358" s="3" t="s">
        <v>2941</v>
      </c>
    </row>
    <row r="359" spans="1:29">
      <c r="A359" t="s">
        <v>3059</v>
      </c>
      <c r="B359" t="s">
        <v>2785</v>
      </c>
      <c r="C359">
        <v>355</v>
      </c>
      <c r="D359" t="s">
        <v>2795</v>
      </c>
      <c r="E359" s="3" t="s">
        <v>2796</v>
      </c>
    </row>
    <row r="360" spans="1:29">
      <c r="A360" t="s">
        <v>3060</v>
      </c>
      <c r="B360" t="s">
        <v>2785</v>
      </c>
      <c r="C360">
        <v>356</v>
      </c>
      <c r="D360" t="s">
        <v>2798</v>
      </c>
      <c r="E360" s="3" t="s">
        <v>3061</v>
      </c>
      <c r="F360">
        <v>466339</v>
      </c>
      <c r="W360">
        <v>27.3</v>
      </c>
      <c r="X360">
        <v>80.3</v>
      </c>
      <c r="Y360">
        <v>31.1</v>
      </c>
      <c r="Z360">
        <v>0</v>
      </c>
      <c r="AA360">
        <v>1</v>
      </c>
      <c r="AB360" t="s">
        <v>385</v>
      </c>
      <c r="AC360">
        <v>1</v>
      </c>
    </row>
    <row r="361" spans="1:29">
      <c r="A361" t="s">
        <v>3062</v>
      </c>
      <c r="B361" t="s">
        <v>2785</v>
      </c>
      <c r="C361">
        <v>357</v>
      </c>
      <c r="D361" t="s">
        <v>2795</v>
      </c>
      <c r="E361" s="3" t="s">
        <v>2796</v>
      </c>
    </row>
    <row r="362" spans="1:29">
      <c r="A362" t="s">
        <v>3063</v>
      </c>
      <c r="B362" t="s">
        <v>2785</v>
      </c>
      <c r="C362">
        <v>358</v>
      </c>
      <c r="D362" t="s">
        <v>2798</v>
      </c>
      <c r="E362" s="3" t="s">
        <v>3064</v>
      </c>
      <c r="F362">
        <v>471500</v>
      </c>
      <c r="W362">
        <v>27.3</v>
      </c>
      <c r="X362">
        <v>80.5</v>
      </c>
      <c r="Y362">
        <v>-9.9</v>
      </c>
      <c r="Z362">
        <v>0</v>
      </c>
      <c r="AA362">
        <v>1</v>
      </c>
      <c r="AB362" t="s">
        <v>385</v>
      </c>
      <c r="AC362">
        <v>1</v>
      </c>
    </row>
    <row r="363" spans="1:29">
      <c r="A363" t="s">
        <v>3065</v>
      </c>
      <c r="B363" t="s">
        <v>2785</v>
      </c>
      <c r="C363">
        <v>359</v>
      </c>
      <c r="D363" t="s">
        <v>2795</v>
      </c>
      <c r="E363" s="3" t="s">
        <v>2796</v>
      </c>
    </row>
    <row r="364" spans="1:29">
      <c r="A364" t="s">
        <v>3066</v>
      </c>
      <c r="B364" t="s">
        <v>2785</v>
      </c>
      <c r="C364">
        <v>360</v>
      </c>
      <c r="D364" t="s">
        <v>2798</v>
      </c>
      <c r="E364" s="3" t="s">
        <v>3067</v>
      </c>
      <c r="F364">
        <v>476518</v>
      </c>
      <c r="W364">
        <v>27.3</v>
      </c>
      <c r="X364">
        <v>80.5</v>
      </c>
      <c r="Y364">
        <v>-3.2</v>
      </c>
      <c r="Z364">
        <v>0</v>
      </c>
      <c r="AA364">
        <v>1</v>
      </c>
      <c r="AB364" t="s">
        <v>385</v>
      </c>
      <c r="AC364">
        <v>1</v>
      </c>
    </row>
    <row r="365" spans="1:29">
      <c r="A365" t="s">
        <v>3068</v>
      </c>
      <c r="B365" t="s">
        <v>2785</v>
      </c>
      <c r="C365">
        <v>361</v>
      </c>
      <c r="D365" t="s">
        <v>2795</v>
      </c>
      <c r="E365" s="3" t="s">
        <v>2796</v>
      </c>
    </row>
    <row r="366" spans="1:29">
      <c r="A366" t="s">
        <v>3069</v>
      </c>
      <c r="B366" t="s">
        <v>2785</v>
      </c>
      <c r="C366">
        <v>362</v>
      </c>
      <c r="D366" t="s">
        <v>2798</v>
      </c>
      <c r="E366" s="3" t="s">
        <v>3070</v>
      </c>
      <c r="F366">
        <v>481538</v>
      </c>
      <c r="W366">
        <v>27.2</v>
      </c>
      <c r="X366">
        <v>80.5</v>
      </c>
      <c r="Y366">
        <v>-0.5</v>
      </c>
      <c r="Z366">
        <v>0</v>
      </c>
      <c r="AA366">
        <v>1</v>
      </c>
      <c r="AB366" t="s">
        <v>385</v>
      </c>
      <c r="AC366">
        <v>1</v>
      </c>
    </row>
    <row r="367" spans="1:29">
      <c r="A367" t="s">
        <v>3071</v>
      </c>
      <c r="B367" t="s">
        <v>2785</v>
      </c>
      <c r="C367">
        <v>363</v>
      </c>
      <c r="D367" t="s">
        <v>2795</v>
      </c>
      <c r="E367" s="3" t="s">
        <v>2796</v>
      </c>
    </row>
    <row r="368" spans="1:29">
      <c r="A368" t="s">
        <v>3072</v>
      </c>
      <c r="B368" t="s">
        <v>2785</v>
      </c>
      <c r="C368">
        <v>364</v>
      </c>
      <c r="D368" t="s">
        <v>2798</v>
      </c>
      <c r="E368" s="3" t="s">
        <v>3073</v>
      </c>
      <c r="F368">
        <v>486555</v>
      </c>
      <c r="W368">
        <v>27.3</v>
      </c>
      <c r="X368">
        <v>80.5</v>
      </c>
      <c r="Y368">
        <v>0</v>
      </c>
      <c r="Z368">
        <v>0</v>
      </c>
      <c r="AA368">
        <v>1</v>
      </c>
      <c r="AB368" t="s">
        <v>385</v>
      </c>
      <c r="AC368">
        <v>1</v>
      </c>
    </row>
    <row r="369" spans="1:29">
      <c r="A369" t="s">
        <v>3074</v>
      </c>
      <c r="B369" t="s">
        <v>2785</v>
      </c>
      <c r="C369">
        <v>365</v>
      </c>
      <c r="D369" t="s">
        <v>2939</v>
      </c>
      <c r="E369" s="3" t="s">
        <v>436</v>
      </c>
    </row>
    <row r="370" spans="1:29">
      <c r="A370" t="s">
        <v>3075</v>
      </c>
      <c r="B370" t="s">
        <v>2785</v>
      </c>
      <c r="C370">
        <v>366</v>
      </c>
      <c r="D370" t="s">
        <v>2939</v>
      </c>
      <c r="E370" s="3" t="s">
        <v>3076</v>
      </c>
    </row>
    <row r="371" spans="1:29">
      <c r="A371" t="s">
        <v>3077</v>
      </c>
      <c r="B371" t="s">
        <v>2785</v>
      </c>
      <c r="C371">
        <v>367</v>
      </c>
      <c r="D371" t="s">
        <v>2795</v>
      </c>
      <c r="E371" s="3" t="s">
        <v>2796</v>
      </c>
    </row>
    <row r="372" spans="1:29">
      <c r="A372" t="s">
        <v>3078</v>
      </c>
      <c r="B372" t="s">
        <v>2785</v>
      </c>
      <c r="C372">
        <v>368</v>
      </c>
      <c r="D372" t="s">
        <v>2798</v>
      </c>
      <c r="E372" s="3" t="s">
        <v>3079</v>
      </c>
      <c r="F372">
        <v>492331</v>
      </c>
      <c r="W372">
        <v>27.3</v>
      </c>
      <c r="X372">
        <v>80.7</v>
      </c>
      <c r="Y372">
        <v>41.2</v>
      </c>
      <c r="Z372">
        <v>0</v>
      </c>
      <c r="AA372">
        <v>1</v>
      </c>
      <c r="AB372" t="s">
        <v>385</v>
      </c>
      <c r="AC372">
        <v>2</v>
      </c>
    </row>
    <row r="373" spans="1:29">
      <c r="A373" t="s">
        <v>3080</v>
      </c>
      <c r="B373" t="s">
        <v>2785</v>
      </c>
      <c r="C373">
        <v>369</v>
      </c>
      <c r="D373" t="s">
        <v>2795</v>
      </c>
      <c r="E373" s="3" t="s">
        <v>2796</v>
      </c>
    </row>
    <row r="374" spans="1:29">
      <c r="A374" t="s">
        <v>3081</v>
      </c>
      <c r="B374" t="s">
        <v>2785</v>
      </c>
      <c r="C374">
        <v>370</v>
      </c>
      <c r="D374" t="s">
        <v>2798</v>
      </c>
      <c r="E374" s="3" t="s">
        <v>3082</v>
      </c>
      <c r="F374">
        <v>497330</v>
      </c>
      <c r="W374">
        <v>27.3</v>
      </c>
      <c r="X374">
        <v>80.8</v>
      </c>
      <c r="Y374">
        <v>-2.1</v>
      </c>
      <c r="Z374">
        <v>0</v>
      </c>
      <c r="AA374">
        <v>1</v>
      </c>
      <c r="AB374" t="s">
        <v>385</v>
      </c>
      <c r="AC374">
        <v>2</v>
      </c>
    </row>
    <row r="375" spans="1:29">
      <c r="A375" t="s">
        <v>3083</v>
      </c>
      <c r="B375" t="s">
        <v>2785</v>
      </c>
      <c r="C375">
        <v>371</v>
      </c>
      <c r="D375" t="s">
        <v>2939</v>
      </c>
      <c r="E375" s="3" t="s">
        <v>436</v>
      </c>
    </row>
    <row r="376" spans="1:29">
      <c r="A376" t="s">
        <v>3084</v>
      </c>
      <c r="B376" t="s">
        <v>2785</v>
      </c>
      <c r="C376">
        <v>372</v>
      </c>
      <c r="D376" t="s">
        <v>2939</v>
      </c>
      <c r="E376" s="3" t="s">
        <v>3085</v>
      </c>
    </row>
    <row r="377" spans="1:29">
      <c r="A377" t="s">
        <v>3086</v>
      </c>
      <c r="B377" t="s">
        <v>2785</v>
      </c>
      <c r="C377">
        <v>373</v>
      </c>
      <c r="D377" t="s">
        <v>2795</v>
      </c>
      <c r="E377" s="3" t="s">
        <v>2796</v>
      </c>
    </row>
    <row r="378" spans="1:29">
      <c r="A378" t="s">
        <v>3087</v>
      </c>
      <c r="B378" t="s">
        <v>2785</v>
      </c>
      <c r="C378">
        <v>374</v>
      </c>
      <c r="D378" t="s">
        <v>2798</v>
      </c>
      <c r="E378" s="3" t="s">
        <v>3088</v>
      </c>
      <c r="F378">
        <v>502942</v>
      </c>
      <c r="W378">
        <v>27.3</v>
      </c>
      <c r="X378">
        <v>80.8</v>
      </c>
      <c r="Y378">
        <v>35.299999999999997</v>
      </c>
      <c r="Z378">
        <v>0</v>
      </c>
      <c r="AA378">
        <v>1</v>
      </c>
      <c r="AB378" t="s">
        <v>385</v>
      </c>
      <c r="AC378">
        <v>0</v>
      </c>
    </row>
    <row r="379" spans="1:29">
      <c r="A379" t="s">
        <v>3089</v>
      </c>
      <c r="B379" t="s">
        <v>2785</v>
      </c>
      <c r="C379">
        <v>375</v>
      </c>
      <c r="D379" t="s">
        <v>2795</v>
      </c>
      <c r="E379" s="3" t="s">
        <v>2796</v>
      </c>
    </row>
    <row r="380" spans="1:29">
      <c r="A380" t="s">
        <v>3090</v>
      </c>
      <c r="B380" t="s">
        <v>2785</v>
      </c>
      <c r="C380">
        <v>376</v>
      </c>
      <c r="D380" t="s">
        <v>2798</v>
      </c>
      <c r="E380" s="3" t="s">
        <v>3091</v>
      </c>
      <c r="F380">
        <v>508116</v>
      </c>
      <c r="W380">
        <v>27.3</v>
      </c>
      <c r="X380">
        <v>80.8</v>
      </c>
      <c r="Y380">
        <v>-1.4</v>
      </c>
      <c r="Z380">
        <v>0</v>
      </c>
      <c r="AA380">
        <v>1</v>
      </c>
      <c r="AB380" t="s">
        <v>385</v>
      </c>
      <c r="AC380">
        <v>0</v>
      </c>
    </row>
    <row r="381" spans="1:29">
      <c r="A381" t="s">
        <v>3092</v>
      </c>
      <c r="B381" t="s">
        <v>2785</v>
      </c>
      <c r="C381">
        <v>377</v>
      </c>
      <c r="D381" t="s">
        <v>2795</v>
      </c>
      <c r="E381" s="3" t="s">
        <v>2796</v>
      </c>
    </row>
    <row r="382" spans="1:29">
      <c r="A382" t="s">
        <v>3093</v>
      </c>
      <c r="B382" t="s">
        <v>2785</v>
      </c>
      <c r="C382">
        <v>378</v>
      </c>
      <c r="D382" t="s">
        <v>2798</v>
      </c>
      <c r="E382" s="3" t="s">
        <v>3094</v>
      </c>
      <c r="F382">
        <v>513134</v>
      </c>
      <c r="W382">
        <v>27.3</v>
      </c>
      <c r="X382">
        <v>80.8</v>
      </c>
      <c r="Y382">
        <v>-11.1</v>
      </c>
      <c r="Z382">
        <v>0</v>
      </c>
      <c r="AA382">
        <v>1</v>
      </c>
      <c r="AB382" t="s">
        <v>385</v>
      </c>
      <c r="AC382">
        <v>0</v>
      </c>
    </row>
    <row r="383" spans="1:29">
      <c r="A383" t="s">
        <v>3095</v>
      </c>
      <c r="B383" t="s">
        <v>2785</v>
      </c>
      <c r="C383">
        <v>379</v>
      </c>
      <c r="D383" t="s">
        <v>2795</v>
      </c>
      <c r="E383" s="3" t="s">
        <v>2796</v>
      </c>
    </row>
    <row r="384" spans="1:29">
      <c r="A384" t="s">
        <v>3096</v>
      </c>
      <c r="B384" t="s">
        <v>2785</v>
      </c>
      <c r="C384">
        <v>380</v>
      </c>
      <c r="D384" t="s">
        <v>2798</v>
      </c>
      <c r="E384" s="3" t="s">
        <v>3097</v>
      </c>
      <c r="F384">
        <v>518154</v>
      </c>
      <c r="W384">
        <v>27.3</v>
      </c>
      <c r="X384">
        <v>80.900000000000006</v>
      </c>
      <c r="Y384">
        <v>-4.0999999999999996</v>
      </c>
      <c r="Z384">
        <v>0</v>
      </c>
      <c r="AA384">
        <v>1</v>
      </c>
      <c r="AB384" t="s">
        <v>385</v>
      </c>
      <c r="AC384">
        <v>0</v>
      </c>
    </row>
    <row r="385" spans="1:29">
      <c r="A385" t="s">
        <v>3098</v>
      </c>
      <c r="B385" t="s">
        <v>2785</v>
      </c>
      <c r="C385">
        <v>381</v>
      </c>
      <c r="D385" t="s">
        <v>2795</v>
      </c>
      <c r="E385" s="3" t="s">
        <v>2796</v>
      </c>
    </row>
    <row r="386" spans="1:29">
      <c r="A386" t="s">
        <v>3099</v>
      </c>
      <c r="B386" t="s">
        <v>2785</v>
      </c>
      <c r="C386">
        <v>382</v>
      </c>
      <c r="D386" t="s">
        <v>2798</v>
      </c>
      <c r="E386" s="3" t="s">
        <v>3100</v>
      </c>
      <c r="F386">
        <v>523171</v>
      </c>
      <c r="W386">
        <v>27.3</v>
      </c>
      <c r="X386">
        <v>81</v>
      </c>
      <c r="Y386">
        <v>-3.2</v>
      </c>
      <c r="Z386">
        <v>0</v>
      </c>
      <c r="AA386">
        <v>1</v>
      </c>
      <c r="AB386" t="s">
        <v>385</v>
      </c>
      <c r="AC386">
        <v>0</v>
      </c>
    </row>
    <row r="387" spans="1:29">
      <c r="A387" t="s">
        <v>3101</v>
      </c>
      <c r="B387" t="s">
        <v>2785</v>
      </c>
      <c r="C387">
        <v>383</v>
      </c>
      <c r="D387" t="s">
        <v>2795</v>
      </c>
      <c r="E387" s="3" t="s">
        <v>2796</v>
      </c>
    </row>
    <row r="388" spans="1:29">
      <c r="A388" t="s">
        <v>3102</v>
      </c>
      <c r="B388" t="s">
        <v>2785</v>
      </c>
      <c r="C388">
        <v>384</v>
      </c>
      <c r="D388" t="s">
        <v>2798</v>
      </c>
      <c r="E388" s="3" t="s">
        <v>3103</v>
      </c>
      <c r="F388">
        <v>528190</v>
      </c>
      <c r="W388">
        <v>27.3</v>
      </c>
      <c r="X388">
        <v>81</v>
      </c>
      <c r="Y388">
        <v>-2.5</v>
      </c>
      <c r="Z388">
        <v>0</v>
      </c>
      <c r="AA388">
        <v>1</v>
      </c>
      <c r="AB388" t="s">
        <v>385</v>
      </c>
      <c r="AC388">
        <v>0</v>
      </c>
    </row>
    <row r="389" spans="1:29">
      <c r="A389" t="s">
        <v>3104</v>
      </c>
      <c r="B389" t="s">
        <v>2785</v>
      </c>
      <c r="C389">
        <v>385</v>
      </c>
      <c r="D389" t="s">
        <v>2795</v>
      </c>
      <c r="E389" s="3" t="s">
        <v>2796</v>
      </c>
    </row>
    <row r="390" spans="1:29">
      <c r="A390" t="s">
        <v>3105</v>
      </c>
      <c r="B390" t="s">
        <v>2785</v>
      </c>
      <c r="C390">
        <v>386</v>
      </c>
      <c r="D390" t="s">
        <v>2798</v>
      </c>
      <c r="E390" s="3" t="s">
        <v>3106</v>
      </c>
      <c r="F390">
        <v>533209</v>
      </c>
      <c r="W390">
        <v>27.3</v>
      </c>
      <c r="X390">
        <v>81.099999999999994</v>
      </c>
      <c r="Y390">
        <v>-11.8</v>
      </c>
      <c r="Z390">
        <v>0</v>
      </c>
      <c r="AA390">
        <v>1</v>
      </c>
      <c r="AB390" t="s">
        <v>385</v>
      </c>
      <c r="AC390">
        <v>0</v>
      </c>
    </row>
    <row r="391" spans="1:29">
      <c r="A391" t="s">
        <v>3107</v>
      </c>
      <c r="B391" t="s">
        <v>2785</v>
      </c>
      <c r="C391">
        <v>387</v>
      </c>
      <c r="D391" t="s">
        <v>2795</v>
      </c>
      <c r="E391" s="3" t="s">
        <v>2796</v>
      </c>
    </row>
    <row r="392" spans="1:29">
      <c r="A392" t="s">
        <v>3108</v>
      </c>
      <c r="B392" t="s">
        <v>2785</v>
      </c>
      <c r="C392">
        <v>388</v>
      </c>
      <c r="D392" t="s">
        <v>2798</v>
      </c>
      <c r="E392" s="3" t="s">
        <v>3109</v>
      </c>
      <c r="F392">
        <v>538226</v>
      </c>
      <c r="W392">
        <v>27.3</v>
      </c>
      <c r="X392">
        <v>81</v>
      </c>
      <c r="Y392">
        <v>-5.9</v>
      </c>
      <c r="Z392">
        <v>0</v>
      </c>
      <c r="AA392">
        <v>1</v>
      </c>
      <c r="AB392" t="s">
        <v>385</v>
      </c>
      <c r="AC392">
        <v>0</v>
      </c>
    </row>
    <row r="393" spans="1:29">
      <c r="A393" t="s">
        <v>3110</v>
      </c>
      <c r="B393" t="s">
        <v>2785</v>
      </c>
      <c r="C393">
        <v>389</v>
      </c>
      <c r="D393" t="s">
        <v>2795</v>
      </c>
      <c r="E393" s="3" t="s">
        <v>2796</v>
      </c>
    </row>
    <row r="394" spans="1:29">
      <c r="A394" t="s">
        <v>3111</v>
      </c>
      <c r="B394" t="s">
        <v>2785</v>
      </c>
      <c r="C394">
        <v>390</v>
      </c>
      <c r="D394" t="s">
        <v>2798</v>
      </c>
      <c r="E394" s="3" t="s">
        <v>3112</v>
      </c>
      <c r="F394">
        <v>543245</v>
      </c>
      <c r="W394">
        <v>27.3</v>
      </c>
      <c r="X394">
        <v>81</v>
      </c>
      <c r="Y394">
        <v>-4.7</v>
      </c>
      <c r="Z394">
        <v>0</v>
      </c>
      <c r="AA394">
        <v>1</v>
      </c>
      <c r="AB394" t="s">
        <v>385</v>
      </c>
      <c r="AC394">
        <v>0</v>
      </c>
    </row>
    <row r="395" spans="1:29">
      <c r="A395" t="s">
        <v>3113</v>
      </c>
      <c r="B395" t="s">
        <v>2785</v>
      </c>
      <c r="C395">
        <v>391</v>
      </c>
      <c r="D395" t="s">
        <v>2795</v>
      </c>
      <c r="E395" s="3" t="s">
        <v>2796</v>
      </c>
    </row>
    <row r="396" spans="1:29">
      <c r="A396" t="s">
        <v>3114</v>
      </c>
      <c r="B396" t="s">
        <v>2785</v>
      </c>
      <c r="C396">
        <v>392</v>
      </c>
      <c r="D396" t="s">
        <v>2798</v>
      </c>
      <c r="E396" s="3" t="s">
        <v>3115</v>
      </c>
      <c r="F396">
        <v>548264</v>
      </c>
      <c r="W396">
        <v>27.3</v>
      </c>
      <c r="X396">
        <v>81</v>
      </c>
      <c r="Y396">
        <v>-4.0999999999999996</v>
      </c>
      <c r="Z396">
        <v>0</v>
      </c>
      <c r="AA396">
        <v>1</v>
      </c>
      <c r="AB396" t="s">
        <v>385</v>
      </c>
      <c r="AC396">
        <v>0</v>
      </c>
    </row>
    <row r="397" spans="1:29">
      <c r="A397" t="s">
        <v>3116</v>
      </c>
      <c r="B397" t="s">
        <v>2785</v>
      </c>
      <c r="C397">
        <v>393</v>
      </c>
      <c r="D397" t="s">
        <v>2939</v>
      </c>
      <c r="E397" s="3" t="s">
        <v>436</v>
      </c>
    </row>
    <row r="398" spans="1:29">
      <c r="A398" t="s">
        <v>3117</v>
      </c>
      <c r="B398" t="s">
        <v>2785</v>
      </c>
      <c r="C398">
        <v>394</v>
      </c>
      <c r="D398" t="s">
        <v>2939</v>
      </c>
      <c r="E398" s="3" t="s">
        <v>2990</v>
      </c>
    </row>
    <row r="399" spans="1:29">
      <c r="A399" t="s">
        <v>3118</v>
      </c>
      <c r="B399" t="s">
        <v>2785</v>
      </c>
      <c r="C399">
        <v>395</v>
      </c>
      <c r="D399" t="s">
        <v>2795</v>
      </c>
      <c r="E399" s="3" t="s">
        <v>2796</v>
      </c>
    </row>
    <row r="400" spans="1:29">
      <c r="A400" t="s">
        <v>3119</v>
      </c>
      <c r="B400" t="s">
        <v>2785</v>
      </c>
      <c r="C400">
        <v>396</v>
      </c>
      <c r="D400" t="s">
        <v>2798</v>
      </c>
      <c r="E400" s="3" t="s">
        <v>3120</v>
      </c>
      <c r="F400">
        <v>564671</v>
      </c>
      <c r="W400">
        <v>27.3</v>
      </c>
      <c r="X400">
        <v>81.099999999999994</v>
      </c>
      <c r="Y400">
        <v>11</v>
      </c>
      <c r="Z400">
        <v>0</v>
      </c>
      <c r="AA400">
        <v>1</v>
      </c>
      <c r="AB400" t="s">
        <v>385</v>
      </c>
      <c r="AC400">
        <v>0</v>
      </c>
    </row>
    <row r="401" spans="1:29">
      <c r="A401" t="s">
        <v>3121</v>
      </c>
      <c r="B401" t="s">
        <v>2785</v>
      </c>
      <c r="C401">
        <v>397</v>
      </c>
      <c r="D401" t="s">
        <v>2795</v>
      </c>
      <c r="E401" s="3" t="s">
        <v>2796</v>
      </c>
    </row>
    <row r="402" spans="1:29">
      <c r="A402" t="s">
        <v>3122</v>
      </c>
      <c r="B402" t="s">
        <v>2785</v>
      </c>
      <c r="C402">
        <v>398</v>
      </c>
      <c r="D402" t="s">
        <v>2798</v>
      </c>
      <c r="E402" s="3" t="s">
        <v>3123</v>
      </c>
      <c r="F402">
        <v>569830</v>
      </c>
      <c r="W402">
        <v>27.3</v>
      </c>
      <c r="X402">
        <v>81.3</v>
      </c>
      <c r="Y402">
        <v>-3.9</v>
      </c>
      <c r="Z402">
        <v>0</v>
      </c>
      <c r="AA402">
        <v>1</v>
      </c>
      <c r="AB402" t="s">
        <v>385</v>
      </c>
      <c r="AC402">
        <v>0</v>
      </c>
    </row>
    <row r="403" spans="1:29">
      <c r="A403" t="s">
        <v>3124</v>
      </c>
      <c r="B403" t="s">
        <v>2785</v>
      </c>
      <c r="C403">
        <v>399</v>
      </c>
      <c r="D403" t="s">
        <v>2795</v>
      </c>
      <c r="E403" s="3" t="s">
        <v>2796</v>
      </c>
    </row>
    <row r="404" spans="1:29">
      <c r="A404" t="s">
        <v>3125</v>
      </c>
      <c r="B404" t="s">
        <v>2785</v>
      </c>
      <c r="C404">
        <v>400</v>
      </c>
      <c r="D404" t="s">
        <v>2798</v>
      </c>
      <c r="E404" s="3" t="s">
        <v>3126</v>
      </c>
      <c r="F404">
        <v>574849</v>
      </c>
      <c r="W404">
        <v>27.3</v>
      </c>
      <c r="X404">
        <v>81.3</v>
      </c>
      <c r="Y404">
        <v>-3.7</v>
      </c>
      <c r="Z404">
        <v>0</v>
      </c>
      <c r="AA404">
        <v>1</v>
      </c>
      <c r="AB404" t="s">
        <v>385</v>
      </c>
      <c r="AC404">
        <v>0</v>
      </c>
    </row>
    <row r="405" spans="1:29">
      <c r="A405" t="s">
        <v>3127</v>
      </c>
      <c r="B405" t="s">
        <v>2785</v>
      </c>
      <c r="C405">
        <v>401</v>
      </c>
      <c r="D405" t="s">
        <v>2795</v>
      </c>
      <c r="E405" s="3" t="s">
        <v>2796</v>
      </c>
    </row>
    <row r="406" spans="1:29">
      <c r="A406" t="s">
        <v>3128</v>
      </c>
      <c r="B406" t="s">
        <v>2785</v>
      </c>
      <c r="C406">
        <v>402</v>
      </c>
      <c r="D406" t="s">
        <v>2798</v>
      </c>
      <c r="E406" s="3" t="s">
        <v>3129</v>
      </c>
      <c r="F406">
        <v>579867</v>
      </c>
      <c r="W406">
        <v>27.3</v>
      </c>
      <c r="X406">
        <v>81</v>
      </c>
      <c r="Y406">
        <v>-3.5</v>
      </c>
      <c r="Z406">
        <v>0</v>
      </c>
      <c r="AA406">
        <v>1</v>
      </c>
      <c r="AB406" t="s">
        <v>385</v>
      </c>
      <c r="AC406">
        <v>0</v>
      </c>
    </row>
    <row r="407" spans="1:29">
      <c r="A407" t="s">
        <v>3130</v>
      </c>
      <c r="B407" t="s">
        <v>2785</v>
      </c>
      <c r="C407">
        <v>403</v>
      </c>
      <c r="D407" t="s">
        <v>2795</v>
      </c>
      <c r="E407" s="3" t="s">
        <v>2796</v>
      </c>
    </row>
    <row r="408" spans="1:29">
      <c r="A408" t="s">
        <v>3131</v>
      </c>
      <c r="B408" t="s">
        <v>2785</v>
      </c>
      <c r="C408">
        <v>404</v>
      </c>
      <c r="D408" t="s">
        <v>2798</v>
      </c>
      <c r="E408" s="3" t="s">
        <v>3132</v>
      </c>
      <c r="F408">
        <v>584886</v>
      </c>
      <c r="W408">
        <v>27.3</v>
      </c>
      <c r="X408">
        <v>81</v>
      </c>
      <c r="Y408">
        <v>-3.4</v>
      </c>
      <c r="Z408">
        <v>0</v>
      </c>
      <c r="AA408">
        <v>1</v>
      </c>
      <c r="AB408" t="s">
        <v>385</v>
      </c>
      <c r="AC408">
        <v>0</v>
      </c>
    </row>
    <row r="409" spans="1:29">
      <c r="A409" t="s">
        <v>3133</v>
      </c>
      <c r="B409" t="s">
        <v>2785</v>
      </c>
      <c r="C409">
        <v>405</v>
      </c>
      <c r="D409" t="s">
        <v>2795</v>
      </c>
      <c r="E409" s="3" t="s">
        <v>2796</v>
      </c>
    </row>
    <row r="410" spans="1:29">
      <c r="A410" t="s">
        <v>3134</v>
      </c>
      <c r="B410" t="s">
        <v>2785</v>
      </c>
      <c r="C410">
        <v>406</v>
      </c>
      <c r="D410" t="s">
        <v>2798</v>
      </c>
      <c r="E410" s="3" t="s">
        <v>3135</v>
      </c>
      <c r="F410">
        <v>589903</v>
      </c>
      <c r="W410">
        <v>27.3</v>
      </c>
      <c r="X410">
        <v>81</v>
      </c>
      <c r="Y410">
        <v>-3.3</v>
      </c>
      <c r="Z410">
        <v>0</v>
      </c>
      <c r="AA410">
        <v>1</v>
      </c>
      <c r="AB410" t="s">
        <v>385</v>
      </c>
      <c r="AC410">
        <v>0</v>
      </c>
    </row>
    <row r="411" spans="1:29">
      <c r="A411" t="s">
        <v>3136</v>
      </c>
      <c r="B411" t="s">
        <v>2785</v>
      </c>
      <c r="C411">
        <v>407</v>
      </c>
      <c r="D411" t="s">
        <v>2795</v>
      </c>
      <c r="E411" s="3" t="s">
        <v>2796</v>
      </c>
    </row>
    <row r="412" spans="1:29">
      <c r="A412" t="s">
        <v>3137</v>
      </c>
      <c r="B412" t="s">
        <v>2785</v>
      </c>
      <c r="C412">
        <v>408</v>
      </c>
      <c r="D412" t="s">
        <v>2798</v>
      </c>
      <c r="E412" s="3" t="s">
        <v>3138</v>
      </c>
      <c r="F412">
        <v>594921</v>
      </c>
      <c r="W412">
        <v>27.3</v>
      </c>
      <c r="X412">
        <v>81.099999999999994</v>
      </c>
      <c r="Y412">
        <v>-3.3</v>
      </c>
      <c r="Z412">
        <v>0</v>
      </c>
      <c r="AA412">
        <v>1</v>
      </c>
      <c r="AB412" t="s">
        <v>385</v>
      </c>
      <c r="AC412">
        <v>0</v>
      </c>
    </row>
    <row r="413" spans="1:29">
      <c r="A413" t="s">
        <v>3139</v>
      </c>
      <c r="B413" t="s">
        <v>2785</v>
      </c>
      <c r="C413">
        <v>409</v>
      </c>
      <c r="D413" t="s">
        <v>2795</v>
      </c>
      <c r="E413" s="3" t="s">
        <v>2796</v>
      </c>
    </row>
    <row r="414" spans="1:29">
      <c r="A414" t="s">
        <v>3140</v>
      </c>
      <c r="B414" t="s">
        <v>2785</v>
      </c>
      <c r="C414">
        <v>410</v>
      </c>
      <c r="D414" t="s">
        <v>2798</v>
      </c>
      <c r="E414" s="3" t="s">
        <v>3141</v>
      </c>
      <c r="F414">
        <v>599941</v>
      </c>
      <c r="W414">
        <v>27.3</v>
      </c>
      <c r="X414">
        <v>81.099999999999994</v>
      </c>
      <c r="Y414">
        <v>-3.3</v>
      </c>
      <c r="Z414">
        <v>0</v>
      </c>
      <c r="AA414">
        <v>1</v>
      </c>
      <c r="AB414" t="s">
        <v>385</v>
      </c>
      <c r="AC414">
        <v>0</v>
      </c>
    </row>
    <row r="415" spans="1:29">
      <c r="A415" t="s">
        <v>3142</v>
      </c>
      <c r="B415" t="s">
        <v>2785</v>
      </c>
      <c r="C415">
        <v>411</v>
      </c>
      <c r="D415" t="s">
        <v>2795</v>
      </c>
      <c r="E415" s="3" t="s">
        <v>2796</v>
      </c>
    </row>
    <row r="416" spans="1:29">
      <c r="A416" t="s">
        <v>3143</v>
      </c>
      <c r="B416" t="s">
        <v>2785</v>
      </c>
      <c r="C416">
        <v>412</v>
      </c>
      <c r="D416" t="s">
        <v>2798</v>
      </c>
      <c r="E416" s="3" t="s">
        <v>3144</v>
      </c>
      <c r="F416">
        <v>604958</v>
      </c>
      <c r="W416">
        <v>27.3</v>
      </c>
      <c r="X416">
        <v>81.099999999999994</v>
      </c>
      <c r="Y416">
        <v>-3.3</v>
      </c>
      <c r="Z416">
        <v>0</v>
      </c>
      <c r="AA416">
        <v>1</v>
      </c>
      <c r="AB416" t="s">
        <v>385</v>
      </c>
      <c r="AC416">
        <v>0</v>
      </c>
    </row>
    <row r="417" spans="1:29">
      <c r="A417" t="s">
        <v>3145</v>
      </c>
      <c r="B417" t="s">
        <v>2785</v>
      </c>
      <c r="C417">
        <v>413</v>
      </c>
      <c r="D417" t="s">
        <v>2795</v>
      </c>
      <c r="E417" s="3" t="s">
        <v>2796</v>
      </c>
    </row>
    <row r="418" spans="1:29">
      <c r="A418" t="s">
        <v>3146</v>
      </c>
      <c r="B418" t="s">
        <v>2785</v>
      </c>
      <c r="C418">
        <v>414</v>
      </c>
      <c r="D418" t="s">
        <v>2798</v>
      </c>
      <c r="E418" s="3" t="s">
        <v>3147</v>
      </c>
      <c r="F418">
        <v>609978</v>
      </c>
      <c r="W418">
        <v>27.3</v>
      </c>
      <c r="X418">
        <v>81.3</v>
      </c>
      <c r="Y418">
        <v>-3.2</v>
      </c>
      <c r="Z418">
        <v>0</v>
      </c>
      <c r="AA418">
        <v>1</v>
      </c>
      <c r="AB418" t="s">
        <v>385</v>
      </c>
      <c r="AC418">
        <v>0</v>
      </c>
    </row>
    <row r="419" spans="1:29">
      <c r="A419" t="s">
        <v>3148</v>
      </c>
      <c r="B419" t="s">
        <v>2785</v>
      </c>
      <c r="C419">
        <v>415</v>
      </c>
      <c r="D419" t="s">
        <v>2795</v>
      </c>
      <c r="E419" s="3" t="s">
        <v>2796</v>
      </c>
    </row>
    <row r="420" spans="1:29">
      <c r="A420" t="s">
        <v>3149</v>
      </c>
      <c r="B420" t="s">
        <v>2785</v>
      </c>
      <c r="C420">
        <v>416</v>
      </c>
      <c r="D420" t="s">
        <v>2798</v>
      </c>
      <c r="E420" s="3" t="s">
        <v>3150</v>
      </c>
      <c r="F420">
        <v>614995</v>
      </c>
      <c r="W420">
        <v>27.3</v>
      </c>
      <c r="X420">
        <v>81.099999999999994</v>
      </c>
      <c r="Y420">
        <v>-3.2</v>
      </c>
      <c r="Z420">
        <v>0</v>
      </c>
      <c r="AA420">
        <v>1</v>
      </c>
      <c r="AB420" t="s">
        <v>385</v>
      </c>
      <c r="AC420">
        <v>0</v>
      </c>
    </row>
    <row r="421" spans="1:29">
      <c r="A421" t="s">
        <v>3151</v>
      </c>
      <c r="B421" t="s">
        <v>2785</v>
      </c>
      <c r="C421">
        <v>417</v>
      </c>
      <c r="D421" t="s">
        <v>2795</v>
      </c>
      <c r="E421" s="3" t="s">
        <v>2796</v>
      </c>
    </row>
    <row r="422" spans="1:29">
      <c r="A422" t="s">
        <v>3152</v>
      </c>
      <c r="B422" t="s">
        <v>2785</v>
      </c>
      <c r="C422">
        <v>418</v>
      </c>
      <c r="D422" t="s">
        <v>2798</v>
      </c>
      <c r="E422" s="3" t="s">
        <v>3153</v>
      </c>
      <c r="F422">
        <v>620015</v>
      </c>
      <c r="W422">
        <v>27.3</v>
      </c>
      <c r="X422">
        <v>81</v>
      </c>
      <c r="Y422">
        <v>-3.2</v>
      </c>
      <c r="Z422">
        <v>0</v>
      </c>
      <c r="AA422">
        <v>1</v>
      </c>
      <c r="AB422" t="s">
        <v>385</v>
      </c>
      <c r="AC422">
        <v>0</v>
      </c>
    </row>
    <row r="423" spans="1:29">
      <c r="A423" t="s">
        <v>3154</v>
      </c>
      <c r="B423" t="s">
        <v>2785</v>
      </c>
      <c r="C423">
        <v>419</v>
      </c>
      <c r="D423" t="s">
        <v>2795</v>
      </c>
      <c r="E423" s="3" t="s">
        <v>2796</v>
      </c>
    </row>
    <row r="424" spans="1:29">
      <c r="A424" t="s">
        <v>3155</v>
      </c>
      <c r="B424" t="s">
        <v>2785</v>
      </c>
      <c r="C424">
        <v>420</v>
      </c>
      <c r="D424" t="s">
        <v>2798</v>
      </c>
      <c r="E424" s="3" t="s">
        <v>3156</v>
      </c>
      <c r="F424">
        <v>625033</v>
      </c>
      <c r="W424">
        <v>27.3</v>
      </c>
      <c r="X424">
        <v>81</v>
      </c>
      <c r="Y424">
        <v>-3.2</v>
      </c>
      <c r="Z424">
        <v>0</v>
      </c>
      <c r="AA424">
        <v>1</v>
      </c>
      <c r="AB424" t="s">
        <v>385</v>
      </c>
      <c r="AC424">
        <v>0</v>
      </c>
    </row>
    <row r="425" spans="1:29">
      <c r="A425" t="s">
        <v>3157</v>
      </c>
      <c r="B425" t="s">
        <v>2785</v>
      </c>
      <c r="C425">
        <v>421</v>
      </c>
      <c r="D425" t="s">
        <v>2795</v>
      </c>
      <c r="E425" s="3" t="s">
        <v>2796</v>
      </c>
    </row>
    <row r="426" spans="1:29">
      <c r="A426" t="s">
        <v>3158</v>
      </c>
      <c r="B426" t="s">
        <v>2785</v>
      </c>
      <c r="C426">
        <v>422</v>
      </c>
      <c r="D426" t="s">
        <v>2798</v>
      </c>
      <c r="E426" s="3" t="s">
        <v>3159</v>
      </c>
      <c r="F426">
        <v>630050</v>
      </c>
      <c r="W426">
        <v>27.3</v>
      </c>
      <c r="X426">
        <v>81.099999999999994</v>
      </c>
      <c r="Y426">
        <v>-3</v>
      </c>
      <c r="Z426">
        <v>0</v>
      </c>
      <c r="AA426">
        <v>1</v>
      </c>
      <c r="AB426" t="s">
        <v>385</v>
      </c>
      <c r="AC426">
        <v>0</v>
      </c>
    </row>
    <row r="427" spans="1:29">
      <c r="A427" t="s">
        <v>3160</v>
      </c>
      <c r="B427" t="s">
        <v>2785</v>
      </c>
      <c r="C427">
        <v>423</v>
      </c>
      <c r="D427" t="s">
        <v>2795</v>
      </c>
      <c r="E427" s="3" t="s">
        <v>2796</v>
      </c>
    </row>
    <row r="428" spans="1:29">
      <c r="A428" t="s">
        <v>3161</v>
      </c>
      <c r="B428" t="s">
        <v>2785</v>
      </c>
      <c r="C428">
        <v>424</v>
      </c>
      <c r="D428" t="s">
        <v>2798</v>
      </c>
      <c r="E428" s="3" t="s">
        <v>3162</v>
      </c>
      <c r="F428">
        <v>635070</v>
      </c>
      <c r="W428">
        <v>27.4</v>
      </c>
      <c r="X428">
        <v>81.3</v>
      </c>
      <c r="Y428">
        <v>-3</v>
      </c>
      <c r="Z428">
        <v>0</v>
      </c>
      <c r="AA428">
        <v>1</v>
      </c>
      <c r="AB428" t="s">
        <v>385</v>
      </c>
      <c r="AC428">
        <v>0</v>
      </c>
    </row>
    <row r="429" spans="1:29">
      <c r="A429" t="s">
        <v>3163</v>
      </c>
      <c r="B429" t="s">
        <v>2785</v>
      </c>
      <c r="C429">
        <v>425</v>
      </c>
      <c r="D429" t="s">
        <v>2795</v>
      </c>
      <c r="E429" s="3" t="s">
        <v>2796</v>
      </c>
    </row>
    <row r="430" spans="1:29">
      <c r="A430" t="s">
        <v>3164</v>
      </c>
      <c r="B430" t="s">
        <v>2785</v>
      </c>
      <c r="C430">
        <v>426</v>
      </c>
      <c r="D430" t="s">
        <v>2798</v>
      </c>
      <c r="E430" s="3" t="s">
        <v>3165</v>
      </c>
      <c r="F430">
        <v>640088</v>
      </c>
      <c r="W430">
        <v>27.3</v>
      </c>
      <c r="X430">
        <v>81.3</v>
      </c>
      <c r="Y430">
        <v>-2.9</v>
      </c>
      <c r="Z430">
        <v>0</v>
      </c>
      <c r="AA430">
        <v>1</v>
      </c>
      <c r="AB430" t="s">
        <v>385</v>
      </c>
      <c r="AC430">
        <v>0</v>
      </c>
    </row>
    <row r="431" spans="1:29">
      <c r="A431" t="s">
        <v>3166</v>
      </c>
      <c r="B431" t="s">
        <v>2785</v>
      </c>
      <c r="C431">
        <v>427</v>
      </c>
      <c r="D431" t="s">
        <v>2795</v>
      </c>
      <c r="E431" s="3" t="s">
        <v>2796</v>
      </c>
    </row>
    <row r="432" spans="1:29">
      <c r="A432" t="s">
        <v>3167</v>
      </c>
      <c r="B432" t="s">
        <v>2785</v>
      </c>
      <c r="C432">
        <v>428</v>
      </c>
      <c r="D432" t="s">
        <v>2798</v>
      </c>
      <c r="E432" s="3" t="s">
        <v>3168</v>
      </c>
      <c r="F432">
        <v>645105</v>
      </c>
      <c r="W432">
        <v>27.4</v>
      </c>
      <c r="X432">
        <v>81.3</v>
      </c>
      <c r="Y432">
        <v>-3</v>
      </c>
      <c r="Z432">
        <v>0</v>
      </c>
      <c r="AA432">
        <v>1</v>
      </c>
      <c r="AB432" t="s">
        <v>385</v>
      </c>
      <c r="AC432">
        <v>0</v>
      </c>
    </row>
    <row r="433" spans="1:29">
      <c r="A433" t="s">
        <v>3169</v>
      </c>
      <c r="B433" t="s">
        <v>2785</v>
      </c>
      <c r="C433">
        <v>429</v>
      </c>
      <c r="D433" t="s">
        <v>2795</v>
      </c>
      <c r="E433" s="3" t="s">
        <v>2796</v>
      </c>
    </row>
    <row r="434" spans="1:29">
      <c r="A434" t="s">
        <v>3170</v>
      </c>
      <c r="B434" t="s">
        <v>2785</v>
      </c>
      <c r="C434">
        <v>430</v>
      </c>
      <c r="D434" t="s">
        <v>2798</v>
      </c>
      <c r="E434" s="3" t="s">
        <v>3171</v>
      </c>
      <c r="F434">
        <v>650124</v>
      </c>
      <c r="W434">
        <v>27.3</v>
      </c>
      <c r="X434">
        <v>81.3</v>
      </c>
      <c r="Y434">
        <v>-2.9</v>
      </c>
      <c r="Z434">
        <v>0</v>
      </c>
      <c r="AA434">
        <v>1</v>
      </c>
      <c r="AB434" t="s">
        <v>385</v>
      </c>
      <c r="AC434">
        <v>0</v>
      </c>
    </row>
    <row r="435" spans="1:29">
      <c r="A435" t="s">
        <v>3172</v>
      </c>
      <c r="B435" t="s">
        <v>2785</v>
      </c>
      <c r="C435">
        <v>431</v>
      </c>
      <c r="D435" t="s">
        <v>2795</v>
      </c>
      <c r="E435" s="3" t="s">
        <v>2796</v>
      </c>
    </row>
    <row r="436" spans="1:29">
      <c r="A436" t="s">
        <v>3173</v>
      </c>
      <c r="B436" t="s">
        <v>2785</v>
      </c>
      <c r="C436">
        <v>432</v>
      </c>
      <c r="D436" t="s">
        <v>2798</v>
      </c>
      <c r="E436" s="3" t="s">
        <v>3174</v>
      </c>
      <c r="F436">
        <v>655141</v>
      </c>
      <c r="W436">
        <v>27.4</v>
      </c>
      <c r="X436">
        <v>81</v>
      </c>
      <c r="Y436">
        <v>-2.9</v>
      </c>
      <c r="Z436">
        <v>0</v>
      </c>
      <c r="AA436">
        <v>1</v>
      </c>
      <c r="AB436" t="s">
        <v>385</v>
      </c>
      <c r="AC436">
        <v>0</v>
      </c>
    </row>
    <row r="437" spans="1:29">
      <c r="A437" t="s">
        <v>3175</v>
      </c>
      <c r="B437" t="s">
        <v>2785</v>
      </c>
      <c r="C437">
        <v>433</v>
      </c>
      <c r="D437" t="s">
        <v>2795</v>
      </c>
      <c r="E437" s="3" t="s">
        <v>2796</v>
      </c>
    </row>
    <row r="438" spans="1:29">
      <c r="A438" t="s">
        <v>3176</v>
      </c>
      <c r="B438" t="s">
        <v>2785</v>
      </c>
      <c r="C438">
        <v>434</v>
      </c>
      <c r="D438" t="s">
        <v>2798</v>
      </c>
      <c r="E438" s="3" t="s">
        <v>3177</v>
      </c>
      <c r="F438">
        <v>660161</v>
      </c>
      <c r="W438">
        <v>27.4</v>
      </c>
      <c r="X438">
        <v>81.099999999999994</v>
      </c>
      <c r="Y438">
        <v>-2.9</v>
      </c>
      <c r="Z438">
        <v>0</v>
      </c>
      <c r="AA438">
        <v>1</v>
      </c>
      <c r="AB438" t="s">
        <v>385</v>
      </c>
      <c r="AC438">
        <v>0</v>
      </c>
    </row>
    <row r="439" spans="1:29">
      <c r="A439" t="s">
        <v>3178</v>
      </c>
      <c r="B439" t="s">
        <v>2785</v>
      </c>
      <c r="C439">
        <v>435</v>
      </c>
      <c r="D439" t="s">
        <v>2795</v>
      </c>
      <c r="E439" s="3" t="s">
        <v>2796</v>
      </c>
    </row>
    <row r="440" spans="1:29">
      <c r="A440" t="s">
        <v>3179</v>
      </c>
      <c r="B440" t="s">
        <v>2785</v>
      </c>
      <c r="C440">
        <v>436</v>
      </c>
      <c r="D440" t="s">
        <v>2798</v>
      </c>
      <c r="E440" s="3" t="s">
        <v>3180</v>
      </c>
      <c r="F440">
        <v>665180</v>
      </c>
      <c r="W440">
        <v>27.3</v>
      </c>
      <c r="X440">
        <v>81</v>
      </c>
      <c r="Y440">
        <v>-2.8</v>
      </c>
      <c r="Z440">
        <v>0</v>
      </c>
      <c r="AA440">
        <v>1</v>
      </c>
      <c r="AB440" t="s">
        <v>385</v>
      </c>
      <c r="AC440">
        <v>0</v>
      </c>
    </row>
    <row r="441" spans="1:29">
      <c r="A441" t="s">
        <v>3181</v>
      </c>
      <c r="B441" t="s">
        <v>2785</v>
      </c>
      <c r="C441">
        <v>437</v>
      </c>
      <c r="D441" t="s">
        <v>2795</v>
      </c>
      <c r="E441" s="3" t="s">
        <v>2796</v>
      </c>
    </row>
    <row r="442" spans="1:29">
      <c r="A442" t="s">
        <v>3182</v>
      </c>
      <c r="B442" t="s">
        <v>2785</v>
      </c>
      <c r="C442">
        <v>438</v>
      </c>
      <c r="D442" t="s">
        <v>2798</v>
      </c>
      <c r="E442" s="3" t="s">
        <v>3183</v>
      </c>
      <c r="F442">
        <v>670196</v>
      </c>
      <c r="W442">
        <v>27.4</v>
      </c>
      <c r="X442">
        <v>81</v>
      </c>
      <c r="Y442">
        <v>-2.9</v>
      </c>
      <c r="Z442">
        <v>0</v>
      </c>
      <c r="AA442">
        <v>1</v>
      </c>
      <c r="AB442" t="s">
        <v>385</v>
      </c>
      <c r="AC442">
        <v>0</v>
      </c>
    </row>
    <row r="443" spans="1:29">
      <c r="A443" t="s">
        <v>3184</v>
      </c>
      <c r="B443" t="s">
        <v>2785</v>
      </c>
      <c r="C443">
        <v>439</v>
      </c>
      <c r="D443" t="s">
        <v>2795</v>
      </c>
      <c r="E443" s="3" t="s">
        <v>2796</v>
      </c>
    </row>
    <row r="444" spans="1:29">
      <c r="A444" t="s">
        <v>3185</v>
      </c>
      <c r="B444" t="s">
        <v>2785</v>
      </c>
      <c r="C444">
        <v>440</v>
      </c>
      <c r="D444" t="s">
        <v>2798</v>
      </c>
      <c r="E444" s="3" t="s">
        <v>3186</v>
      </c>
      <c r="F444">
        <v>675214</v>
      </c>
      <c r="W444">
        <v>27.3</v>
      </c>
      <c r="X444">
        <v>81</v>
      </c>
      <c r="Y444">
        <v>-2.7</v>
      </c>
      <c r="Z444">
        <v>0</v>
      </c>
      <c r="AA444">
        <v>1</v>
      </c>
      <c r="AB444" t="s">
        <v>385</v>
      </c>
      <c r="AC444">
        <v>0</v>
      </c>
    </row>
    <row r="445" spans="1:29">
      <c r="A445" t="s">
        <v>3187</v>
      </c>
      <c r="B445" t="s">
        <v>2785</v>
      </c>
      <c r="C445">
        <v>441</v>
      </c>
      <c r="D445" t="s">
        <v>2795</v>
      </c>
      <c r="E445" s="3" t="s">
        <v>2796</v>
      </c>
    </row>
    <row r="446" spans="1:29">
      <c r="A446" t="s">
        <v>3188</v>
      </c>
      <c r="B446" t="s">
        <v>2785</v>
      </c>
      <c r="C446">
        <v>442</v>
      </c>
      <c r="D446" t="s">
        <v>2798</v>
      </c>
      <c r="E446" s="3" t="s">
        <v>3189</v>
      </c>
      <c r="F446">
        <v>680231</v>
      </c>
      <c r="W446">
        <v>27.4</v>
      </c>
      <c r="X446">
        <v>80.900000000000006</v>
      </c>
      <c r="Y446">
        <v>-2.8</v>
      </c>
      <c r="Z446">
        <v>0</v>
      </c>
      <c r="AA446">
        <v>1</v>
      </c>
      <c r="AB446" t="s">
        <v>385</v>
      </c>
      <c r="AC446">
        <v>0</v>
      </c>
    </row>
    <row r="447" spans="1:29">
      <c r="A447" t="s">
        <v>3190</v>
      </c>
      <c r="B447" t="s">
        <v>2785</v>
      </c>
      <c r="C447">
        <v>443</v>
      </c>
      <c r="D447" t="s">
        <v>2795</v>
      </c>
      <c r="E447" s="3" t="s">
        <v>2796</v>
      </c>
    </row>
    <row r="448" spans="1:29">
      <c r="A448" t="s">
        <v>3191</v>
      </c>
      <c r="B448" t="s">
        <v>2785</v>
      </c>
      <c r="C448">
        <v>444</v>
      </c>
      <c r="D448" t="s">
        <v>2798</v>
      </c>
      <c r="E448" s="3" t="s">
        <v>3192</v>
      </c>
      <c r="F448">
        <v>685249</v>
      </c>
      <c r="W448">
        <v>27.4</v>
      </c>
      <c r="X448">
        <v>80.900000000000006</v>
      </c>
      <c r="Y448">
        <v>-2.7</v>
      </c>
      <c r="Z448">
        <v>0</v>
      </c>
      <c r="AA448">
        <v>1</v>
      </c>
      <c r="AB448" t="s">
        <v>385</v>
      </c>
      <c r="AC448">
        <v>0</v>
      </c>
    </row>
    <row r="449" spans="1:29">
      <c r="A449" t="s">
        <v>3193</v>
      </c>
      <c r="B449" t="s">
        <v>2785</v>
      </c>
      <c r="C449">
        <v>445</v>
      </c>
      <c r="D449" t="s">
        <v>2795</v>
      </c>
      <c r="E449" s="3" t="s">
        <v>2796</v>
      </c>
    </row>
    <row r="450" spans="1:29">
      <c r="A450" t="s">
        <v>3194</v>
      </c>
      <c r="B450" t="s">
        <v>2785</v>
      </c>
      <c r="C450">
        <v>446</v>
      </c>
      <c r="D450" t="s">
        <v>2798</v>
      </c>
      <c r="E450" s="3" t="s">
        <v>3195</v>
      </c>
      <c r="F450">
        <v>690268</v>
      </c>
      <c r="W450">
        <v>27.4</v>
      </c>
      <c r="X450">
        <v>80.8</v>
      </c>
      <c r="Y450">
        <v>-2.7</v>
      </c>
      <c r="Z450">
        <v>0</v>
      </c>
      <c r="AA450">
        <v>1</v>
      </c>
      <c r="AB450" t="s">
        <v>385</v>
      </c>
      <c r="AC450">
        <v>0</v>
      </c>
    </row>
    <row r="451" spans="1:29">
      <c r="A451" t="s">
        <v>3196</v>
      </c>
      <c r="B451" t="s">
        <v>2785</v>
      </c>
      <c r="C451">
        <v>447</v>
      </c>
      <c r="D451" t="s">
        <v>2795</v>
      </c>
      <c r="E451" s="3" t="s">
        <v>2796</v>
      </c>
    </row>
    <row r="452" spans="1:29">
      <c r="A452" t="s">
        <v>3197</v>
      </c>
      <c r="B452" t="s">
        <v>2785</v>
      </c>
      <c r="C452">
        <v>448</v>
      </c>
      <c r="D452" t="s">
        <v>2798</v>
      </c>
      <c r="E452" s="3" t="s">
        <v>3198</v>
      </c>
      <c r="F452">
        <v>695286</v>
      </c>
      <c r="W452">
        <v>27.4</v>
      </c>
      <c r="X452">
        <v>80.900000000000006</v>
      </c>
      <c r="Y452">
        <v>-2.7</v>
      </c>
      <c r="Z452">
        <v>0</v>
      </c>
      <c r="AA452">
        <v>1</v>
      </c>
      <c r="AB452" t="s">
        <v>385</v>
      </c>
      <c r="AC452">
        <v>0</v>
      </c>
    </row>
    <row r="453" spans="1:29">
      <c r="A453" t="s">
        <v>3199</v>
      </c>
      <c r="B453" t="s">
        <v>2785</v>
      </c>
      <c r="C453">
        <v>449</v>
      </c>
      <c r="D453" t="s">
        <v>2795</v>
      </c>
      <c r="E453" s="3" t="s">
        <v>2796</v>
      </c>
    </row>
    <row r="454" spans="1:29">
      <c r="A454" t="s">
        <v>3200</v>
      </c>
      <c r="B454" t="s">
        <v>2785</v>
      </c>
      <c r="C454">
        <v>450</v>
      </c>
      <c r="D454" t="s">
        <v>2798</v>
      </c>
      <c r="E454" s="3" t="s">
        <v>3201</v>
      </c>
      <c r="F454">
        <v>700303</v>
      </c>
      <c r="W454">
        <v>27.4</v>
      </c>
      <c r="X454">
        <v>80.8</v>
      </c>
      <c r="Y454">
        <v>-2.5</v>
      </c>
      <c r="Z454">
        <v>0</v>
      </c>
      <c r="AA454">
        <v>1</v>
      </c>
      <c r="AB454" t="s">
        <v>385</v>
      </c>
      <c r="AC454">
        <v>0</v>
      </c>
    </row>
    <row r="455" spans="1:29">
      <c r="A455" t="s">
        <v>3202</v>
      </c>
      <c r="B455" t="s">
        <v>2785</v>
      </c>
      <c r="C455">
        <v>451</v>
      </c>
      <c r="D455" t="s">
        <v>2795</v>
      </c>
      <c r="E455" s="3" t="s">
        <v>2796</v>
      </c>
    </row>
    <row r="456" spans="1:29">
      <c r="A456" t="s">
        <v>3203</v>
      </c>
      <c r="B456" t="s">
        <v>2785</v>
      </c>
      <c r="C456">
        <v>452</v>
      </c>
      <c r="D456" t="s">
        <v>2798</v>
      </c>
      <c r="E456" s="3" t="s">
        <v>3204</v>
      </c>
      <c r="F456">
        <v>705320</v>
      </c>
      <c r="W456">
        <v>27.4</v>
      </c>
      <c r="X456">
        <v>80.8</v>
      </c>
      <c r="Y456">
        <v>-2.6</v>
      </c>
      <c r="Z456">
        <v>0</v>
      </c>
      <c r="AA456">
        <v>1</v>
      </c>
      <c r="AB456" t="s">
        <v>385</v>
      </c>
      <c r="AC456">
        <v>0</v>
      </c>
    </row>
    <row r="457" spans="1:29">
      <c r="A457" t="s">
        <v>3205</v>
      </c>
      <c r="B457" t="s">
        <v>2785</v>
      </c>
      <c r="C457">
        <v>453</v>
      </c>
      <c r="D457" t="s">
        <v>2795</v>
      </c>
      <c r="E457" s="3" t="s">
        <v>2796</v>
      </c>
    </row>
    <row r="458" spans="1:29">
      <c r="A458" t="s">
        <v>3206</v>
      </c>
      <c r="B458" t="s">
        <v>2785</v>
      </c>
      <c r="C458">
        <v>454</v>
      </c>
      <c r="D458" t="s">
        <v>2798</v>
      </c>
      <c r="E458" s="3" t="s">
        <v>3207</v>
      </c>
      <c r="F458">
        <v>710338</v>
      </c>
      <c r="W458">
        <v>27.4</v>
      </c>
      <c r="X458">
        <v>80.5</v>
      </c>
      <c r="Y458">
        <v>-2.6</v>
      </c>
      <c r="Z458">
        <v>0</v>
      </c>
      <c r="AA458">
        <v>1</v>
      </c>
      <c r="AB458" t="s">
        <v>385</v>
      </c>
      <c r="AC458">
        <v>0</v>
      </c>
    </row>
    <row r="459" spans="1:29">
      <c r="A459" t="s">
        <v>3208</v>
      </c>
      <c r="B459" t="s">
        <v>2785</v>
      </c>
      <c r="C459">
        <v>455</v>
      </c>
      <c r="D459" t="s">
        <v>2795</v>
      </c>
      <c r="E459" s="3" t="s">
        <v>2796</v>
      </c>
    </row>
    <row r="460" spans="1:29">
      <c r="A460" t="s">
        <v>3209</v>
      </c>
      <c r="B460" t="s">
        <v>2785</v>
      </c>
      <c r="C460">
        <v>456</v>
      </c>
      <c r="D460" t="s">
        <v>2798</v>
      </c>
      <c r="E460" s="3" t="s">
        <v>3210</v>
      </c>
      <c r="F460">
        <v>715357</v>
      </c>
      <c r="W460">
        <v>27.4</v>
      </c>
      <c r="X460">
        <v>80.599999999999994</v>
      </c>
      <c r="Y460">
        <v>-2.6</v>
      </c>
      <c r="Z460">
        <v>0</v>
      </c>
      <c r="AA460">
        <v>1</v>
      </c>
      <c r="AB460" t="s">
        <v>385</v>
      </c>
      <c r="AC460">
        <v>0</v>
      </c>
    </row>
    <row r="461" spans="1:29">
      <c r="A461" t="s">
        <v>3211</v>
      </c>
      <c r="B461" t="s">
        <v>2785</v>
      </c>
      <c r="C461">
        <v>457</v>
      </c>
      <c r="D461" t="s">
        <v>2795</v>
      </c>
      <c r="E461" s="3" t="s">
        <v>2796</v>
      </c>
    </row>
    <row r="462" spans="1:29">
      <c r="A462" t="s">
        <v>3212</v>
      </c>
      <c r="B462" t="s">
        <v>2785</v>
      </c>
      <c r="C462">
        <v>458</v>
      </c>
      <c r="D462" t="s">
        <v>2798</v>
      </c>
      <c r="E462" s="3" t="s">
        <v>3213</v>
      </c>
      <c r="F462">
        <v>720373</v>
      </c>
      <c r="W462">
        <v>27.4</v>
      </c>
      <c r="X462">
        <v>80.5</v>
      </c>
      <c r="Y462">
        <v>-2.5</v>
      </c>
      <c r="Z462">
        <v>0</v>
      </c>
      <c r="AA462">
        <v>1</v>
      </c>
      <c r="AB462" t="s">
        <v>385</v>
      </c>
      <c r="AC462">
        <v>0</v>
      </c>
    </row>
    <row r="463" spans="1:29">
      <c r="A463" t="s">
        <v>3214</v>
      </c>
      <c r="B463" t="s">
        <v>2785</v>
      </c>
      <c r="C463">
        <v>459</v>
      </c>
      <c r="D463" t="s">
        <v>2795</v>
      </c>
      <c r="E463" s="3" t="s">
        <v>2796</v>
      </c>
    </row>
    <row r="464" spans="1:29">
      <c r="A464" t="s">
        <v>3215</v>
      </c>
      <c r="B464" t="s">
        <v>2785</v>
      </c>
      <c r="C464">
        <v>460</v>
      </c>
      <c r="D464" t="s">
        <v>2798</v>
      </c>
      <c r="E464" s="3" t="s">
        <v>3216</v>
      </c>
      <c r="F464">
        <v>725392</v>
      </c>
      <c r="W464">
        <v>27.4</v>
      </c>
      <c r="X464">
        <v>80.7</v>
      </c>
      <c r="Y464">
        <v>-2.5</v>
      </c>
      <c r="Z464">
        <v>0</v>
      </c>
      <c r="AA464">
        <v>1</v>
      </c>
      <c r="AB464" t="s">
        <v>385</v>
      </c>
      <c r="AC464">
        <v>0</v>
      </c>
    </row>
    <row r="465" spans="1:29">
      <c r="A465" t="s">
        <v>3217</v>
      </c>
      <c r="B465" t="s">
        <v>2785</v>
      </c>
      <c r="C465">
        <v>461</v>
      </c>
      <c r="D465" t="s">
        <v>2795</v>
      </c>
      <c r="E465" s="3" t="s">
        <v>2796</v>
      </c>
    </row>
    <row r="466" spans="1:29">
      <c r="A466" t="s">
        <v>3218</v>
      </c>
      <c r="B466" t="s">
        <v>2785</v>
      </c>
      <c r="C466">
        <v>462</v>
      </c>
      <c r="D466" t="s">
        <v>2798</v>
      </c>
      <c r="E466" s="3" t="s">
        <v>3219</v>
      </c>
      <c r="F466">
        <v>730408</v>
      </c>
      <c r="W466">
        <v>27.4</v>
      </c>
      <c r="X466">
        <v>80.599999999999994</v>
      </c>
      <c r="Y466">
        <v>-2.5</v>
      </c>
      <c r="Z466">
        <v>0</v>
      </c>
      <c r="AA466">
        <v>1</v>
      </c>
      <c r="AB466" t="s">
        <v>385</v>
      </c>
      <c r="AC466">
        <v>0</v>
      </c>
    </row>
    <row r="467" spans="1:29">
      <c r="A467" t="s">
        <v>3220</v>
      </c>
      <c r="B467" t="s">
        <v>2785</v>
      </c>
      <c r="C467">
        <v>463</v>
      </c>
      <c r="D467" t="s">
        <v>2795</v>
      </c>
      <c r="E467" s="3" t="s">
        <v>2796</v>
      </c>
    </row>
    <row r="468" spans="1:29">
      <c r="A468" t="s">
        <v>3221</v>
      </c>
      <c r="B468" t="s">
        <v>2785</v>
      </c>
      <c r="C468">
        <v>464</v>
      </c>
      <c r="D468" t="s">
        <v>2798</v>
      </c>
      <c r="E468" s="3" t="s">
        <v>3222</v>
      </c>
      <c r="F468">
        <v>735427</v>
      </c>
      <c r="W468">
        <v>27.4</v>
      </c>
      <c r="X468">
        <v>80.5</v>
      </c>
      <c r="Y468">
        <v>-2.4</v>
      </c>
      <c r="Z468">
        <v>0</v>
      </c>
      <c r="AA468">
        <v>1</v>
      </c>
      <c r="AB468" t="s">
        <v>385</v>
      </c>
      <c r="AC468">
        <v>0</v>
      </c>
    </row>
    <row r="469" spans="1:29">
      <c r="A469" t="s">
        <v>3223</v>
      </c>
      <c r="B469" t="s">
        <v>2785</v>
      </c>
      <c r="C469">
        <v>465</v>
      </c>
      <c r="D469" t="s">
        <v>2795</v>
      </c>
      <c r="E469" s="3" t="s">
        <v>2796</v>
      </c>
    </row>
    <row r="470" spans="1:29">
      <c r="A470" t="s">
        <v>3224</v>
      </c>
      <c r="B470" t="s">
        <v>2785</v>
      </c>
      <c r="C470">
        <v>466</v>
      </c>
      <c r="D470" t="s">
        <v>2798</v>
      </c>
      <c r="E470" s="3" t="s">
        <v>3225</v>
      </c>
      <c r="F470">
        <v>740444</v>
      </c>
      <c r="W470">
        <v>27.4</v>
      </c>
      <c r="X470">
        <v>80.599999999999994</v>
      </c>
      <c r="Y470">
        <v>-2.5</v>
      </c>
      <c r="Z470">
        <v>0</v>
      </c>
      <c r="AA470">
        <v>1</v>
      </c>
      <c r="AB470" t="s">
        <v>385</v>
      </c>
      <c r="AC470">
        <v>0</v>
      </c>
    </row>
    <row r="471" spans="1:29">
      <c r="A471" t="s">
        <v>3226</v>
      </c>
      <c r="B471" t="s">
        <v>2785</v>
      </c>
      <c r="C471">
        <v>467</v>
      </c>
      <c r="D471" t="s">
        <v>2795</v>
      </c>
      <c r="E471" s="3" t="s">
        <v>2796</v>
      </c>
    </row>
    <row r="472" spans="1:29">
      <c r="A472" t="s">
        <v>3227</v>
      </c>
      <c r="B472" t="s">
        <v>2785</v>
      </c>
      <c r="C472">
        <v>468</v>
      </c>
      <c r="D472" t="s">
        <v>2798</v>
      </c>
      <c r="E472" s="3" t="s">
        <v>3228</v>
      </c>
      <c r="F472">
        <v>745461</v>
      </c>
      <c r="W472">
        <v>27.4</v>
      </c>
      <c r="X472">
        <v>80.8</v>
      </c>
      <c r="Y472">
        <v>-2.5</v>
      </c>
      <c r="Z472">
        <v>0</v>
      </c>
      <c r="AA472">
        <v>1</v>
      </c>
      <c r="AB472" t="s">
        <v>385</v>
      </c>
      <c r="AC472">
        <v>0</v>
      </c>
    </row>
    <row r="473" spans="1:29">
      <c r="A473" t="s">
        <v>3229</v>
      </c>
      <c r="B473" t="s">
        <v>2785</v>
      </c>
      <c r="C473">
        <v>469</v>
      </c>
      <c r="D473" t="s">
        <v>2795</v>
      </c>
      <c r="E473" s="3" t="s">
        <v>2796</v>
      </c>
    </row>
    <row r="474" spans="1:29">
      <c r="A474" t="s">
        <v>3230</v>
      </c>
      <c r="B474" t="s">
        <v>2785</v>
      </c>
      <c r="C474">
        <v>470</v>
      </c>
      <c r="D474" t="s">
        <v>2798</v>
      </c>
      <c r="E474" s="3" t="s">
        <v>3231</v>
      </c>
      <c r="F474">
        <v>750478</v>
      </c>
      <c r="W474">
        <v>27.4</v>
      </c>
      <c r="X474">
        <v>80.8</v>
      </c>
      <c r="Y474">
        <v>-2.5</v>
      </c>
      <c r="Z474">
        <v>0</v>
      </c>
      <c r="AA474">
        <v>1</v>
      </c>
      <c r="AB474" t="s">
        <v>385</v>
      </c>
      <c r="AC474">
        <v>0</v>
      </c>
    </row>
    <row r="475" spans="1:29">
      <c r="A475" t="s">
        <v>3232</v>
      </c>
      <c r="B475" t="s">
        <v>2785</v>
      </c>
      <c r="C475">
        <v>471</v>
      </c>
      <c r="D475" t="s">
        <v>2795</v>
      </c>
      <c r="E475" s="3" t="s">
        <v>2796</v>
      </c>
    </row>
    <row r="476" spans="1:29">
      <c r="A476" t="s">
        <v>3233</v>
      </c>
      <c r="B476" t="s">
        <v>2785</v>
      </c>
      <c r="C476">
        <v>472</v>
      </c>
      <c r="D476" t="s">
        <v>2798</v>
      </c>
      <c r="E476" s="3" t="s">
        <v>3234</v>
      </c>
      <c r="F476">
        <v>755494</v>
      </c>
      <c r="W476">
        <v>27.4</v>
      </c>
      <c r="X476">
        <v>81</v>
      </c>
      <c r="Y476">
        <v>-2.6</v>
      </c>
      <c r="Z476">
        <v>0</v>
      </c>
      <c r="AA476">
        <v>1</v>
      </c>
      <c r="AB476" t="s">
        <v>385</v>
      </c>
      <c r="AC476">
        <v>0</v>
      </c>
    </row>
    <row r="477" spans="1:29">
      <c r="A477" t="s">
        <v>3235</v>
      </c>
      <c r="B477" t="s">
        <v>2785</v>
      </c>
      <c r="C477">
        <v>473</v>
      </c>
      <c r="D477" t="s">
        <v>2795</v>
      </c>
      <c r="E477" s="3" t="s">
        <v>2796</v>
      </c>
    </row>
    <row r="478" spans="1:29">
      <c r="A478" t="s">
        <v>3236</v>
      </c>
      <c r="B478" t="s">
        <v>2785</v>
      </c>
      <c r="C478">
        <v>474</v>
      </c>
      <c r="D478" t="s">
        <v>2798</v>
      </c>
      <c r="E478" s="3" t="s">
        <v>3237</v>
      </c>
      <c r="F478">
        <v>760513</v>
      </c>
      <c r="W478">
        <v>27.4</v>
      </c>
      <c r="X478">
        <v>81</v>
      </c>
      <c r="Y478">
        <v>-2.5</v>
      </c>
      <c r="Z478">
        <v>0</v>
      </c>
      <c r="AA478">
        <v>1</v>
      </c>
      <c r="AB478" t="s">
        <v>385</v>
      </c>
      <c r="AC478">
        <v>0</v>
      </c>
    </row>
    <row r="479" spans="1:29">
      <c r="A479" t="s">
        <v>3238</v>
      </c>
      <c r="B479" t="s">
        <v>2785</v>
      </c>
      <c r="C479">
        <v>475</v>
      </c>
      <c r="D479" t="s">
        <v>2795</v>
      </c>
      <c r="E479" s="3" t="s">
        <v>2796</v>
      </c>
    </row>
    <row r="480" spans="1:29">
      <c r="A480" t="s">
        <v>3239</v>
      </c>
      <c r="B480" t="s">
        <v>2785</v>
      </c>
      <c r="C480">
        <v>476</v>
      </c>
      <c r="D480" t="s">
        <v>2798</v>
      </c>
      <c r="E480" s="3" t="s">
        <v>3240</v>
      </c>
      <c r="F480">
        <v>765530</v>
      </c>
      <c r="W480">
        <v>27.4</v>
      </c>
      <c r="X480">
        <v>81</v>
      </c>
      <c r="Y480">
        <v>-2.5</v>
      </c>
      <c r="Z480">
        <v>0</v>
      </c>
      <c r="AA480">
        <v>1</v>
      </c>
      <c r="AB480" t="s">
        <v>385</v>
      </c>
      <c r="AC480">
        <v>0</v>
      </c>
    </row>
    <row r="481" spans="1:29">
      <c r="A481" t="s">
        <v>3241</v>
      </c>
      <c r="B481" t="s">
        <v>2785</v>
      </c>
      <c r="C481">
        <v>477</v>
      </c>
      <c r="D481" t="s">
        <v>2795</v>
      </c>
      <c r="E481" s="3" t="s">
        <v>2796</v>
      </c>
    </row>
    <row r="482" spans="1:29">
      <c r="A482" t="s">
        <v>3242</v>
      </c>
      <c r="B482" t="s">
        <v>2785</v>
      </c>
      <c r="C482">
        <v>478</v>
      </c>
      <c r="D482" t="s">
        <v>2798</v>
      </c>
      <c r="E482" s="3" t="s">
        <v>3243</v>
      </c>
      <c r="F482">
        <v>770548</v>
      </c>
      <c r="W482">
        <v>27.4</v>
      </c>
      <c r="X482">
        <v>81</v>
      </c>
      <c r="Y482">
        <v>-2.5</v>
      </c>
      <c r="Z482">
        <v>0</v>
      </c>
      <c r="AA482">
        <v>1</v>
      </c>
      <c r="AB482" t="s">
        <v>385</v>
      </c>
      <c r="AC482">
        <v>0</v>
      </c>
    </row>
    <row r="483" spans="1:29">
      <c r="A483" t="s">
        <v>3244</v>
      </c>
      <c r="B483" t="s">
        <v>2785</v>
      </c>
      <c r="C483">
        <v>479</v>
      </c>
      <c r="D483" t="s">
        <v>2795</v>
      </c>
      <c r="E483" s="3" t="s">
        <v>2796</v>
      </c>
    </row>
    <row r="484" spans="1:29">
      <c r="A484" t="s">
        <v>3245</v>
      </c>
      <c r="B484" t="s">
        <v>2785</v>
      </c>
      <c r="C484">
        <v>480</v>
      </c>
      <c r="D484" t="s">
        <v>2798</v>
      </c>
      <c r="E484" s="3" t="s">
        <v>3246</v>
      </c>
      <c r="F484">
        <v>775565</v>
      </c>
      <c r="W484">
        <v>27.4</v>
      </c>
      <c r="X484">
        <v>81</v>
      </c>
      <c r="Y484">
        <v>-2.4</v>
      </c>
      <c r="Z484">
        <v>0</v>
      </c>
      <c r="AA484">
        <v>1</v>
      </c>
      <c r="AB484" t="s">
        <v>385</v>
      </c>
      <c r="AC484">
        <v>0</v>
      </c>
    </row>
    <row r="485" spans="1:29">
      <c r="A485" t="s">
        <v>3247</v>
      </c>
      <c r="B485" t="s">
        <v>2785</v>
      </c>
      <c r="C485">
        <v>481</v>
      </c>
      <c r="D485" t="s">
        <v>2795</v>
      </c>
      <c r="E485" s="3" t="s">
        <v>2796</v>
      </c>
    </row>
    <row r="486" spans="1:29">
      <c r="A486" t="s">
        <v>3248</v>
      </c>
      <c r="B486" t="s">
        <v>2785</v>
      </c>
      <c r="C486">
        <v>482</v>
      </c>
      <c r="D486" t="s">
        <v>2798</v>
      </c>
      <c r="E486" s="3" t="s">
        <v>3249</v>
      </c>
      <c r="F486">
        <v>780581</v>
      </c>
      <c r="W486">
        <v>27.4</v>
      </c>
      <c r="X486">
        <v>81</v>
      </c>
      <c r="Y486">
        <v>-2.4</v>
      </c>
      <c r="Z486">
        <v>0</v>
      </c>
      <c r="AA486">
        <v>1</v>
      </c>
      <c r="AB486" t="s">
        <v>385</v>
      </c>
      <c r="AC486">
        <v>0</v>
      </c>
    </row>
    <row r="487" spans="1:29">
      <c r="A487" t="s">
        <v>3250</v>
      </c>
      <c r="B487" t="s">
        <v>2785</v>
      </c>
      <c r="C487">
        <v>483</v>
      </c>
      <c r="D487" t="s">
        <v>2795</v>
      </c>
      <c r="E487" s="3" t="s">
        <v>2796</v>
      </c>
    </row>
    <row r="488" spans="1:29">
      <c r="A488" t="s">
        <v>3251</v>
      </c>
      <c r="B488" t="s">
        <v>2785</v>
      </c>
      <c r="C488">
        <v>484</v>
      </c>
      <c r="D488" t="s">
        <v>2798</v>
      </c>
      <c r="E488" s="3" t="s">
        <v>3252</v>
      </c>
      <c r="F488">
        <v>785600</v>
      </c>
      <c r="W488">
        <v>27.4</v>
      </c>
      <c r="X488">
        <v>81</v>
      </c>
      <c r="Y488">
        <v>-2.4</v>
      </c>
      <c r="Z488">
        <v>0</v>
      </c>
      <c r="AA488">
        <v>1</v>
      </c>
      <c r="AB488" t="s">
        <v>385</v>
      </c>
      <c r="AC488">
        <v>0</v>
      </c>
    </row>
    <row r="489" spans="1:29">
      <c r="A489" t="s">
        <v>3253</v>
      </c>
      <c r="B489" t="s">
        <v>2785</v>
      </c>
      <c r="C489">
        <v>485</v>
      </c>
      <c r="D489" t="s">
        <v>2795</v>
      </c>
      <c r="E489" s="3" t="s">
        <v>2796</v>
      </c>
    </row>
    <row r="490" spans="1:29">
      <c r="A490" t="s">
        <v>3254</v>
      </c>
      <c r="B490" t="s">
        <v>2785</v>
      </c>
      <c r="C490">
        <v>486</v>
      </c>
      <c r="D490" t="s">
        <v>2798</v>
      </c>
      <c r="E490" s="3" t="s">
        <v>3255</v>
      </c>
      <c r="F490">
        <v>790617</v>
      </c>
      <c r="W490">
        <v>27.4</v>
      </c>
      <c r="X490">
        <v>81</v>
      </c>
      <c r="Y490">
        <v>-2.2999999999999998</v>
      </c>
      <c r="Z490">
        <v>0</v>
      </c>
      <c r="AA490">
        <v>1</v>
      </c>
      <c r="AB490" t="s">
        <v>385</v>
      </c>
      <c r="AC490">
        <v>0</v>
      </c>
    </row>
    <row r="491" spans="1:29">
      <c r="A491" t="s">
        <v>3256</v>
      </c>
      <c r="B491" t="s">
        <v>2785</v>
      </c>
      <c r="C491">
        <v>487</v>
      </c>
      <c r="D491" t="s">
        <v>2795</v>
      </c>
      <c r="E491" s="3" t="s">
        <v>2796</v>
      </c>
    </row>
    <row r="492" spans="1:29">
      <c r="A492" t="s">
        <v>3257</v>
      </c>
      <c r="B492" t="s">
        <v>2785</v>
      </c>
      <c r="C492">
        <v>488</v>
      </c>
      <c r="D492" t="s">
        <v>2798</v>
      </c>
      <c r="E492" s="3" t="s">
        <v>3258</v>
      </c>
      <c r="F492">
        <v>795635</v>
      </c>
      <c r="W492">
        <v>27.4</v>
      </c>
      <c r="X492">
        <v>81.099999999999994</v>
      </c>
      <c r="Y492">
        <v>-2.2999999999999998</v>
      </c>
      <c r="Z492">
        <v>0</v>
      </c>
      <c r="AA492">
        <v>1</v>
      </c>
      <c r="AB492" t="s">
        <v>385</v>
      </c>
      <c r="AC492">
        <v>0</v>
      </c>
    </row>
    <row r="493" spans="1:29">
      <c r="A493" t="s">
        <v>3259</v>
      </c>
      <c r="B493" t="s">
        <v>2785</v>
      </c>
      <c r="C493">
        <v>489</v>
      </c>
      <c r="D493" t="s">
        <v>2795</v>
      </c>
      <c r="E493" s="3" t="s">
        <v>2796</v>
      </c>
    </row>
    <row r="494" spans="1:29">
      <c r="A494" t="s">
        <v>3260</v>
      </c>
      <c r="B494" t="s">
        <v>2785</v>
      </c>
      <c r="C494">
        <v>490</v>
      </c>
      <c r="D494" t="s">
        <v>2798</v>
      </c>
      <c r="E494" s="3" t="s">
        <v>3261</v>
      </c>
      <c r="F494">
        <v>800652</v>
      </c>
      <c r="W494">
        <v>27.4</v>
      </c>
      <c r="X494">
        <v>81.099999999999994</v>
      </c>
      <c r="Y494">
        <v>-2.2999999999999998</v>
      </c>
      <c r="Z494">
        <v>0</v>
      </c>
      <c r="AA494">
        <v>1</v>
      </c>
      <c r="AB494" t="s">
        <v>385</v>
      </c>
      <c r="AC494">
        <v>0</v>
      </c>
    </row>
    <row r="495" spans="1:29">
      <c r="A495" t="s">
        <v>3262</v>
      </c>
      <c r="B495" t="s">
        <v>2785</v>
      </c>
      <c r="C495">
        <v>491</v>
      </c>
      <c r="D495" t="s">
        <v>2795</v>
      </c>
      <c r="E495" s="3" t="s">
        <v>2796</v>
      </c>
    </row>
    <row r="496" spans="1:29">
      <c r="A496" t="s">
        <v>3263</v>
      </c>
      <c r="B496" t="s">
        <v>2785</v>
      </c>
      <c r="C496">
        <v>492</v>
      </c>
      <c r="D496" t="s">
        <v>2798</v>
      </c>
      <c r="E496" s="3" t="s">
        <v>3264</v>
      </c>
      <c r="F496">
        <v>805668</v>
      </c>
      <c r="W496">
        <v>27.4</v>
      </c>
      <c r="X496">
        <v>81</v>
      </c>
      <c r="Y496">
        <v>-2.2999999999999998</v>
      </c>
      <c r="Z496">
        <v>0</v>
      </c>
      <c r="AA496">
        <v>1</v>
      </c>
      <c r="AB496" t="s">
        <v>385</v>
      </c>
      <c r="AC496">
        <v>0</v>
      </c>
    </row>
    <row r="497" spans="1:29">
      <c r="A497" t="s">
        <v>3265</v>
      </c>
      <c r="B497" t="s">
        <v>2785</v>
      </c>
      <c r="C497">
        <v>493</v>
      </c>
      <c r="D497" t="s">
        <v>2795</v>
      </c>
      <c r="E497" s="3" t="s">
        <v>2796</v>
      </c>
    </row>
    <row r="498" spans="1:29">
      <c r="A498" t="s">
        <v>3266</v>
      </c>
      <c r="B498" t="s">
        <v>2785</v>
      </c>
      <c r="C498">
        <v>494</v>
      </c>
      <c r="D498" t="s">
        <v>2798</v>
      </c>
      <c r="E498" s="3" t="s">
        <v>3267</v>
      </c>
      <c r="F498">
        <v>810687</v>
      </c>
      <c r="W498">
        <v>27.4</v>
      </c>
      <c r="X498">
        <v>81</v>
      </c>
      <c r="Y498">
        <v>-2.2999999999999998</v>
      </c>
      <c r="Z498">
        <v>0</v>
      </c>
      <c r="AA498">
        <v>1</v>
      </c>
      <c r="AB498" t="s">
        <v>385</v>
      </c>
      <c r="AC498">
        <v>0</v>
      </c>
    </row>
    <row r="499" spans="1:29">
      <c r="A499" t="s">
        <v>3268</v>
      </c>
      <c r="B499" t="s">
        <v>2785</v>
      </c>
      <c r="C499">
        <v>495</v>
      </c>
      <c r="D499" t="s">
        <v>2795</v>
      </c>
      <c r="E499" s="3" t="s">
        <v>2796</v>
      </c>
    </row>
    <row r="500" spans="1:29">
      <c r="A500" t="s">
        <v>3269</v>
      </c>
      <c r="B500" t="s">
        <v>2785</v>
      </c>
      <c r="C500">
        <v>496</v>
      </c>
      <c r="D500" t="s">
        <v>2798</v>
      </c>
      <c r="E500" s="3" t="s">
        <v>3270</v>
      </c>
      <c r="F500">
        <v>815704</v>
      </c>
      <c r="W500">
        <v>27.5</v>
      </c>
      <c r="X500">
        <v>81.900000000000006</v>
      </c>
      <c r="Y500">
        <v>-2.2999999999999998</v>
      </c>
      <c r="Z500">
        <v>0</v>
      </c>
      <c r="AA500">
        <v>1</v>
      </c>
      <c r="AB500" t="s">
        <v>385</v>
      </c>
      <c r="AC500">
        <v>0</v>
      </c>
    </row>
    <row r="501" spans="1:29">
      <c r="A501" t="s">
        <v>3271</v>
      </c>
      <c r="B501" t="s">
        <v>2785</v>
      </c>
      <c r="C501">
        <v>497</v>
      </c>
      <c r="D501" t="s">
        <v>2795</v>
      </c>
      <c r="E501" s="3" t="s">
        <v>2796</v>
      </c>
    </row>
    <row r="502" spans="1:29">
      <c r="A502" t="s">
        <v>3272</v>
      </c>
      <c r="B502" t="s">
        <v>2785</v>
      </c>
      <c r="C502">
        <v>498</v>
      </c>
      <c r="D502" t="s">
        <v>2798</v>
      </c>
      <c r="E502" s="3" t="s">
        <v>3273</v>
      </c>
      <c r="F502">
        <v>820720</v>
      </c>
      <c r="W502">
        <v>27.7</v>
      </c>
      <c r="X502">
        <v>83</v>
      </c>
      <c r="Y502">
        <v>-2.4</v>
      </c>
      <c r="Z502">
        <v>0</v>
      </c>
      <c r="AA502">
        <v>1</v>
      </c>
      <c r="AB502" t="s">
        <v>385</v>
      </c>
      <c r="AC502">
        <v>0</v>
      </c>
    </row>
    <row r="503" spans="1:29">
      <c r="A503" t="s">
        <v>3274</v>
      </c>
      <c r="B503" t="s">
        <v>2785</v>
      </c>
      <c r="C503">
        <v>499</v>
      </c>
      <c r="D503" t="s">
        <v>2939</v>
      </c>
      <c r="E503" s="3" t="s">
        <v>563</v>
      </c>
    </row>
    <row r="504" spans="1:29">
      <c r="A504" t="s">
        <v>3275</v>
      </c>
      <c r="B504" t="s">
        <v>2785</v>
      </c>
      <c r="C504">
        <v>500</v>
      </c>
      <c r="D504" t="s">
        <v>2939</v>
      </c>
      <c r="E504" s="3" t="s">
        <v>565</v>
      </c>
    </row>
    <row r="505" spans="1:29">
      <c r="A505" t="s">
        <v>3276</v>
      </c>
      <c r="B505" t="s">
        <v>2785</v>
      </c>
      <c r="C505">
        <v>501</v>
      </c>
      <c r="D505" t="s">
        <v>2795</v>
      </c>
      <c r="E505" s="3" t="s">
        <v>3277</v>
      </c>
    </row>
    <row r="506" spans="1:29">
      <c r="A506" t="s">
        <v>3278</v>
      </c>
      <c r="B506" t="s">
        <v>2785</v>
      </c>
      <c r="C506">
        <v>502</v>
      </c>
      <c r="D506" t="s">
        <v>2798</v>
      </c>
      <c r="E506" s="3" t="s">
        <v>3279</v>
      </c>
      <c r="F506">
        <v>825795</v>
      </c>
      <c r="W506">
        <v>28.1</v>
      </c>
      <c r="X506">
        <v>84.3</v>
      </c>
      <c r="Y506">
        <v>-2.5</v>
      </c>
      <c r="Z506">
        <v>0</v>
      </c>
      <c r="AA506">
        <v>1</v>
      </c>
      <c r="AB506" t="s">
        <v>567</v>
      </c>
      <c r="AC506">
        <v>0</v>
      </c>
    </row>
    <row r="507" spans="1:29">
      <c r="A507" t="s">
        <v>3280</v>
      </c>
      <c r="B507" t="s">
        <v>2785</v>
      </c>
      <c r="C507">
        <v>503</v>
      </c>
      <c r="D507" t="s">
        <v>2939</v>
      </c>
      <c r="E507" s="3" t="s">
        <v>569</v>
      </c>
    </row>
    <row r="508" spans="1:29">
      <c r="A508" t="s">
        <v>3281</v>
      </c>
      <c r="B508" t="s">
        <v>2785</v>
      </c>
      <c r="C508">
        <v>504</v>
      </c>
      <c r="D508" t="s">
        <v>2795</v>
      </c>
      <c r="E508" s="3" t="s">
        <v>3282</v>
      </c>
    </row>
    <row r="509" spans="1:29">
      <c r="A509" t="s">
        <v>3283</v>
      </c>
      <c r="B509" t="s">
        <v>2785</v>
      </c>
      <c r="C509">
        <v>505</v>
      </c>
      <c r="D509" t="s">
        <v>2798</v>
      </c>
      <c r="E509" s="3" t="s">
        <v>3284</v>
      </c>
      <c r="F509">
        <v>830752</v>
      </c>
      <c r="W509">
        <v>28.6</v>
      </c>
      <c r="X509">
        <v>83.8</v>
      </c>
      <c r="Y509">
        <v>-1.9</v>
      </c>
      <c r="Z509">
        <v>0</v>
      </c>
      <c r="AA509">
        <v>1</v>
      </c>
      <c r="AB509" t="s">
        <v>571</v>
      </c>
      <c r="AC509">
        <v>0</v>
      </c>
    </row>
    <row r="510" spans="1:29">
      <c r="A510" t="s">
        <v>3285</v>
      </c>
      <c r="B510" t="s">
        <v>2785</v>
      </c>
      <c r="C510">
        <v>506</v>
      </c>
      <c r="D510" t="s">
        <v>2795</v>
      </c>
      <c r="E510" s="3" t="s">
        <v>3282</v>
      </c>
    </row>
    <row r="511" spans="1:29">
      <c r="A511" t="s">
        <v>3286</v>
      </c>
      <c r="B511" t="s">
        <v>2785</v>
      </c>
      <c r="C511">
        <v>507</v>
      </c>
      <c r="D511" t="s">
        <v>2798</v>
      </c>
      <c r="E511" s="3" t="s">
        <v>3287</v>
      </c>
      <c r="F511">
        <v>835763</v>
      </c>
      <c r="W511">
        <v>29</v>
      </c>
      <c r="X511">
        <v>72.2</v>
      </c>
      <c r="Y511">
        <v>-1.8</v>
      </c>
      <c r="Z511">
        <v>69.787000000000006</v>
      </c>
      <c r="AA511">
        <v>1</v>
      </c>
      <c r="AB511" t="s">
        <v>571</v>
      </c>
      <c r="AC511">
        <v>0</v>
      </c>
    </row>
    <row r="512" spans="1:29">
      <c r="A512" t="s">
        <v>3288</v>
      </c>
      <c r="B512" t="s">
        <v>2785</v>
      </c>
      <c r="C512">
        <v>508</v>
      </c>
      <c r="D512" t="s">
        <v>2795</v>
      </c>
      <c r="E512" s="3" t="s">
        <v>3282</v>
      </c>
    </row>
    <row r="513" spans="1:29">
      <c r="A513" t="s">
        <v>3289</v>
      </c>
      <c r="B513" t="s">
        <v>2785</v>
      </c>
      <c r="C513">
        <v>509</v>
      </c>
      <c r="D513" t="s">
        <v>2798</v>
      </c>
      <c r="E513" s="3" t="s">
        <v>3290</v>
      </c>
      <c r="F513">
        <v>841183</v>
      </c>
      <c r="W513">
        <v>29.1</v>
      </c>
      <c r="X513">
        <v>71.3</v>
      </c>
      <c r="Y513">
        <v>-70.5</v>
      </c>
      <c r="Z513">
        <v>67.227000000000004</v>
      </c>
      <c r="AA513">
        <v>1</v>
      </c>
      <c r="AB513" t="s">
        <v>571</v>
      </c>
      <c r="AC513">
        <v>0</v>
      </c>
    </row>
    <row r="514" spans="1:29">
      <c r="A514" t="s">
        <v>3291</v>
      </c>
      <c r="B514" t="s">
        <v>2785</v>
      </c>
      <c r="C514">
        <v>510</v>
      </c>
      <c r="D514" t="s">
        <v>3292</v>
      </c>
      <c r="E514" s="3" t="s">
        <v>576</v>
      </c>
    </row>
    <row r="515" spans="1:29">
      <c r="A515" t="s">
        <v>3293</v>
      </c>
      <c r="B515" t="s">
        <v>2785</v>
      </c>
      <c r="C515">
        <v>511</v>
      </c>
      <c r="D515" t="s">
        <v>2795</v>
      </c>
      <c r="E515" s="3" t="s">
        <v>3282</v>
      </c>
    </row>
    <row r="516" spans="1:29">
      <c r="A516" t="s">
        <v>3294</v>
      </c>
      <c r="B516" t="s">
        <v>2785</v>
      </c>
      <c r="C516">
        <v>512</v>
      </c>
      <c r="D516" t="s">
        <v>2798</v>
      </c>
      <c r="E516" s="3" t="s">
        <v>3295</v>
      </c>
      <c r="F516">
        <v>846615</v>
      </c>
      <c r="W516">
        <v>-1</v>
      </c>
      <c r="X516">
        <v>-1</v>
      </c>
      <c r="Y516">
        <v>-136.30000000000001</v>
      </c>
      <c r="Z516">
        <v>71.492999999999995</v>
      </c>
      <c r="AA516">
        <v>1</v>
      </c>
      <c r="AB516" t="s">
        <v>571</v>
      </c>
      <c r="AC516">
        <v>0</v>
      </c>
    </row>
    <row r="517" spans="1:29">
      <c r="A517" t="s">
        <v>3296</v>
      </c>
      <c r="B517" t="s">
        <v>2785</v>
      </c>
      <c r="C517">
        <v>513</v>
      </c>
      <c r="D517" t="s">
        <v>3292</v>
      </c>
      <c r="E517" s="3" t="s">
        <v>576</v>
      </c>
    </row>
    <row r="518" spans="1:29">
      <c r="A518" t="s">
        <v>3297</v>
      </c>
      <c r="B518" t="s">
        <v>2785</v>
      </c>
      <c r="C518">
        <v>514</v>
      </c>
      <c r="D518" t="s">
        <v>2795</v>
      </c>
      <c r="E518" s="3" t="s">
        <v>3282</v>
      </c>
    </row>
    <row r="519" spans="1:29">
      <c r="A519" t="s">
        <v>3298</v>
      </c>
      <c r="B519" t="s">
        <v>2785</v>
      </c>
      <c r="C519">
        <v>515</v>
      </c>
      <c r="D519" t="s">
        <v>2798</v>
      </c>
      <c r="E519" s="3" t="s">
        <v>3299</v>
      </c>
      <c r="F519">
        <v>851615</v>
      </c>
      <c r="W519">
        <v>-1</v>
      </c>
      <c r="X519">
        <v>-1</v>
      </c>
      <c r="Y519">
        <v>-1.7</v>
      </c>
      <c r="Z519">
        <v>66.052999999999997</v>
      </c>
      <c r="AA519">
        <v>1</v>
      </c>
      <c r="AB519" t="s">
        <v>571</v>
      </c>
      <c r="AC519">
        <v>0</v>
      </c>
    </row>
    <row r="520" spans="1:29">
      <c r="A520" t="s">
        <v>3300</v>
      </c>
      <c r="B520" t="s">
        <v>2785</v>
      </c>
      <c r="C520">
        <v>516</v>
      </c>
      <c r="D520" t="s">
        <v>2795</v>
      </c>
      <c r="E520" s="3" t="s">
        <v>3282</v>
      </c>
    </row>
    <row r="521" spans="1:29">
      <c r="A521" t="s">
        <v>3301</v>
      </c>
      <c r="B521" t="s">
        <v>2785</v>
      </c>
      <c r="C521">
        <v>517</v>
      </c>
      <c r="D521" t="s">
        <v>2798</v>
      </c>
      <c r="E521" s="3" t="s">
        <v>3302</v>
      </c>
      <c r="F521">
        <v>856585</v>
      </c>
      <c r="W521">
        <v>29.1</v>
      </c>
      <c r="X521">
        <v>69.900000000000006</v>
      </c>
      <c r="Y521">
        <v>-1.9</v>
      </c>
      <c r="Z521">
        <v>65.733000000000004</v>
      </c>
      <c r="AA521">
        <v>1</v>
      </c>
      <c r="AB521" t="s">
        <v>571</v>
      </c>
      <c r="AC521">
        <v>0</v>
      </c>
    </row>
    <row r="522" spans="1:29">
      <c r="A522" t="s">
        <v>3303</v>
      </c>
      <c r="B522" t="s">
        <v>2785</v>
      </c>
      <c r="C522">
        <v>518</v>
      </c>
      <c r="D522" t="s">
        <v>3292</v>
      </c>
      <c r="E522" s="3" t="s">
        <v>576</v>
      </c>
    </row>
    <row r="523" spans="1:29">
      <c r="A523" t="s">
        <v>3304</v>
      </c>
      <c r="B523" t="s">
        <v>2785</v>
      </c>
      <c r="C523">
        <v>519</v>
      </c>
      <c r="D523" t="s">
        <v>2795</v>
      </c>
      <c r="E523" s="3" t="s">
        <v>3282</v>
      </c>
    </row>
    <row r="524" spans="1:29">
      <c r="A524" t="s">
        <v>3305</v>
      </c>
      <c r="B524" t="s">
        <v>2785</v>
      </c>
      <c r="C524">
        <v>520</v>
      </c>
      <c r="D524" t="s">
        <v>2798</v>
      </c>
      <c r="E524" s="3" t="s">
        <v>3306</v>
      </c>
      <c r="F524">
        <v>861617</v>
      </c>
      <c r="W524">
        <v>-1</v>
      </c>
      <c r="X524">
        <v>-1</v>
      </c>
      <c r="Y524">
        <v>-1.7</v>
      </c>
      <c r="Z524">
        <v>65.332999999999998</v>
      </c>
      <c r="AA524">
        <v>1</v>
      </c>
      <c r="AB524" t="s">
        <v>571</v>
      </c>
      <c r="AC524">
        <v>0</v>
      </c>
    </row>
    <row r="525" spans="1:29">
      <c r="A525" t="s">
        <v>3307</v>
      </c>
      <c r="B525" t="s">
        <v>2785</v>
      </c>
      <c r="C525">
        <v>521</v>
      </c>
      <c r="D525" t="s">
        <v>2795</v>
      </c>
      <c r="E525" s="3" t="s">
        <v>3282</v>
      </c>
    </row>
    <row r="526" spans="1:29">
      <c r="A526" t="s">
        <v>3308</v>
      </c>
      <c r="B526" t="s">
        <v>2785</v>
      </c>
      <c r="C526">
        <v>522</v>
      </c>
      <c r="D526" t="s">
        <v>2798</v>
      </c>
      <c r="E526" s="3" t="s">
        <v>3309</v>
      </c>
      <c r="F526">
        <v>866584</v>
      </c>
      <c r="W526">
        <v>29</v>
      </c>
      <c r="X526">
        <v>69.099999999999994</v>
      </c>
      <c r="Y526">
        <v>-1.8</v>
      </c>
      <c r="Z526">
        <v>63.226999999999997</v>
      </c>
      <c r="AA526">
        <v>1</v>
      </c>
      <c r="AB526" t="s">
        <v>571</v>
      </c>
      <c r="AC526">
        <v>0</v>
      </c>
    </row>
    <row r="527" spans="1:29">
      <c r="A527" t="s">
        <v>3310</v>
      </c>
      <c r="B527" t="s">
        <v>2785</v>
      </c>
      <c r="C527">
        <v>523</v>
      </c>
      <c r="D527" t="s">
        <v>3292</v>
      </c>
      <c r="E527" s="3" t="s">
        <v>576</v>
      </c>
    </row>
    <row r="528" spans="1:29">
      <c r="A528" t="s">
        <v>3311</v>
      </c>
      <c r="B528" t="s">
        <v>2785</v>
      </c>
      <c r="C528">
        <v>524</v>
      </c>
      <c r="D528" t="s">
        <v>2795</v>
      </c>
      <c r="E528" s="3" t="s">
        <v>3282</v>
      </c>
    </row>
    <row r="529" spans="1:29">
      <c r="A529" t="s">
        <v>3312</v>
      </c>
      <c r="B529" t="s">
        <v>2785</v>
      </c>
      <c r="C529">
        <v>525</v>
      </c>
      <c r="D529" t="s">
        <v>2798</v>
      </c>
      <c r="E529" s="3" t="s">
        <v>3313</v>
      </c>
      <c r="F529">
        <v>871616</v>
      </c>
      <c r="W529">
        <v>-1</v>
      </c>
      <c r="X529">
        <v>-1</v>
      </c>
      <c r="Y529">
        <v>-1.9</v>
      </c>
      <c r="Z529">
        <v>66.933000000000007</v>
      </c>
      <c r="AA529">
        <v>1</v>
      </c>
      <c r="AB529" t="s">
        <v>571</v>
      </c>
      <c r="AC529">
        <v>0</v>
      </c>
    </row>
    <row r="530" spans="1:29">
      <c r="A530" t="s">
        <v>3314</v>
      </c>
      <c r="B530" t="s">
        <v>2785</v>
      </c>
      <c r="C530">
        <v>526</v>
      </c>
      <c r="D530" t="s">
        <v>2795</v>
      </c>
      <c r="E530" s="3" t="s">
        <v>3282</v>
      </c>
    </row>
    <row r="531" spans="1:29">
      <c r="A531" t="s">
        <v>3315</v>
      </c>
      <c r="B531" t="s">
        <v>2785</v>
      </c>
      <c r="C531">
        <v>527</v>
      </c>
      <c r="D531" t="s">
        <v>2798</v>
      </c>
      <c r="E531" s="3" t="s">
        <v>3316</v>
      </c>
      <c r="F531">
        <v>876584</v>
      </c>
      <c r="W531">
        <v>28.8</v>
      </c>
      <c r="X531">
        <v>68.7</v>
      </c>
      <c r="Y531">
        <v>-135.1</v>
      </c>
      <c r="Z531">
        <v>72.027000000000001</v>
      </c>
      <c r="AA531">
        <v>1</v>
      </c>
      <c r="AB531" t="s">
        <v>571</v>
      </c>
      <c r="AC531">
        <v>0</v>
      </c>
    </row>
    <row r="532" spans="1:29">
      <c r="A532" t="s">
        <v>3317</v>
      </c>
      <c r="B532" t="s">
        <v>2785</v>
      </c>
      <c r="C532">
        <v>528</v>
      </c>
      <c r="D532" t="s">
        <v>3292</v>
      </c>
      <c r="E532" s="3" t="s">
        <v>576</v>
      </c>
    </row>
    <row r="533" spans="1:29">
      <c r="A533" t="s">
        <v>3318</v>
      </c>
      <c r="B533" t="s">
        <v>2785</v>
      </c>
      <c r="C533">
        <v>529</v>
      </c>
      <c r="D533" t="s">
        <v>2795</v>
      </c>
      <c r="E533" s="3" t="s">
        <v>3282</v>
      </c>
    </row>
    <row r="534" spans="1:29">
      <c r="A534" t="s">
        <v>3319</v>
      </c>
      <c r="B534" t="s">
        <v>2785</v>
      </c>
      <c r="C534">
        <v>530</v>
      </c>
      <c r="D534" t="s">
        <v>2798</v>
      </c>
      <c r="E534" s="3" t="s">
        <v>3320</v>
      </c>
      <c r="F534">
        <v>881616</v>
      </c>
      <c r="W534">
        <v>-1</v>
      </c>
      <c r="X534">
        <v>-1</v>
      </c>
      <c r="Y534">
        <v>-2.2000000000000002</v>
      </c>
      <c r="Z534">
        <v>74.239999999999995</v>
      </c>
      <c r="AA534">
        <v>1</v>
      </c>
      <c r="AB534" t="s">
        <v>571</v>
      </c>
      <c r="AC534">
        <v>0</v>
      </c>
    </row>
    <row r="535" spans="1:29">
      <c r="A535" t="s">
        <v>3321</v>
      </c>
      <c r="B535" t="s">
        <v>2785</v>
      </c>
      <c r="C535">
        <v>531</v>
      </c>
      <c r="D535" t="s">
        <v>3292</v>
      </c>
      <c r="E535" s="3" t="s">
        <v>576</v>
      </c>
    </row>
    <row r="536" spans="1:29">
      <c r="A536" t="s">
        <v>3322</v>
      </c>
      <c r="B536" t="s">
        <v>2785</v>
      </c>
      <c r="C536">
        <v>532</v>
      </c>
      <c r="D536" t="s">
        <v>2795</v>
      </c>
      <c r="E536" s="3" t="s">
        <v>3282</v>
      </c>
    </row>
    <row r="537" spans="1:29">
      <c r="A537" t="s">
        <v>3323</v>
      </c>
      <c r="B537" t="s">
        <v>2785</v>
      </c>
      <c r="C537">
        <v>533</v>
      </c>
      <c r="D537" t="s">
        <v>2798</v>
      </c>
      <c r="E537" s="3" t="s">
        <v>3324</v>
      </c>
      <c r="F537">
        <v>886616</v>
      </c>
      <c r="W537">
        <v>-1</v>
      </c>
      <c r="X537">
        <v>-1</v>
      </c>
      <c r="Y537">
        <v>-2.1</v>
      </c>
      <c r="Z537">
        <v>73.466999999999999</v>
      </c>
      <c r="AA537">
        <v>1</v>
      </c>
      <c r="AB537" t="s">
        <v>571</v>
      </c>
      <c r="AC537">
        <v>0</v>
      </c>
    </row>
    <row r="538" spans="1:29">
      <c r="A538" t="s">
        <v>3325</v>
      </c>
      <c r="B538" t="s">
        <v>2785</v>
      </c>
      <c r="C538">
        <v>534</v>
      </c>
      <c r="D538" t="s">
        <v>3292</v>
      </c>
      <c r="E538" s="3" t="s">
        <v>576</v>
      </c>
    </row>
    <row r="539" spans="1:29">
      <c r="A539" t="s">
        <v>3326</v>
      </c>
      <c r="B539" t="s">
        <v>2785</v>
      </c>
      <c r="C539">
        <v>535</v>
      </c>
      <c r="D539" t="s">
        <v>2795</v>
      </c>
      <c r="E539" s="3" t="s">
        <v>3282</v>
      </c>
    </row>
    <row r="540" spans="1:29">
      <c r="A540" t="s">
        <v>3327</v>
      </c>
      <c r="B540" t="s">
        <v>2785</v>
      </c>
      <c r="C540">
        <v>536</v>
      </c>
      <c r="D540" t="s">
        <v>2798</v>
      </c>
      <c r="E540" s="3" t="s">
        <v>3328</v>
      </c>
      <c r="F540">
        <v>891633</v>
      </c>
      <c r="W540">
        <v>-1</v>
      </c>
      <c r="X540">
        <v>-1</v>
      </c>
      <c r="Y540">
        <v>-2</v>
      </c>
      <c r="Z540">
        <v>69.2</v>
      </c>
      <c r="AA540">
        <v>1</v>
      </c>
      <c r="AB540" t="s">
        <v>571</v>
      </c>
      <c r="AC540">
        <v>0</v>
      </c>
    </row>
    <row r="541" spans="1:29">
      <c r="A541" t="s">
        <v>3329</v>
      </c>
      <c r="B541" t="s">
        <v>2785</v>
      </c>
      <c r="C541">
        <v>537</v>
      </c>
      <c r="D541" t="s">
        <v>3292</v>
      </c>
      <c r="E541" s="3" t="s">
        <v>576</v>
      </c>
    </row>
    <row r="542" spans="1:29">
      <c r="A542" t="s">
        <v>3330</v>
      </c>
      <c r="B542" t="s">
        <v>2785</v>
      </c>
      <c r="C542">
        <v>538</v>
      </c>
      <c r="D542" t="s">
        <v>2795</v>
      </c>
      <c r="E542" s="3" t="s">
        <v>3282</v>
      </c>
    </row>
    <row r="543" spans="1:29">
      <c r="A543" t="s">
        <v>3331</v>
      </c>
      <c r="B543" t="s">
        <v>2785</v>
      </c>
      <c r="C543">
        <v>539</v>
      </c>
      <c r="D543" t="s">
        <v>2798</v>
      </c>
      <c r="E543" s="3" t="s">
        <v>3332</v>
      </c>
      <c r="F543">
        <v>896633</v>
      </c>
      <c r="W543">
        <v>-1</v>
      </c>
      <c r="X543">
        <v>-1</v>
      </c>
      <c r="Y543">
        <v>-2</v>
      </c>
      <c r="Z543">
        <v>73.2</v>
      </c>
      <c r="AA543">
        <v>1</v>
      </c>
      <c r="AB543" t="s">
        <v>571</v>
      </c>
      <c r="AC543">
        <v>0</v>
      </c>
    </row>
    <row r="544" spans="1:29">
      <c r="A544" t="s">
        <v>3333</v>
      </c>
      <c r="B544" t="s">
        <v>2785</v>
      </c>
      <c r="C544">
        <v>540</v>
      </c>
      <c r="D544" t="s">
        <v>3292</v>
      </c>
      <c r="E544" s="3" t="s">
        <v>576</v>
      </c>
    </row>
    <row r="545" spans="1:29">
      <c r="A545" t="s">
        <v>3334</v>
      </c>
      <c r="B545" t="s">
        <v>2785</v>
      </c>
      <c r="C545">
        <v>541</v>
      </c>
      <c r="D545" t="s">
        <v>2795</v>
      </c>
      <c r="E545" s="3" t="s">
        <v>3282</v>
      </c>
    </row>
    <row r="546" spans="1:29">
      <c r="A546" t="s">
        <v>3335</v>
      </c>
      <c r="B546" t="s">
        <v>2785</v>
      </c>
      <c r="C546">
        <v>542</v>
      </c>
      <c r="D546" t="s">
        <v>2798</v>
      </c>
      <c r="E546" s="3" t="s">
        <v>3336</v>
      </c>
      <c r="F546">
        <v>901634</v>
      </c>
      <c r="W546">
        <v>-1</v>
      </c>
      <c r="X546">
        <v>-1</v>
      </c>
      <c r="Y546">
        <v>-2</v>
      </c>
      <c r="Z546">
        <v>96.747</v>
      </c>
      <c r="AA546">
        <v>1</v>
      </c>
      <c r="AB546" t="s">
        <v>571</v>
      </c>
      <c r="AC546">
        <v>0</v>
      </c>
    </row>
    <row r="547" spans="1:29">
      <c r="A547" t="s">
        <v>3337</v>
      </c>
      <c r="B547" t="s">
        <v>2785</v>
      </c>
      <c r="C547">
        <v>543</v>
      </c>
      <c r="D547" t="s">
        <v>3292</v>
      </c>
      <c r="E547" s="3" t="s">
        <v>576</v>
      </c>
    </row>
    <row r="548" spans="1:29">
      <c r="A548" t="s">
        <v>3338</v>
      </c>
      <c r="B548" t="s">
        <v>2785</v>
      </c>
      <c r="C548">
        <v>544</v>
      </c>
      <c r="D548" t="s">
        <v>2795</v>
      </c>
      <c r="E548" s="3" t="s">
        <v>3282</v>
      </c>
    </row>
    <row r="549" spans="1:29">
      <c r="A549" t="s">
        <v>3339</v>
      </c>
      <c r="B549" t="s">
        <v>2785</v>
      </c>
      <c r="C549">
        <v>545</v>
      </c>
      <c r="D549" t="s">
        <v>2798</v>
      </c>
      <c r="E549" s="3" t="s">
        <v>3340</v>
      </c>
      <c r="F549">
        <v>906633</v>
      </c>
      <c r="W549">
        <v>-1</v>
      </c>
      <c r="X549">
        <v>-1</v>
      </c>
      <c r="Y549">
        <v>2.5</v>
      </c>
      <c r="Z549">
        <v>261.36</v>
      </c>
      <c r="AA549">
        <v>1</v>
      </c>
      <c r="AB549" t="s">
        <v>571</v>
      </c>
      <c r="AC549">
        <v>0</v>
      </c>
    </row>
    <row r="550" spans="1:29">
      <c r="A550" t="s">
        <v>3341</v>
      </c>
      <c r="B550" t="s">
        <v>2785</v>
      </c>
      <c r="C550">
        <v>546</v>
      </c>
      <c r="D550" t="s">
        <v>2939</v>
      </c>
      <c r="E550" s="3" t="s">
        <v>602</v>
      </c>
    </row>
    <row r="551" spans="1:29">
      <c r="A551" t="s">
        <v>3342</v>
      </c>
      <c r="B551" t="s">
        <v>2785</v>
      </c>
      <c r="C551">
        <v>547</v>
      </c>
      <c r="D551" t="s">
        <v>2795</v>
      </c>
      <c r="E551" s="3" t="s">
        <v>3343</v>
      </c>
    </row>
    <row r="552" spans="1:29">
      <c r="A552" t="s">
        <v>3344</v>
      </c>
      <c r="B552" t="s">
        <v>2785</v>
      </c>
      <c r="C552">
        <v>548</v>
      </c>
      <c r="D552" t="s">
        <v>2798</v>
      </c>
      <c r="E552" s="3" t="s">
        <v>3345</v>
      </c>
      <c r="F552">
        <v>911619</v>
      </c>
      <c r="W552">
        <v>28.4</v>
      </c>
      <c r="X552">
        <v>69</v>
      </c>
      <c r="Y552">
        <v>-1.7</v>
      </c>
      <c r="Z552">
        <v>394.72</v>
      </c>
      <c r="AA552">
        <v>1</v>
      </c>
      <c r="AB552" t="s">
        <v>604</v>
      </c>
      <c r="AC552">
        <v>0</v>
      </c>
    </row>
    <row r="553" spans="1:29">
      <c r="A553" t="s">
        <v>3346</v>
      </c>
      <c r="B553" t="s">
        <v>2785</v>
      </c>
      <c r="C553">
        <v>549</v>
      </c>
      <c r="D553" t="s">
        <v>2795</v>
      </c>
      <c r="E553" s="3" t="s">
        <v>3343</v>
      </c>
    </row>
    <row r="554" spans="1:29">
      <c r="A554" t="s">
        <v>3347</v>
      </c>
      <c r="B554" t="s">
        <v>2785</v>
      </c>
      <c r="C554">
        <v>550</v>
      </c>
      <c r="D554" t="s">
        <v>2798</v>
      </c>
      <c r="E554" s="3" t="s">
        <v>3348</v>
      </c>
      <c r="F554">
        <v>916601</v>
      </c>
      <c r="W554">
        <v>28.4</v>
      </c>
      <c r="X554">
        <v>70.900000000000006</v>
      </c>
      <c r="Y554">
        <v>-1.6</v>
      </c>
      <c r="Z554">
        <v>0.187</v>
      </c>
      <c r="AA554">
        <v>1</v>
      </c>
      <c r="AB554" t="s">
        <v>604</v>
      </c>
      <c r="AC554">
        <v>0</v>
      </c>
    </row>
    <row r="555" spans="1:29">
      <c r="A555" t="s">
        <v>3349</v>
      </c>
      <c r="B555" t="s">
        <v>2785</v>
      </c>
      <c r="C555">
        <v>551</v>
      </c>
      <c r="D555" t="s">
        <v>2939</v>
      </c>
      <c r="E555" s="3" t="s">
        <v>608</v>
      </c>
    </row>
    <row r="556" spans="1:29">
      <c r="A556" t="s">
        <v>3350</v>
      </c>
      <c r="B556" t="s">
        <v>2785</v>
      </c>
      <c r="C556">
        <v>552</v>
      </c>
      <c r="D556" t="s">
        <v>2795</v>
      </c>
      <c r="E556" s="3" t="s">
        <v>3351</v>
      </c>
    </row>
    <row r="557" spans="1:29">
      <c r="A557" t="s">
        <v>3352</v>
      </c>
      <c r="B557" t="s">
        <v>2785</v>
      </c>
      <c r="C557">
        <v>553</v>
      </c>
      <c r="D557" t="s">
        <v>2798</v>
      </c>
      <c r="E557" s="3" t="s">
        <v>3353</v>
      </c>
      <c r="F557">
        <v>921617</v>
      </c>
      <c r="W557">
        <v>28.4</v>
      </c>
      <c r="X557">
        <v>75.099999999999994</v>
      </c>
      <c r="Y557">
        <v>-1.6</v>
      </c>
      <c r="Z557">
        <v>0</v>
      </c>
      <c r="AA557">
        <v>1</v>
      </c>
      <c r="AB557" t="s">
        <v>610</v>
      </c>
      <c r="AC557">
        <v>0</v>
      </c>
    </row>
    <row r="558" spans="1:29">
      <c r="A558" t="s">
        <v>3354</v>
      </c>
      <c r="B558" t="s">
        <v>2785</v>
      </c>
      <c r="C558">
        <v>554</v>
      </c>
      <c r="D558" t="s">
        <v>2795</v>
      </c>
      <c r="E558" s="3" t="s">
        <v>2796</v>
      </c>
    </row>
    <row r="559" spans="1:29">
      <c r="A559" t="s">
        <v>3355</v>
      </c>
      <c r="B559" t="s">
        <v>2785</v>
      </c>
      <c r="C559">
        <v>555</v>
      </c>
      <c r="D559" t="s">
        <v>2798</v>
      </c>
      <c r="E559" s="3" t="s">
        <v>3356</v>
      </c>
      <c r="F559">
        <v>926602</v>
      </c>
      <c r="W559">
        <v>28.4</v>
      </c>
      <c r="X559">
        <v>75.3</v>
      </c>
      <c r="Y559">
        <v>-1.3</v>
      </c>
      <c r="Z559">
        <v>0</v>
      </c>
      <c r="AA559">
        <v>1</v>
      </c>
      <c r="AB559" t="s">
        <v>385</v>
      </c>
      <c r="AC559">
        <v>0</v>
      </c>
    </row>
    <row r="560" spans="1:29">
      <c r="A560" t="s">
        <v>3357</v>
      </c>
      <c r="B560" t="s">
        <v>2785</v>
      </c>
      <c r="C560">
        <v>556</v>
      </c>
      <c r="D560" t="s">
        <v>2939</v>
      </c>
      <c r="E560" s="3" t="s">
        <v>565</v>
      </c>
    </row>
    <row r="561" spans="1:29">
      <c r="A561" t="s">
        <v>3358</v>
      </c>
      <c r="B561" t="s">
        <v>2785</v>
      </c>
      <c r="C561">
        <v>557</v>
      </c>
      <c r="D561" t="s">
        <v>2795</v>
      </c>
      <c r="E561" s="3" t="s">
        <v>3277</v>
      </c>
    </row>
    <row r="562" spans="1:29">
      <c r="A562" t="s">
        <v>3359</v>
      </c>
      <c r="B562" t="s">
        <v>2785</v>
      </c>
      <c r="C562">
        <v>558</v>
      </c>
      <c r="D562" t="s">
        <v>2798</v>
      </c>
      <c r="E562" s="3" t="s">
        <v>3360</v>
      </c>
      <c r="F562">
        <v>931618</v>
      </c>
      <c r="W562">
        <v>28.4</v>
      </c>
      <c r="X562">
        <v>76.3</v>
      </c>
      <c r="Y562">
        <v>-1.5</v>
      </c>
      <c r="Z562">
        <v>0</v>
      </c>
      <c r="AA562">
        <v>1</v>
      </c>
      <c r="AB562" t="s">
        <v>567</v>
      </c>
      <c r="AC562">
        <v>0</v>
      </c>
    </row>
    <row r="563" spans="1:29">
      <c r="A563" t="s">
        <v>3361</v>
      </c>
      <c r="B563" t="s">
        <v>2785</v>
      </c>
      <c r="C563">
        <v>559</v>
      </c>
      <c r="D563" t="s">
        <v>2795</v>
      </c>
      <c r="E563" s="3" t="s">
        <v>3282</v>
      </c>
    </row>
    <row r="564" spans="1:29">
      <c r="A564" t="s">
        <v>3362</v>
      </c>
      <c r="B564" t="s">
        <v>2785</v>
      </c>
      <c r="C564">
        <v>560</v>
      </c>
      <c r="D564" t="s">
        <v>2798</v>
      </c>
      <c r="E564" s="3" t="s">
        <v>3363</v>
      </c>
      <c r="F564">
        <v>936603</v>
      </c>
      <c r="W564">
        <v>28.3</v>
      </c>
      <c r="X564">
        <v>76.599999999999994</v>
      </c>
      <c r="Y564">
        <v>-2.2000000000000002</v>
      </c>
      <c r="Z564">
        <v>0</v>
      </c>
      <c r="AA564">
        <v>1</v>
      </c>
      <c r="AB564" t="s">
        <v>571</v>
      </c>
      <c r="AC564">
        <v>0</v>
      </c>
    </row>
    <row r="565" spans="1:29">
      <c r="A565" t="s">
        <v>3364</v>
      </c>
      <c r="B565" t="s">
        <v>2785</v>
      </c>
      <c r="C565">
        <v>561</v>
      </c>
      <c r="D565" t="s">
        <v>2795</v>
      </c>
      <c r="E565" s="3" t="s">
        <v>3282</v>
      </c>
    </row>
    <row r="566" spans="1:29">
      <c r="A566" t="s">
        <v>3365</v>
      </c>
      <c r="B566" t="s">
        <v>2785</v>
      </c>
      <c r="C566">
        <v>562</v>
      </c>
      <c r="D566" t="s">
        <v>2798</v>
      </c>
      <c r="E566" s="3" t="s">
        <v>3366</v>
      </c>
      <c r="F566">
        <v>941602</v>
      </c>
      <c r="W566">
        <v>28.2</v>
      </c>
      <c r="X566">
        <v>70.400000000000006</v>
      </c>
      <c r="Y566">
        <v>-1.4</v>
      </c>
      <c r="Z566">
        <v>169.92</v>
      </c>
      <c r="AA566">
        <v>1</v>
      </c>
      <c r="AB566" t="s">
        <v>571</v>
      </c>
      <c r="AC566">
        <v>0</v>
      </c>
    </row>
    <row r="567" spans="1:29">
      <c r="A567" t="s">
        <v>3367</v>
      </c>
      <c r="B567" t="s">
        <v>2785</v>
      </c>
      <c r="C567">
        <v>563</v>
      </c>
      <c r="D567" t="s">
        <v>2795</v>
      </c>
      <c r="E567" s="3" t="s">
        <v>3282</v>
      </c>
    </row>
    <row r="568" spans="1:29">
      <c r="A568" t="s">
        <v>3368</v>
      </c>
      <c r="B568" t="s">
        <v>2785</v>
      </c>
      <c r="C568">
        <v>564</v>
      </c>
      <c r="D568" t="s">
        <v>2798</v>
      </c>
      <c r="E568" s="3" t="s">
        <v>3369</v>
      </c>
      <c r="F568">
        <v>946603</v>
      </c>
      <c r="W568">
        <v>28.2</v>
      </c>
      <c r="X568">
        <v>70</v>
      </c>
      <c r="Y568">
        <v>-1.7</v>
      </c>
      <c r="Z568">
        <v>496.29300000000001</v>
      </c>
      <c r="AA568">
        <v>1</v>
      </c>
      <c r="AB568" t="s">
        <v>571</v>
      </c>
      <c r="AC568">
        <v>0</v>
      </c>
    </row>
    <row r="569" spans="1:29">
      <c r="A569" t="s">
        <v>3370</v>
      </c>
      <c r="B569" t="s">
        <v>2785</v>
      </c>
      <c r="C569">
        <v>565</v>
      </c>
      <c r="D569" t="s">
        <v>2795</v>
      </c>
      <c r="E569" s="3" t="s">
        <v>3282</v>
      </c>
    </row>
    <row r="570" spans="1:29">
      <c r="A570" t="s">
        <v>3371</v>
      </c>
      <c r="B570" t="s">
        <v>2785</v>
      </c>
      <c r="C570">
        <v>566</v>
      </c>
      <c r="D570" t="s">
        <v>2798</v>
      </c>
      <c r="E570" s="3" t="s">
        <v>3372</v>
      </c>
      <c r="F570">
        <v>951603</v>
      </c>
      <c r="W570">
        <v>28.1</v>
      </c>
      <c r="X570">
        <v>70.3</v>
      </c>
      <c r="Y570">
        <v>4280.8</v>
      </c>
      <c r="Z570">
        <v>278.34699999999998</v>
      </c>
      <c r="AA570">
        <v>1</v>
      </c>
      <c r="AB570" t="s">
        <v>571</v>
      </c>
      <c r="AC570">
        <v>0</v>
      </c>
    </row>
    <row r="571" spans="1:29">
      <c r="A571" t="s">
        <v>3373</v>
      </c>
      <c r="B571" t="s">
        <v>2785</v>
      </c>
      <c r="C571">
        <v>567</v>
      </c>
      <c r="D571" t="s">
        <v>2795</v>
      </c>
      <c r="E571" s="3" t="s">
        <v>3282</v>
      </c>
    </row>
    <row r="572" spans="1:29">
      <c r="A572" t="s">
        <v>3374</v>
      </c>
      <c r="B572" t="s">
        <v>2785</v>
      </c>
      <c r="C572">
        <v>568</v>
      </c>
      <c r="D572" t="s">
        <v>2798</v>
      </c>
      <c r="E572" s="3" t="s">
        <v>3375</v>
      </c>
      <c r="F572">
        <v>956603</v>
      </c>
      <c r="W572">
        <v>28.1</v>
      </c>
      <c r="X572">
        <v>70</v>
      </c>
      <c r="Y572">
        <v>2001.3</v>
      </c>
      <c r="Z572">
        <v>187.387</v>
      </c>
      <c r="AA572">
        <v>1</v>
      </c>
      <c r="AB572" t="s">
        <v>571</v>
      </c>
      <c r="AC572">
        <v>0</v>
      </c>
    </row>
    <row r="573" spans="1:29">
      <c r="A573" t="s">
        <v>3376</v>
      </c>
      <c r="B573" t="s">
        <v>2785</v>
      </c>
      <c r="C573">
        <v>569</v>
      </c>
      <c r="D573" t="s">
        <v>2795</v>
      </c>
      <c r="E573" s="3" t="s">
        <v>3282</v>
      </c>
    </row>
    <row r="574" spans="1:29">
      <c r="A574" t="s">
        <v>3377</v>
      </c>
      <c r="B574" t="s">
        <v>2785</v>
      </c>
      <c r="C574">
        <v>570</v>
      </c>
      <c r="D574" t="s">
        <v>2798</v>
      </c>
      <c r="E574" s="3" t="s">
        <v>3378</v>
      </c>
      <c r="F574">
        <v>962184</v>
      </c>
      <c r="W574">
        <v>28</v>
      </c>
      <c r="X574">
        <v>70</v>
      </c>
      <c r="Y574">
        <v>-69.7</v>
      </c>
      <c r="Z574">
        <v>157.733</v>
      </c>
      <c r="AA574">
        <v>1</v>
      </c>
      <c r="AB574" t="s">
        <v>571</v>
      </c>
      <c r="AC574">
        <v>0</v>
      </c>
    </row>
    <row r="575" spans="1:29">
      <c r="A575" t="s">
        <v>3379</v>
      </c>
      <c r="B575" t="s">
        <v>2785</v>
      </c>
      <c r="C575">
        <v>571</v>
      </c>
      <c r="D575" t="s">
        <v>3292</v>
      </c>
      <c r="E575" s="3" t="s">
        <v>576</v>
      </c>
    </row>
    <row r="576" spans="1:29">
      <c r="A576" t="s">
        <v>3380</v>
      </c>
      <c r="B576" t="s">
        <v>2785</v>
      </c>
      <c r="C576">
        <v>572</v>
      </c>
      <c r="D576" t="s">
        <v>2795</v>
      </c>
      <c r="E576" s="3" t="s">
        <v>3282</v>
      </c>
    </row>
    <row r="577" spans="1:29">
      <c r="A577" t="s">
        <v>3381</v>
      </c>
      <c r="B577" t="s">
        <v>2785</v>
      </c>
      <c r="C577">
        <v>573</v>
      </c>
      <c r="D577" t="s">
        <v>2798</v>
      </c>
      <c r="E577" s="3" t="s">
        <v>3382</v>
      </c>
      <c r="F577">
        <v>967358</v>
      </c>
      <c r="W577">
        <v>-1</v>
      </c>
      <c r="X577">
        <v>-1</v>
      </c>
      <c r="Y577">
        <v>-1.7</v>
      </c>
      <c r="Z577">
        <v>112.373</v>
      </c>
      <c r="AA577">
        <v>1</v>
      </c>
      <c r="AB577" t="s">
        <v>571</v>
      </c>
      <c r="AC577">
        <v>0</v>
      </c>
    </row>
    <row r="578" spans="1:29">
      <c r="A578" t="s">
        <v>3383</v>
      </c>
      <c r="B578" t="s">
        <v>2785</v>
      </c>
      <c r="C578">
        <v>574</v>
      </c>
      <c r="D578" t="s">
        <v>2795</v>
      </c>
      <c r="E578" s="3" t="s">
        <v>3282</v>
      </c>
    </row>
    <row r="579" spans="1:29">
      <c r="A579" t="s">
        <v>3384</v>
      </c>
      <c r="B579" t="s">
        <v>2785</v>
      </c>
      <c r="C579">
        <v>575</v>
      </c>
      <c r="D579" t="s">
        <v>2798</v>
      </c>
      <c r="E579" s="3" t="s">
        <v>3385</v>
      </c>
      <c r="F579">
        <v>972325</v>
      </c>
      <c r="W579">
        <v>27.9</v>
      </c>
      <c r="X579">
        <v>70.099999999999994</v>
      </c>
      <c r="Y579">
        <v>-1.1000000000000001</v>
      </c>
      <c r="Z579">
        <v>105.12</v>
      </c>
      <c r="AA579">
        <v>1</v>
      </c>
      <c r="AB579" t="s">
        <v>571</v>
      </c>
      <c r="AC579">
        <v>0</v>
      </c>
    </row>
    <row r="580" spans="1:29">
      <c r="A580" t="s">
        <v>3386</v>
      </c>
      <c r="B580" t="s">
        <v>2785</v>
      </c>
      <c r="C580">
        <v>576</v>
      </c>
      <c r="D580" t="s">
        <v>2795</v>
      </c>
      <c r="E580" s="3" t="s">
        <v>3282</v>
      </c>
    </row>
    <row r="581" spans="1:29">
      <c r="A581" t="s">
        <v>3387</v>
      </c>
      <c r="B581" t="s">
        <v>2785</v>
      </c>
      <c r="C581">
        <v>577</v>
      </c>
      <c r="D581" t="s">
        <v>2798</v>
      </c>
      <c r="E581" s="3" t="s">
        <v>3388</v>
      </c>
      <c r="F581">
        <v>977326</v>
      </c>
      <c r="W581">
        <v>27.9</v>
      </c>
      <c r="X581">
        <v>70.099999999999994</v>
      </c>
      <c r="Y581">
        <v>-1.7</v>
      </c>
      <c r="Z581">
        <v>100.88</v>
      </c>
      <c r="AA581">
        <v>1</v>
      </c>
      <c r="AB581" t="s">
        <v>571</v>
      </c>
      <c r="AC581">
        <v>0</v>
      </c>
    </row>
    <row r="582" spans="1:29">
      <c r="A582" t="s">
        <v>3389</v>
      </c>
      <c r="B582" t="s">
        <v>2785</v>
      </c>
      <c r="C582">
        <v>578</v>
      </c>
      <c r="D582" t="s">
        <v>2795</v>
      </c>
      <c r="E582" s="3" t="s">
        <v>3282</v>
      </c>
    </row>
    <row r="583" spans="1:29">
      <c r="A583" t="s">
        <v>3390</v>
      </c>
      <c r="B583" t="s">
        <v>2785</v>
      </c>
      <c r="C583">
        <v>579</v>
      </c>
      <c r="D583" t="s">
        <v>2798</v>
      </c>
      <c r="E583" s="3" t="s">
        <v>3391</v>
      </c>
      <c r="F583">
        <v>982326</v>
      </c>
      <c r="W583">
        <v>27.8</v>
      </c>
      <c r="X583">
        <v>70.2</v>
      </c>
      <c r="Y583">
        <v>-0.3</v>
      </c>
      <c r="Z583">
        <v>97.04</v>
      </c>
      <c r="AA583">
        <v>1</v>
      </c>
      <c r="AB583" t="s">
        <v>571</v>
      </c>
      <c r="AC583">
        <v>0</v>
      </c>
    </row>
    <row r="584" spans="1:29">
      <c r="A584" t="s">
        <v>3392</v>
      </c>
      <c r="B584" t="s">
        <v>2785</v>
      </c>
      <c r="C584">
        <v>580</v>
      </c>
      <c r="D584" t="s">
        <v>2795</v>
      </c>
      <c r="E584" s="3" t="s">
        <v>3282</v>
      </c>
    </row>
    <row r="585" spans="1:29">
      <c r="A585" t="s">
        <v>3393</v>
      </c>
      <c r="B585" t="s">
        <v>2785</v>
      </c>
      <c r="C585">
        <v>581</v>
      </c>
      <c r="D585" t="s">
        <v>2798</v>
      </c>
      <c r="E585" s="3" t="s">
        <v>3394</v>
      </c>
      <c r="F585">
        <v>987326</v>
      </c>
      <c r="W585">
        <v>27.8</v>
      </c>
      <c r="X585">
        <v>70.400000000000006</v>
      </c>
      <c r="Y585">
        <v>-1.9</v>
      </c>
      <c r="Z585">
        <v>90</v>
      </c>
      <c r="AA585">
        <v>1</v>
      </c>
      <c r="AB585" t="s">
        <v>571</v>
      </c>
      <c r="AC585">
        <v>0</v>
      </c>
    </row>
    <row r="586" spans="1:29">
      <c r="A586" t="s">
        <v>3395</v>
      </c>
      <c r="B586" t="s">
        <v>2785</v>
      </c>
      <c r="C586">
        <v>582</v>
      </c>
      <c r="D586" t="s">
        <v>3292</v>
      </c>
      <c r="E586" s="3" t="s">
        <v>576</v>
      </c>
    </row>
    <row r="587" spans="1:29">
      <c r="A587" t="s">
        <v>3396</v>
      </c>
      <c r="B587" t="s">
        <v>2785</v>
      </c>
      <c r="C587">
        <v>583</v>
      </c>
      <c r="D587" t="s">
        <v>2795</v>
      </c>
      <c r="E587" s="3" t="s">
        <v>3282</v>
      </c>
    </row>
    <row r="588" spans="1:29">
      <c r="A588" t="s">
        <v>3397</v>
      </c>
      <c r="B588" t="s">
        <v>2785</v>
      </c>
      <c r="C588">
        <v>584</v>
      </c>
      <c r="D588" t="s">
        <v>2798</v>
      </c>
      <c r="E588" s="3" t="s">
        <v>3398</v>
      </c>
      <c r="F588">
        <v>992736</v>
      </c>
      <c r="W588">
        <v>-1</v>
      </c>
      <c r="X588">
        <v>-1</v>
      </c>
      <c r="Y588">
        <v>-71.900000000000006</v>
      </c>
      <c r="Z588">
        <v>96.72</v>
      </c>
      <c r="AA588">
        <v>1</v>
      </c>
      <c r="AB588" t="s">
        <v>571</v>
      </c>
      <c r="AC588">
        <v>0</v>
      </c>
    </row>
    <row r="589" spans="1:29">
      <c r="A589" t="s">
        <v>3399</v>
      </c>
      <c r="B589" t="s">
        <v>2785</v>
      </c>
      <c r="C589">
        <v>585</v>
      </c>
      <c r="D589" t="s">
        <v>3292</v>
      </c>
      <c r="E589" s="3" t="s">
        <v>576</v>
      </c>
    </row>
    <row r="590" spans="1:29">
      <c r="A590" t="s">
        <v>3400</v>
      </c>
      <c r="B590" t="s">
        <v>2785</v>
      </c>
      <c r="C590">
        <v>586</v>
      </c>
      <c r="D590" t="s">
        <v>2795</v>
      </c>
      <c r="E590" s="3" t="s">
        <v>3282</v>
      </c>
    </row>
    <row r="591" spans="1:29">
      <c r="A591" t="s">
        <v>3401</v>
      </c>
      <c r="B591" t="s">
        <v>2785</v>
      </c>
      <c r="C591">
        <v>587</v>
      </c>
      <c r="D591" t="s">
        <v>2798</v>
      </c>
      <c r="E591" s="3" t="s">
        <v>3402</v>
      </c>
      <c r="F591">
        <v>997836</v>
      </c>
      <c r="W591">
        <v>-1</v>
      </c>
      <c r="X591">
        <v>-1</v>
      </c>
      <c r="Y591">
        <v>-2.5</v>
      </c>
      <c r="Z591">
        <v>92.88</v>
      </c>
      <c r="AA591">
        <v>1</v>
      </c>
      <c r="AB591" t="s">
        <v>571</v>
      </c>
      <c r="AC591">
        <v>0</v>
      </c>
    </row>
    <row r="592" spans="1:29">
      <c r="A592" t="s">
        <v>3403</v>
      </c>
      <c r="B592" t="s">
        <v>2785</v>
      </c>
      <c r="C592">
        <v>588</v>
      </c>
      <c r="D592" t="s">
        <v>2939</v>
      </c>
      <c r="E592" s="3" t="s">
        <v>602</v>
      </c>
    </row>
    <row r="593" spans="1:29">
      <c r="A593" t="s">
        <v>3404</v>
      </c>
      <c r="B593" t="s">
        <v>2785</v>
      </c>
      <c r="C593">
        <v>589</v>
      </c>
      <c r="D593" t="s">
        <v>2795</v>
      </c>
      <c r="E593" s="3" t="s">
        <v>3343</v>
      </c>
    </row>
    <row r="594" spans="1:29">
      <c r="A594" t="s">
        <v>3405</v>
      </c>
      <c r="B594" t="s">
        <v>2785</v>
      </c>
      <c r="C594">
        <v>590</v>
      </c>
      <c r="D594" t="s">
        <v>2798</v>
      </c>
      <c r="E594" s="3" t="s">
        <v>3406</v>
      </c>
      <c r="F594">
        <v>1002823</v>
      </c>
      <c r="W594">
        <v>27.7</v>
      </c>
      <c r="X594">
        <v>70.400000000000006</v>
      </c>
      <c r="Y594">
        <v>-1.7</v>
      </c>
      <c r="Z594">
        <v>88.16</v>
      </c>
      <c r="AA594">
        <v>1</v>
      </c>
      <c r="AB594" t="s">
        <v>604</v>
      </c>
      <c r="AC594">
        <v>0</v>
      </c>
    </row>
    <row r="595" spans="1:29">
      <c r="A595" t="s">
        <v>3407</v>
      </c>
      <c r="B595" t="s">
        <v>2785</v>
      </c>
      <c r="C595">
        <v>591</v>
      </c>
      <c r="D595" t="s">
        <v>2795</v>
      </c>
      <c r="E595" s="3" t="s">
        <v>3343</v>
      </c>
    </row>
    <row r="596" spans="1:29">
      <c r="A596" t="s">
        <v>3408</v>
      </c>
      <c r="B596" t="s">
        <v>2785</v>
      </c>
      <c r="C596">
        <v>592</v>
      </c>
      <c r="D596" t="s">
        <v>2798</v>
      </c>
      <c r="E596" s="3" t="s">
        <v>3409</v>
      </c>
      <c r="F596">
        <v>1007805</v>
      </c>
      <c r="W596">
        <v>27.7</v>
      </c>
      <c r="X596">
        <v>72</v>
      </c>
      <c r="Y596">
        <v>-1.9</v>
      </c>
      <c r="Z596">
        <v>0.107</v>
      </c>
      <c r="AA596">
        <v>1</v>
      </c>
      <c r="AB596" t="s">
        <v>604</v>
      </c>
      <c r="AC596">
        <v>0</v>
      </c>
    </row>
    <row r="597" spans="1:29">
      <c r="A597" t="s">
        <v>3410</v>
      </c>
      <c r="B597" t="s">
        <v>2785</v>
      </c>
      <c r="C597">
        <v>593</v>
      </c>
      <c r="D597" t="s">
        <v>2939</v>
      </c>
      <c r="E597" s="3" t="s">
        <v>608</v>
      </c>
    </row>
    <row r="598" spans="1:29">
      <c r="A598" t="s">
        <v>3411</v>
      </c>
      <c r="B598" t="s">
        <v>2785</v>
      </c>
      <c r="C598">
        <v>594</v>
      </c>
      <c r="D598" t="s">
        <v>2795</v>
      </c>
      <c r="E598" s="3" t="s">
        <v>3351</v>
      </c>
    </row>
    <row r="599" spans="1:29">
      <c r="A599" t="s">
        <v>3412</v>
      </c>
      <c r="B599" t="s">
        <v>2785</v>
      </c>
      <c r="C599">
        <v>595</v>
      </c>
      <c r="D599" t="s">
        <v>2798</v>
      </c>
      <c r="E599" s="3" t="s">
        <v>3413</v>
      </c>
      <c r="F599">
        <v>1012823</v>
      </c>
      <c r="W599">
        <v>27.8</v>
      </c>
      <c r="X599">
        <v>76.900000000000006</v>
      </c>
      <c r="Y599">
        <v>-1.8</v>
      </c>
      <c r="Z599">
        <v>0</v>
      </c>
      <c r="AA599">
        <v>1</v>
      </c>
      <c r="AB599" t="s">
        <v>610</v>
      </c>
      <c r="AC599">
        <v>0</v>
      </c>
    </row>
    <row r="600" spans="1:29">
      <c r="A600" t="s">
        <v>3414</v>
      </c>
      <c r="B600" t="s">
        <v>2785</v>
      </c>
      <c r="C600">
        <v>596</v>
      </c>
      <c r="D600" t="s">
        <v>2795</v>
      </c>
      <c r="E600" s="3" t="s">
        <v>2796</v>
      </c>
    </row>
    <row r="601" spans="1:29">
      <c r="A601" t="s">
        <v>3415</v>
      </c>
      <c r="B601" t="s">
        <v>2785</v>
      </c>
      <c r="C601">
        <v>597</v>
      </c>
      <c r="D601" t="s">
        <v>2798</v>
      </c>
      <c r="E601" s="3" t="s">
        <v>3416</v>
      </c>
      <c r="F601">
        <v>1017824</v>
      </c>
      <c r="W601">
        <v>27.8</v>
      </c>
      <c r="X601">
        <v>77</v>
      </c>
      <c r="Y601">
        <v>-2.2000000000000002</v>
      </c>
      <c r="Z601">
        <v>0</v>
      </c>
      <c r="AA601">
        <v>1</v>
      </c>
      <c r="AB601" t="s">
        <v>385</v>
      </c>
      <c r="AC601">
        <v>0</v>
      </c>
    </row>
    <row r="602" spans="1:29">
      <c r="A602" t="s">
        <v>3417</v>
      </c>
      <c r="B602" t="s">
        <v>2785</v>
      </c>
      <c r="C602">
        <v>598</v>
      </c>
      <c r="D602" t="s">
        <v>2795</v>
      </c>
      <c r="E602" s="3" t="s">
        <v>2796</v>
      </c>
    </row>
    <row r="603" spans="1:29">
      <c r="A603" t="s">
        <v>3418</v>
      </c>
      <c r="B603" t="s">
        <v>2785</v>
      </c>
      <c r="C603">
        <v>599</v>
      </c>
      <c r="D603" t="s">
        <v>2798</v>
      </c>
      <c r="E603" s="3" t="s">
        <v>3419</v>
      </c>
      <c r="F603">
        <v>1022841</v>
      </c>
      <c r="W603">
        <v>27.8</v>
      </c>
      <c r="X603">
        <v>78.2</v>
      </c>
      <c r="Y603">
        <v>-2.2000000000000002</v>
      </c>
      <c r="Z603">
        <v>0</v>
      </c>
      <c r="AA603">
        <v>1</v>
      </c>
      <c r="AB603" t="s">
        <v>385</v>
      </c>
      <c r="AC603">
        <v>0</v>
      </c>
    </row>
    <row r="604" spans="1:29">
      <c r="A604" t="s">
        <v>3420</v>
      </c>
      <c r="B604" t="s">
        <v>2785</v>
      </c>
      <c r="C604">
        <v>600</v>
      </c>
      <c r="D604" t="s">
        <v>2795</v>
      </c>
      <c r="E604" s="3" t="s">
        <v>2796</v>
      </c>
    </row>
    <row r="605" spans="1:29">
      <c r="A605" t="s">
        <v>3421</v>
      </c>
      <c r="B605" t="s">
        <v>2785</v>
      </c>
      <c r="C605">
        <v>601</v>
      </c>
      <c r="D605" t="s">
        <v>2798</v>
      </c>
      <c r="E605" s="3" t="s">
        <v>3422</v>
      </c>
      <c r="F605">
        <v>1027859</v>
      </c>
      <c r="W605">
        <v>27.8</v>
      </c>
      <c r="X605">
        <v>78.7</v>
      </c>
      <c r="Y605">
        <v>-2.2999999999999998</v>
      </c>
      <c r="Z605">
        <v>0</v>
      </c>
      <c r="AA605">
        <v>1</v>
      </c>
      <c r="AB605" t="s">
        <v>385</v>
      </c>
      <c r="AC605">
        <v>0</v>
      </c>
    </row>
    <row r="606" spans="1:29">
      <c r="A606" t="s">
        <v>3423</v>
      </c>
      <c r="B606" t="s">
        <v>2785</v>
      </c>
      <c r="C606">
        <v>602</v>
      </c>
      <c r="D606" t="s">
        <v>2795</v>
      </c>
      <c r="E606" s="3" t="s">
        <v>2796</v>
      </c>
    </row>
    <row r="607" spans="1:29">
      <c r="A607" t="s">
        <v>3424</v>
      </c>
      <c r="B607" t="s">
        <v>2785</v>
      </c>
      <c r="C607">
        <v>603</v>
      </c>
      <c r="D607" t="s">
        <v>2798</v>
      </c>
      <c r="E607" s="3" t="s">
        <v>3425</v>
      </c>
      <c r="F607">
        <v>1032878</v>
      </c>
      <c r="W607">
        <v>27.8</v>
      </c>
      <c r="X607">
        <v>79</v>
      </c>
      <c r="Y607">
        <v>-2</v>
      </c>
      <c r="Z607">
        <v>0</v>
      </c>
      <c r="AA607">
        <v>1</v>
      </c>
      <c r="AB607" t="s">
        <v>385</v>
      </c>
      <c r="AC607">
        <v>0</v>
      </c>
    </row>
    <row r="608" spans="1:29">
      <c r="A608" t="s">
        <v>3426</v>
      </c>
      <c r="B608" t="s">
        <v>2785</v>
      </c>
      <c r="C608">
        <v>604</v>
      </c>
      <c r="D608" t="s">
        <v>2795</v>
      </c>
      <c r="E608" s="3" t="s">
        <v>2796</v>
      </c>
    </row>
    <row r="609" spans="1:29">
      <c r="A609" t="s">
        <v>3427</v>
      </c>
      <c r="B609" t="s">
        <v>2785</v>
      </c>
      <c r="C609">
        <v>605</v>
      </c>
      <c r="D609" t="s">
        <v>2798</v>
      </c>
      <c r="E609" s="3" t="s">
        <v>3428</v>
      </c>
      <c r="F609">
        <v>1037896</v>
      </c>
      <c r="W609">
        <v>27.9</v>
      </c>
      <c r="X609">
        <v>80.599999999999994</v>
      </c>
      <c r="Y609">
        <v>-2.1</v>
      </c>
      <c r="Z609">
        <v>0</v>
      </c>
      <c r="AA609">
        <v>1</v>
      </c>
      <c r="AB609" t="s">
        <v>385</v>
      </c>
      <c r="AC609">
        <v>0</v>
      </c>
    </row>
    <row r="610" spans="1:29">
      <c r="A610" t="s">
        <v>3429</v>
      </c>
      <c r="B610" t="s">
        <v>2785</v>
      </c>
      <c r="C610">
        <v>606</v>
      </c>
      <c r="D610" t="s">
        <v>2939</v>
      </c>
      <c r="E610" s="3" t="s">
        <v>563</v>
      </c>
    </row>
    <row r="611" spans="1:29">
      <c r="A611" t="s">
        <v>3430</v>
      </c>
      <c r="B611" t="s">
        <v>2785</v>
      </c>
      <c r="C611">
        <v>607</v>
      </c>
      <c r="D611" t="s">
        <v>2939</v>
      </c>
      <c r="E611" s="3" t="s">
        <v>565</v>
      </c>
    </row>
    <row r="612" spans="1:29">
      <c r="A612" t="s">
        <v>3431</v>
      </c>
      <c r="B612" t="s">
        <v>2785</v>
      </c>
      <c r="C612">
        <v>608</v>
      </c>
      <c r="D612" t="s">
        <v>2795</v>
      </c>
      <c r="E612" s="3" t="s">
        <v>3277</v>
      </c>
    </row>
    <row r="613" spans="1:29">
      <c r="A613" t="s">
        <v>3432</v>
      </c>
      <c r="B613" t="s">
        <v>2785</v>
      </c>
      <c r="C613">
        <v>609</v>
      </c>
      <c r="D613" t="s">
        <v>2798</v>
      </c>
      <c r="E613" s="3" t="s">
        <v>3433</v>
      </c>
      <c r="F613">
        <v>1042970</v>
      </c>
      <c r="W613">
        <v>28.1</v>
      </c>
      <c r="X613">
        <v>84.2</v>
      </c>
      <c r="Y613">
        <v>-1.9</v>
      </c>
      <c r="Z613">
        <v>0</v>
      </c>
      <c r="AA613">
        <v>1</v>
      </c>
      <c r="AB613" t="s">
        <v>567</v>
      </c>
      <c r="AC613">
        <v>0</v>
      </c>
    </row>
    <row r="614" spans="1:29">
      <c r="A614" t="s">
        <v>3434</v>
      </c>
      <c r="B614" t="s">
        <v>2785</v>
      </c>
      <c r="C614">
        <v>610</v>
      </c>
      <c r="D614" t="s">
        <v>2939</v>
      </c>
      <c r="E614" s="3" t="s">
        <v>569</v>
      </c>
    </row>
    <row r="615" spans="1:29">
      <c r="A615" t="s">
        <v>3435</v>
      </c>
      <c r="B615" t="s">
        <v>2785</v>
      </c>
      <c r="C615">
        <v>611</v>
      </c>
      <c r="D615" t="s">
        <v>2795</v>
      </c>
      <c r="E615" s="3" t="s">
        <v>3282</v>
      </c>
    </row>
    <row r="616" spans="1:29">
      <c r="A616" t="s">
        <v>3436</v>
      </c>
      <c r="B616" t="s">
        <v>2785</v>
      </c>
      <c r="C616">
        <v>612</v>
      </c>
      <c r="D616" t="s">
        <v>2798</v>
      </c>
      <c r="E616" s="3" t="s">
        <v>3437</v>
      </c>
      <c r="F616">
        <v>1047928</v>
      </c>
      <c r="W616">
        <v>28.4</v>
      </c>
      <c r="X616">
        <v>86.5</v>
      </c>
      <c r="Y616">
        <v>-1.6</v>
      </c>
      <c r="Z616">
        <v>0</v>
      </c>
      <c r="AA616">
        <v>1</v>
      </c>
      <c r="AB616" t="s">
        <v>571</v>
      </c>
      <c r="AC616">
        <v>0</v>
      </c>
    </row>
    <row r="617" spans="1:29">
      <c r="A617" t="s">
        <v>3438</v>
      </c>
      <c r="B617" t="s">
        <v>2785</v>
      </c>
      <c r="C617">
        <v>613</v>
      </c>
      <c r="D617" t="s">
        <v>3292</v>
      </c>
      <c r="E617" s="3" t="s">
        <v>576</v>
      </c>
    </row>
    <row r="618" spans="1:29">
      <c r="A618" t="s">
        <v>3439</v>
      </c>
      <c r="B618" t="s">
        <v>2785</v>
      </c>
      <c r="C618">
        <v>614</v>
      </c>
      <c r="D618" t="s">
        <v>2795</v>
      </c>
      <c r="E618" s="3" t="s">
        <v>3282</v>
      </c>
    </row>
    <row r="619" spans="1:29">
      <c r="A619" t="s">
        <v>3440</v>
      </c>
      <c r="B619" t="s">
        <v>2785</v>
      </c>
      <c r="C619">
        <v>615</v>
      </c>
      <c r="D619" t="s">
        <v>2798</v>
      </c>
      <c r="E619" s="3" t="s">
        <v>3441</v>
      </c>
      <c r="F619">
        <v>1052972</v>
      </c>
      <c r="W619">
        <v>-1</v>
      </c>
      <c r="X619">
        <v>-1</v>
      </c>
      <c r="Y619">
        <v>-1.5</v>
      </c>
      <c r="Z619">
        <v>86.266999999999996</v>
      </c>
      <c r="AA619">
        <v>1</v>
      </c>
      <c r="AB619" t="s">
        <v>571</v>
      </c>
      <c r="AC619">
        <v>0</v>
      </c>
    </row>
    <row r="620" spans="1:29">
      <c r="A620" t="s">
        <v>3442</v>
      </c>
      <c r="B620" t="s">
        <v>2785</v>
      </c>
      <c r="C620">
        <v>616</v>
      </c>
      <c r="D620" t="s">
        <v>2939</v>
      </c>
      <c r="E620" s="3" t="s">
        <v>563</v>
      </c>
    </row>
    <row r="621" spans="1:29">
      <c r="A621" t="s">
        <v>3443</v>
      </c>
      <c r="B621" t="s">
        <v>2785</v>
      </c>
      <c r="C621">
        <v>617</v>
      </c>
      <c r="D621" t="s">
        <v>2795</v>
      </c>
      <c r="E621" s="3" t="s">
        <v>3282</v>
      </c>
    </row>
    <row r="622" spans="1:29">
      <c r="A622" t="s">
        <v>3444</v>
      </c>
      <c r="B622" t="s">
        <v>2785</v>
      </c>
      <c r="C622">
        <v>618</v>
      </c>
      <c r="D622" t="s">
        <v>2798</v>
      </c>
      <c r="E622" s="3" t="s">
        <v>3445</v>
      </c>
      <c r="F622">
        <v>1057940</v>
      </c>
      <c r="W622">
        <v>7.1</v>
      </c>
      <c r="X622">
        <v>223</v>
      </c>
      <c r="Y622">
        <v>-1.6</v>
      </c>
      <c r="Z622">
        <v>83.84</v>
      </c>
      <c r="AA622">
        <v>1</v>
      </c>
      <c r="AB622" t="s">
        <v>571</v>
      </c>
      <c r="AC622">
        <v>0</v>
      </c>
    </row>
    <row r="623" spans="1:29">
      <c r="A623" t="s">
        <v>3446</v>
      </c>
      <c r="B623" t="s">
        <v>2785</v>
      </c>
      <c r="C623">
        <v>619</v>
      </c>
      <c r="D623" t="s">
        <v>3292</v>
      </c>
      <c r="E623" s="3" t="s">
        <v>576</v>
      </c>
    </row>
    <row r="624" spans="1:29">
      <c r="A624" t="s">
        <v>3447</v>
      </c>
      <c r="B624" t="s">
        <v>2785</v>
      </c>
      <c r="C624">
        <v>620</v>
      </c>
      <c r="D624" t="s">
        <v>2795</v>
      </c>
      <c r="E624" s="3" t="s">
        <v>3282</v>
      </c>
    </row>
    <row r="625" spans="1:29">
      <c r="A625" t="s">
        <v>3448</v>
      </c>
      <c r="B625" t="s">
        <v>2785</v>
      </c>
      <c r="C625">
        <v>621</v>
      </c>
      <c r="D625" t="s">
        <v>2798</v>
      </c>
      <c r="E625" s="3" t="s">
        <v>3449</v>
      </c>
      <c r="F625">
        <v>1062969</v>
      </c>
      <c r="W625">
        <v>-1</v>
      </c>
      <c r="X625">
        <v>-1</v>
      </c>
      <c r="Y625">
        <v>-1.6</v>
      </c>
      <c r="Z625">
        <v>80.266999999999996</v>
      </c>
      <c r="AA625">
        <v>1</v>
      </c>
      <c r="AB625" t="s">
        <v>571</v>
      </c>
      <c r="AC625">
        <v>0</v>
      </c>
    </row>
    <row r="626" spans="1:29">
      <c r="A626" t="s">
        <v>3450</v>
      </c>
      <c r="B626" t="s">
        <v>2785</v>
      </c>
      <c r="C626">
        <v>622</v>
      </c>
      <c r="D626" t="s">
        <v>3292</v>
      </c>
      <c r="E626" s="3" t="s">
        <v>576</v>
      </c>
    </row>
    <row r="627" spans="1:29">
      <c r="A627" t="s">
        <v>3451</v>
      </c>
      <c r="B627" t="s">
        <v>2785</v>
      </c>
      <c r="C627">
        <v>623</v>
      </c>
      <c r="D627" t="s">
        <v>2795</v>
      </c>
      <c r="E627" s="3" t="s">
        <v>3282</v>
      </c>
    </row>
    <row r="628" spans="1:29">
      <c r="A628" t="s">
        <v>3452</v>
      </c>
      <c r="B628" t="s">
        <v>2785</v>
      </c>
      <c r="C628">
        <v>624</v>
      </c>
      <c r="D628" t="s">
        <v>2798</v>
      </c>
      <c r="E628" s="3" t="s">
        <v>3453</v>
      </c>
      <c r="F628">
        <v>1068476</v>
      </c>
      <c r="W628">
        <v>-1</v>
      </c>
      <c r="X628">
        <v>-1</v>
      </c>
      <c r="Y628">
        <v>344.2</v>
      </c>
      <c r="Z628">
        <v>88.052999999999997</v>
      </c>
      <c r="AA628">
        <v>1</v>
      </c>
      <c r="AB628" t="s">
        <v>571</v>
      </c>
      <c r="AC628">
        <v>0</v>
      </c>
    </row>
    <row r="629" spans="1:29">
      <c r="A629" t="s">
        <v>3454</v>
      </c>
      <c r="B629" t="s">
        <v>2785</v>
      </c>
      <c r="C629">
        <v>625</v>
      </c>
      <c r="D629" t="s">
        <v>3292</v>
      </c>
      <c r="E629" s="3" t="s">
        <v>576</v>
      </c>
    </row>
    <row r="630" spans="1:29">
      <c r="A630" t="s">
        <v>3455</v>
      </c>
      <c r="B630" t="s">
        <v>2785</v>
      </c>
      <c r="C630">
        <v>626</v>
      </c>
      <c r="D630" t="s">
        <v>2795</v>
      </c>
      <c r="E630" s="3" t="s">
        <v>3282</v>
      </c>
    </row>
    <row r="631" spans="1:29">
      <c r="A631" t="s">
        <v>3456</v>
      </c>
      <c r="B631" t="s">
        <v>2785</v>
      </c>
      <c r="C631">
        <v>627</v>
      </c>
      <c r="D631" t="s">
        <v>2798</v>
      </c>
      <c r="E631" s="3" t="s">
        <v>3457</v>
      </c>
      <c r="F631">
        <v>1073475</v>
      </c>
      <c r="W631">
        <v>-1</v>
      </c>
      <c r="X631">
        <v>-1</v>
      </c>
      <c r="Y631">
        <v>-1.6</v>
      </c>
      <c r="Z631">
        <v>80.88</v>
      </c>
      <c r="AA631">
        <v>1</v>
      </c>
      <c r="AB631" t="s">
        <v>571</v>
      </c>
      <c r="AC631">
        <v>0</v>
      </c>
    </row>
    <row r="632" spans="1:29">
      <c r="A632" t="s">
        <v>3458</v>
      </c>
      <c r="B632" t="s">
        <v>2785</v>
      </c>
      <c r="C632">
        <v>628</v>
      </c>
      <c r="D632" t="s">
        <v>2939</v>
      </c>
      <c r="E632" s="3" t="s">
        <v>569</v>
      </c>
    </row>
    <row r="633" spans="1:29">
      <c r="A633" t="s">
        <v>3459</v>
      </c>
      <c r="B633" t="s">
        <v>2785</v>
      </c>
      <c r="C633">
        <v>629</v>
      </c>
      <c r="D633" t="s">
        <v>2795</v>
      </c>
      <c r="E633" s="3" t="s">
        <v>3282</v>
      </c>
    </row>
    <row r="634" spans="1:29">
      <c r="A634" t="s">
        <v>3460</v>
      </c>
      <c r="B634" t="s">
        <v>2785</v>
      </c>
      <c r="C634">
        <v>630</v>
      </c>
      <c r="D634" t="s">
        <v>2798</v>
      </c>
      <c r="E634" s="3" t="s">
        <v>3461</v>
      </c>
      <c r="F634">
        <v>1078444</v>
      </c>
      <c r="W634">
        <v>28.2</v>
      </c>
      <c r="X634">
        <v>72.8</v>
      </c>
      <c r="Y634">
        <v>-1.6</v>
      </c>
      <c r="Z634">
        <v>78.772999999999996</v>
      </c>
      <c r="AA634">
        <v>1</v>
      </c>
      <c r="AB634" t="s">
        <v>571</v>
      </c>
      <c r="AC634">
        <v>0</v>
      </c>
    </row>
    <row r="635" spans="1:29">
      <c r="A635" t="s">
        <v>3462</v>
      </c>
      <c r="B635" t="s">
        <v>2785</v>
      </c>
      <c r="C635">
        <v>631</v>
      </c>
      <c r="D635" t="s">
        <v>2795</v>
      </c>
      <c r="E635" s="3" t="s">
        <v>3282</v>
      </c>
    </row>
    <row r="636" spans="1:29">
      <c r="A636" t="s">
        <v>3463</v>
      </c>
      <c r="B636" t="s">
        <v>2785</v>
      </c>
      <c r="C636">
        <v>632</v>
      </c>
      <c r="D636" t="s">
        <v>2798</v>
      </c>
      <c r="E636" s="3" t="s">
        <v>3464</v>
      </c>
      <c r="F636">
        <v>1083444</v>
      </c>
      <c r="W636">
        <v>28.2</v>
      </c>
      <c r="X636">
        <v>72.5</v>
      </c>
      <c r="Y636">
        <v>-1.1000000000000001</v>
      </c>
      <c r="Z636">
        <v>81.332999999999998</v>
      </c>
      <c r="AA636">
        <v>1</v>
      </c>
      <c r="AB636" t="s">
        <v>571</v>
      </c>
      <c r="AC636">
        <v>0</v>
      </c>
    </row>
    <row r="637" spans="1:29">
      <c r="A637" t="s">
        <v>3465</v>
      </c>
      <c r="B637" t="s">
        <v>2785</v>
      </c>
      <c r="C637">
        <v>633</v>
      </c>
      <c r="D637" t="s">
        <v>2795</v>
      </c>
      <c r="E637" s="3" t="s">
        <v>3282</v>
      </c>
    </row>
    <row r="638" spans="1:29">
      <c r="A638" t="s">
        <v>3466</v>
      </c>
      <c r="B638" t="s">
        <v>2785</v>
      </c>
      <c r="C638">
        <v>634</v>
      </c>
      <c r="D638" t="s">
        <v>2798</v>
      </c>
      <c r="E638" s="3" t="s">
        <v>3467</v>
      </c>
      <c r="F638">
        <v>1088444</v>
      </c>
      <c r="W638">
        <v>28.1</v>
      </c>
      <c r="X638">
        <v>72.3</v>
      </c>
      <c r="Y638">
        <v>-1.6</v>
      </c>
      <c r="Z638">
        <v>83.066999999999993</v>
      </c>
      <c r="AA638">
        <v>1</v>
      </c>
      <c r="AB638" t="s">
        <v>571</v>
      </c>
      <c r="AC638">
        <v>0</v>
      </c>
    </row>
    <row r="639" spans="1:29">
      <c r="A639" t="s">
        <v>3468</v>
      </c>
      <c r="B639" t="s">
        <v>2785</v>
      </c>
      <c r="C639">
        <v>635</v>
      </c>
      <c r="D639" t="s">
        <v>2795</v>
      </c>
      <c r="E639" s="3" t="s">
        <v>3282</v>
      </c>
    </row>
    <row r="640" spans="1:29">
      <c r="A640" t="s">
        <v>3469</v>
      </c>
      <c r="B640" t="s">
        <v>2785</v>
      </c>
      <c r="C640">
        <v>636</v>
      </c>
      <c r="D640" t="s">
        <v>2798</v>
      </c>
      <c r="E640" s="3" t="s">
        <v>3470</v>
      </c>
      <c r="F640">
        <v>1093443</v>
      </c>
      <c r="W640">
        <v>28.1</v>
      </c>
      <c r="X640">
        <v>71.8</v>
      </c>
      <c r="Y640">
        <v>4.2</v>
      </c>
      <c r="Z640">
        <v>81.787000000000006</v>
      </c>
      <c r="AA640">
        <v>1</v>
      </c>
      <c r="AB640" t="s">
        <v>571</v>
      </c>
      <c r="AC640">
        <v>0</v>
      </c>
    </row>
    <row r="641" spans="1:29">
      <c r="A641" t="s">
        <v>3471</v>
      </c>
      <c r="B641" t="s">
        <v>2785</v>
      </c>
      <c r="C641">
        <v>637</v>
      </c>
      <c r="D641" t="s">
        <v>2795</v>
      </c>
      <c r="E641" s="3" t="s">
        <v>3282</v>
      </c>
    </row>
    <row r="642" spans="1:29">
      <c r="A642" t="s">
        <v>3472</v>
      </c>
      <c r="B642" t="s">
        <v>2785</v>
      </c>
      <c r="C642">
        <v>638</v>
      </c>
      <c r="D642" t="s">
        <v>2798</v>
      </c>
      <c r="E642" s="3" t="s">
        <v>3473</v>
      </c>
      <c r="F642">
        <v>1098443</v>
      </c>
      <c r="W642">
        <v>28</v>
      </c>
      <c r="X642">
        <v>71.599999999999994</v>
      </c>
      <c r="Y642">
        <v>-2.4</v>
      </c>
      <c r="Z642">
        <v>82.186999999999998</v>
      </c>
      <c r="AA642">
        <v>1</v>
      </c>
      <c r="AB642" t="s">
        <v>571</v>
      </c>
      <c r="AC642">
        <v>0</v>
      </c>
    </row>
    <row r="643" spans="1:29">
      <c r="A643" t="s">
        <v>3474</v>
      </c>
      <c r="B643" t="s">
        <v>2785</v>
      </c>
      <c r="C643">
        <v>639</v>
      </c>
      <c r="D643" t="s">
        <v>2939</v>
      </c>
      <c r="E643" s="3" t="s">
        <v>602</v>
      </c>
    </row>
    <row r="644" spans="1:29">
      <c r="A644" t="s">
        <v>3475</v>
      </c>
      <c r="B644" t="s">
        <v>2785</v>
      </c>
      <c r="C644">
        <v>640</v>
      </c>
      <c r="D644" t="s">
        <v>2795</v>
      </c>
      <c r="E644" s="3" t="s">
        <v>3343</v>
      </c>
    </row>
    <row r="645" spans="1:29">
      <c r="A645" t="s">
        <v>3476</v>
      </c>
      <c r="B645" t="s">
        <v>2785</v>
      </c>
      <c r="C645">
        <v>641</v>
      </c>
      <c r="D645" t="s">
        <v>2798</v>
      </c>
      <c r="E645" s="3" t="s">
        <v>3477</v>
      </c>
      <c r="F645">
        <v>1103461</v>
      </c>
      <c r="W645">
        <v>27.9</v>
      </c>
      <c r="X645">
        <v>71.5</v>
      </c>
      <c r="Y645">
        <v>-2.2999999999999998</v>
      </c>
      <c r="Z645">
        <v>80.906999999999996</v>
      </c>
      <c r="AA645">
        <v>1</v>
      </c>
      <c r="AB645" t="s">
        <v>604</v>
      </c>
      <c r="AC645">
        <v>0</v>
      </c>
    </row>
    <row r="646" spans="1:29">
      <c r="A646" t="s">
        <v>3478</v>
      </c>
      <c r="B646" t="s">
        <v>2785</v>
      </c>
      <c r="C646">
        <v>642</v>
      </c>
      <c r="D646" t="s">
        <v>2795</v>
      </c>
      <c r="E646" s="3" t="s">
        <v>3343</v>
      </c>
    </row>
    <row r="647" spans="1:29">
      <c r="A647" t="s">
        <v>3479</v>
      </c>
      <c r="B647" t="s">
        <v>2785</v>
      </c>
      <c r="C647">
        <v>643</v>
      </c>
      <c r="D647" t="s">
        <v>2798</v>
      </c>
      <c r="E647" s="3" t="s">
        <v>3480</v>
      </c>
      <c r="F647">
        <v>1108444</v>
      </c>
      <c r="W647">
        <v>27.9</v>
      </c>
      <c r="X647">
        <v>73.3</v>
      </c>
      <c r="Y647">
        <v>-2</v>
      </c>
      <c r="Z647">
        <v>0.107</v>
      </c>
      <c r="AA647">
        <v>1</v>
      </c>
      <c r="AB647" t="s">
        <v>604</v>
      </c>
      <c r="AC647">
        <v>0</v>
      </c>
    </row>
    <row r="648" spans="1:29">
      <c r="A648" t="s">
        <v>3481</v>
      </c>
      <c r="B648" t="s">
        <v>2785</v>
      </c>
      <c r="C648">
        <v>644</v>
      </c>
      <c r="D648" t="s">
        <v>2939</v>
      </c>
      <c r="E648" s="3" t="s">
        <v>608</v>
      </c>
    </row>
    <row r="649" spans="1:29">
      <c r="A649" t="s">
        <v>3482</v>
      </c>
      <c r="B649" t="s">
        <v>2785</v>
      </c>
      <c r="C649">
        <v>645</v>
      </c>
      <c r="D649" t="s">
        <v>2795</v>
      </c>
      <c r="E649" s="3" t="s">
        <v>3351</v>
      </c>
    </row>
    <row r="650" spans="1:29">
      <c r="A650" t="s">
        <v>3483</v>
      </c>
      <c r="B650" t="s">
        <v>2785</v>
      </c>
      <c r="C650">
        <v>646</v>
      </c>
      <c r="D650" t="s">
        <v>2798</v>
      </c>
      <c r="E650" s="3" t="s">
        <v>3484</v>
      </c>
      <c r="F650">
        <v>1113458</v>
      </c>
      <c r="W650">
        <v>28</v>
      </c>
      <c r="X650">
        <v>78.7</v>
      </c>
      <c r="Y650">
        <v>-2.1</v>
      </c>
      <c r="Z650">
        <v>0</v>
      </c>
      <c r="AA650">
        <v>1</v>
      </c>
      <c r="AB650" t="s">
        <v>610</v>
      </c>
      <c r="AC650">
        <v>0</v>
      </c>
    </row>
    <row r="651" spans="1:29">
      <c r="A651" t="s">
        <v>3485</v>
      </c>
      <c r="B651" t="s">
        <v>2785</v>
      </c>
      <c r="C651">
        <v>647</v>
      </c>
      <c r="D651" t="s">
        <v>2795</v>
      </c>
      <c r="E651" s="3" t="s">
        <v>2796</v>
      </c>
    </row>
    <row r="652" spans="1:29">
      <c r="A652" t="s">
        <v>3486</v>
      </c>
      <c r="B652" t="s">
        <v>2785</v>
      </c>
      <c r="C652">
        <v>648</v>
      </c>
      <c r="D652" t="s">
        <v>2798</v>
      </c>
      <c r="E652" s="3" t="s">
        <v>3487</v>
      </c>
      <c r="F652">
        <v>1118443</v>
      </c>
      <c r="W652">
        <v>28</v>
      </c>
      <c r="X652">
        <v>79.8</v>
      </c>
      <c r="Y652">
        <v>-2.8</v>
      </c>
      <c r="Z652">
        <v>0</v>
      </c>
      <c r="AA652">
        <v>1</v>
      </c>
      <c r="AB652" t="s">
        <v>385</v>
      </c>
      <c r="AC652">
        <v>0</v>
      </c>
    </row>
    <row r="653" spans="1:29">
      <c r="A653" t="s">
        <v>3488</v>
      </c>
      <c r="B653" t="s">
        <v>2785</v>
      </c>
      <c r="C653">
        <v>649</v>
      </c>
      <c r="D653" t="s">
        <v>2939</v>
      </c>
      <c r="E653" s="3" t="s">
        <v>565</v>
      </c>
    </row>
    <row r="654" spans="1:29">
      <c r="A654" t="s">
        <v>3489</v>
      </c>
      <c r="B654" t="s">
        <v>2785</v>
      </c>
      <c r="C654">
        <v>650</v>
      </c>
      <c r="D654" t="s">
        <v>2795</v>
      </c>
      <c r="E654" s="3" t="s">
        <v>3277</v>
      </c>
    </row>
    <row r="655" spans="1:29">
      <c r="A655" t="s">
        <v>3490</v>
      </c>
      <c r="B655" t="s">
        <v>2785</v>
      </c>
      <c r="C655">
        <v>651</v>
      </c>
      <c r="D655" t="s">
        <v>2798</v>
      </c>
      <c r="E655" s="3" t="s">
        <v>3491</v>
      </c>
      <c r="F655">
        <v>1123474</v>
      </c>
      <c r="W655">
        <v>28.1</v>
      </c>
      <c r="X655">
        <v>82.2</v>
      </c>
      <c r="Y655">
        <v>-2.9</v>
      </c>
      <c r="Z655">
        <v>0</v>
      </c>
      <c r="AA655">
        <v>1</v>
      </c>
      <c r="AB655" t="s">
        <v>567</v>
      </c>
      <c r="AC655">
        <v>0</v>
      </c>
    </row>
    <row r="656" spans="1:29">
      <c r="A656" t="s">
        <v>3492</v>
      </c>
      <c r="B656" t="s">
        <v>2785</v>
      </c>
      <c r="C656">
        <v>652</v>
      </c>
      <c r="D656" t="s">
        <v>2795</v>
      </c>
      <c r="E656" s="3" t="s">
        <v>3282</v>
      </c>
    </row>
    <row r="657" spans="1:29">
      <c r="A657" t="s">
        <v>3493</v>
      </c>
      <c r="B657" t="s">
        <v>2785</v>
      </c>
      <c r="C657">
        <v>653</v>
      </c>
      <c r="D657" t="s">
        <v>2798</v>
      </c>
      <c r="E657" s="3" t="s">
        <v>3494</v>
      </c>
      <c r="F657">
        <v>1128474</v>
      </c>
      <c r="W657">
        <v>28</v>
      </c>
      <c r="X657">
        <v>83</v>
      </c>
      <c r="Y657">
        <v>-3</v>
      </c>
      <c r="Z657">
        <v>0</v>
      </c>
      <c r="AA657">
        <v>1</v>
      </c>
      <c r="AB657" t="s">
        <v>571</v>
      </c>
      <c r="AC657">
        <v>0</v>
      </c>
    </row>
    <row r="658" spans="1:29">
      <c r="A658" t="s">
        <v>3495</v>
      </c>
      <c r="B658" t="s">
        <v>2785</v>
      </c>
      <c r="C658">
        <v>654</v>
      </c>
      <c r="D658" t="s">
        <v>3292</v>
      </c>
      <c r="E658" s="3" t="s">
        <v>576</v>
      </c>
    </row>
    <row r="659" spans="1:29">
      <c r="A659" t="s">
        <v>3496</v>
      </c>
      <c r="B659" t="s">
        <v>2785</v>
      </c>
      <c r="C659">
        <v>655</v>
      </c>
      <c r="D659" t="s">
        <v>2795</v>
      </c>
      <c r="E659" s="3" t="s">
        <v>3282</v>
      </c>
    </row>
    <row r="660" spans="1:29">
      <c r="A660" t="s">
        <v>3497</v>
      </c>
      <c r="B660" t="s">
        <v>2785</v>
      </c>
      <c r="C660">
        <v>656</v>
      </c>
      <c r="D660" t="s">
        <v>2798</v>
      </c>
      <c r="E660" s="3" t="s">
        <v>3498</v>
      </c>
      <c r="F660">
        <v>1133517</v>
      </c>
      <c r="W660">
        <v>-1</v>
      </c>
      <c r="X660">
        <v>-1</v>
      </c>
      <c r="Y660">
        <v>-2.6</v>
      </c>
      <c r="Z660">
        <v>69.307000000000002</v>
      </c>
      <c r="AA660">
        <v>1</v>
      </c>
      <c r="AB660" t="s">
        <v>571</v>
      </c>
      <c r="AC660">
        <v>0</v>
      </c>
    </row>
    <row r="661" spans="1:29">
      <c r="A661" t="s">
        <v>3499</v>
      </c>
      <c r="B661" t="s">
        <v>2785</v>
      </c>
      <c r="C661">
        <v>657</v>
      </c>
      <c r="D661" t="s">
        <v>3292</v>
      </c>
      <c r="E661" s="3" t="s">
        <v>576</v>
      </c>
    </row>
    <row r="662" spans="1:29">
      <c r="A662" t="s">
        <v>3500</v>
      </c>
      <c r="B662" t="s">
        <v>2785</v>
      </c>
      <c r="C662">
        <v>658</v>
      </c>
      <c r="D662" t="s">
        <v>2795</v>
      </c>
      <c r="E662" s="3" t="s">
        <v>3282</v>
      </c>
    </row>
    <row r="663" spans="1:29">
      <c r="A663" t="s">
        <v>3501</v>
      </c>
      <c r="B663" t="s">
        <v>2785</v>
      </c>
      <c r="C663">
        <v>659</v>
      </c>
      <c r="D663" t="s">
        <v>2798</v>
      </c>
      <c r="E663" s="3" t="s">
        <v>3502</v>
      </c>
      <c r="F663">
        <v>1138518</v>
      </c>
      <c r="W663">
        <v>-1</v>
      </c>
      <c r="X663">
        <v>-1</v>
      </c>
      <c r="Y663">
        <v>-2</v>
      </c>
      <c r="Z663">
        <v>70.772999999999996</v>
      </c>
      <c r="AA663">
        <v>1</v>
      </c>
      <c r="AB663" t="s">
        <v>571</v>
      </c>
      <c r="AC663">
        <v>0</v>
      </c>
    </row>
    <row r="664" spans="1:29">
      <c r="A664" t="s">
        <v>3503</v>
      </c>
      <c r="B664" t="s">
        <v>2785</v>
      </c>
      <c r="C664">
        <v>660</v>
      </c>
      <c r="D664" t="s">
        <v>3292</v>
      </c>
      <c r="E664" s="3" t="s">
        <v>576</v>
      </c>
    </row>
    <row r="665" spans="1:29">
      <c r="A665" t="s">
        <v>3504</v>
      </c>
      <c r="B665" t="s">
        <v>2785</v>
      </c>
      <c r="C665">
        <v>661</v>
      </c>
      <c r="D665" t="s">
        <v>2795</v>
      </c>
      <c r="E665" s="3" t="s">
        <v>3282</v>
      </c>
    </row>
    <row r="666" spans="1:29">
      <c r="A666" t="s">
        <v>3505</v>
      </c>
      <c r="B666" t="s">
        <v>2785</v>
      </c>
      <c r="C666">
        <v>662</v>
      </c>
      <c r="D666" t="s">
        <v>2798</v>
      </c>
      <c r="E666" s="3" t="s">
        <v>3506</v>
      </c>
      <c r="F666">
        <v>1143518</v>
      </c>
      <c r="W666">
        <v>-1</v>
      </c>
      <c r="X666">
        <v>-1</v>
      </c>
      <c r="Y666">
        <v>1.5</v>
      </c>
      <c r="Z666">
        <v>78.106999999999999</v>
      </c>
      <c r="AA666">
        <v>1</v>
      </c>
      <c r="AB666" t="s">
        <v>571</v>
      </c>
      <c r="AC666">
        <v>0</v>
      </c>
    </row>
    <row r="667" spans="1:29">
      <c r="A667" t="s">
        <v>3507</v>
      </c>
      <c r="B667" t="s">
        <v>2785</v>
      </c>
      <c r="C667">
        <v>663</v>
      </c>
      <c r="D667" t="s">
        <v>3292</v>
      </c>
      <c r="E667" s="3" t="s">
        <v>576</v>
      </c>
    </row>
    <row r="668" spans="1:29">
      <c r="A668" t="s">
        <v>3508</v>
      </c>
      <c r="B668" t="s">
        <v>2785</v>
      </c>
      <c r="C668">
        <v>664</v>
      </c>
      <c r="D668" t="s">
        <v>2795</v>
      </c>
      <c r="E668" s="3" t="s">
        <v>3282</v>
      </c>
    </row>
    <row r="669" spans="1:29">
      <c r="A669" t="s">
        <v>3509</v>
      </c>
      <c r="B669" t="s">
        <v>2785</v>
      </c>
      <c r="C669">
        <v>665</v>
      </c>
      <c r="D669" t="s">
        <v>2798</v>
      </c>
      <c r="E669" s="3" t="s">
        <v>3510</v>
      </c>
      <c r="F669">
        <v>1148517</v>
      </c>
      <c r="W669">
        <v>-1</v>
      </c>
      <c r="X669">
        <v>-1</v>
      </c>
      <c r="Y669">
        <v>-0.3</v>
      </c>
      <c r="Z669">
        <v>78.08</v>
      </c>
      <c r="AA669">
        <v>1</v>
      </c>
      <c r="AB669" t="s">
        <v>571</v>
      </c>
      <c r="AC669">
        <v>0</v>
      </c>
    </row>
    <row r="670" spans="1:29">
      <c r="A670" t="s">
        <v>3511</v>
      </c>
      <c r="B670" t="s">
        <v>2785</v>
      </c>
      <c r="C670">
        <v>666</v>
      </c>
      <c r="D670" t="s">
        <v>3292</v>
      </c>
      <c r="E670" s="3" t="s">
        <v>576</v>
      </c>
    </row>
    <row r="671" spans="1:29">
      <c r="A671" t="s">
        <v>3512</v>
      </c>
      <c r="B671" t="s">
        <v>2785</v>
      </c>
      <c r="C671">
        <v>667</v>
      </c>
      <c r="D671" t="s">
        <v>2795</v>
      </c>
      <c r="E671" s="3" t="s">
        <v>3282</v>
      </c>
    </row>
    <row r="672" spans="1:29">
      <c r="A672" t="s">
        <v>3513</v>
      </c>
      <c r="B672" t="s">
        <v>2785</v>
      </c>
      <c r="C672">
        <v>668</v>
      </c>
      <c r="D672" t="s">
        <v>2798</v>
      </c>
      <c r="E672" s="3" t="s">
        <v>3514</v>
      </c>
      <c r="F672">
        <v>1153517</v>
      </c>
      <c r="W672">
        <v>-1</v>
      </c>
      <c r="X672">
        <v>-1</v>
      </c>
      <c r="Y672">
        <v>-1.7</v>
      </c>
      <c r="Z672">
        <v>79.52</v>
      </c>
      <c r="AA672">
        <v>1</v>
      </c>
      <c r="AB672" t="s">
        <v>571</v>
      </c>
      <c r="AC672">
        <v>0</v>
      </c>
    </row>
    <row r="673" spans="1:29">
      <c r="A673" t="s">
        <v>3515</v>
      </c>
      <c r="B673" t="s">
        <v>2785</v>
      </c>
      <c r="C673">
        <v>669</v>
      </c>
      <c r="D673" t="s">
        <v>3292</v>
      </c>
      <c r="E673" s="3" t="s">
        <v>576</v>
      </c>
    </row>
    <row r="674" spans="1:29">
      <c r="A674" t="s">
        <v>3516</v>
      </c>
      <c r="B674" t="s">
        <v>2785</v>
      </c>
      <c r="C674">
        <v>670</v>
      </c>
      <c r="D674" t="s">
        <v>2795</v>
      </c>
      <c r="E674" s="3" t="s">
        <v>3282</v>
      </c>
    </row>
    <row r="675" spans="1:29">
      <c r="A675" t="s">
        <v>3517</v>
      </c>
      <c r="B675" t="s">
        <v>2785</v>
      </c>
      <c r="C675">
        <v>671</v>
      </c>
      <c r="D675" t="s">
        <v>2798</v>
      </c>
      <c r="E675" s="3" t="s">
        <v>3518</v>
      </c>
      <c r="F675">
        <v>1158517</v>
      </c>
      <c r="W675">
        <v>-1</v>
      </c>
      <c r="X675">
        <v>-1</v>
      </c>
      <c r="Y675">
        <v>-1.7</v>
      </c>
      <c r="Z675">
        <v>74.533000000000001</v>
      </c>
      <c r="AA675">
        <v>1</v>
      </c>
      <c r="AB675" t="s">
        <v>571</v>
      </c>
      <c r="AC675">
        <v>0</v>
      </c>
    </row>
    <row r="676" spans="1:29">
      <c r="A676" t="s">
        <v>3519</v>
      </c>
      <c r="B676" t="s">
        <v>2785</v>
      </c>
      <c r="C676">
        <v>672</v>
      </c>
      <c r="D676" t="s">
        <v>3292</v>
      </c>
      <c r="E676" s="3" t="s">
        <v>576</v>
      </c>
    </row>
    <row r="677" spans="1:29">
      <c r="A677" t="s">
        <v>3520</v>
      </c>
      <c r="B677" t="s">
        <v>2785</v>
      </c>
      <c r="C677">
        <v>673</v>
      </c>
      <c r="D677" t="s">
        <v>2795</v>
      </c>
      <c r="E677" s="3" t="s">
        <v>3282</v>
      </c>
    </row>
    <row r="678" spans="1:29">
      <c r="A678" t="s">
        <v>3521</v>
      </c>
      <c r="B678" t="s">
        <v>2785</v>
      </c>
      <c r="C678">
        <v>674</v>
      </c>
      <c r="D678" t="s">
        <v>2798</v>
      </c>
      <c r="E678" s="3" t="s">
        <v>3522</v>
      </c>
      <c r="F678">
        <v>1163517</v>
      </c>
      <c r="W678">
        <v>-1</v>
      </c>
      <c r="X678">
        <v>-1</v>
      </c>
      <c r="Y678">
        <v>-5.7</v>
      </c>
      <c r="Z678">
        <v>74.613</v>
      </c>
      <c r="AA678">
        <v>1</v>
      </c>
      <c r="AB678" t="s">
        <v>571</v>
      </c>
      <c r="AC678">
        <v>0</v>
      </c>
    </row>
    <row r="679" spans="1:29">
      <c r="A679" t="s">
        <v>3523</v>
      </c>
      <c r="B679" t="s">
        <v>2785</v>
      </c>
      <c r="C679">
        <v>675</v>
      </c>
      <c r="D679" t="s">
        <v>3292</v>
      </c>
      <c r="E679" s="3" t="s">
        <v>576</v>
      </c>
    </row>
    <row r="680" spans="1:29">
      <c r="A680" t="s">
        <v>3524</v>
      </c>
      <c r="B680" t="s">
        <v>2785</v>
      </c>
      <c r="C680">
        <v>676</v>
      </c>
      <c r="D680" t="s">
        <v>2795</v>
      </c>
      <c r="E680" s="3" t="s">
        <v>3282</v>
      </c>
    </row>
    <row r="681" spans="1:29">
      <c r="A681" t="s">
        <v>3525</v>
      </c>
      <c r="B681" t="s">
        <v>2785</v>
      </c>
      <c r="C681">
        <v>677</v>
      </c>
      <c r="D681" t="s">
        <v>2798</v>
      </c>
      <c r="E681" s="3" t="s">
        <v>3526</v>
      </c>
      <c r="F681">
        <v>1168518</v>
      </c>
      <c r="W681">
        <v>-1</v>
      </c>
      <c r="X681">
        <v>-1</v>
      </c>
      <c r="Y681">
        <v>-2</v>
      </c>
      <c r="Z681">
        <v>79.92</v>
      </c>
      <c r="AA681">
        <v>1</v>
      </c>
      <c r="AB681" t="s">
        <v>571</v>
      </c>
      <c r="AC681">
        <v>0</v>
      </c>
    </row>
    <row r="682" spans="1:29">
      <c r="A682" t="s">
        <v>3527</v>
      </c>
      <c r="B682" t="s">
        <v>2785</v>
      </c>
      <c r="C682">
        <v>678</v>
      </c>
      <c r="D682" t="s">
        <v>3292</v>
      </c>
      <c r="E682" s="3" t="s">
        <v>576</v>
      </c>
    </row>
    <row r="683" spans="1:29">
      <c r="A683" t="s">
        <v>3528</v>
      </c>
      <c r="B683" t="s">
        <v>2785</v>
      </c>
      <c r="C683">
        <v>679</v>
      </c>
      <c r="D683" t="s">
        <v>2795</v>
      </c>
      <c r="E683" s="3" t="s">
        <v>3282</v>
      </c>
    </row>
    <row r="684" spans="1:29">
      <c r="A684" t="s">
        <v>3529</v>
      </c>
      <c r="B684" t="s">
        <v>2785</v>
      </c>
      <c r="C684">
        <v>680</v>
      </c>
      <c r="D684" t="s">
        <v>2798</v>
      </c>
      <c r="E684" s="3" t="s">
        <v>3530</v>
      </c>
      <c r="F684">
        <v>1173517</v>
      </c>
      <c r="W684">
        <v>-1</v>
      </c>
      <c r="X684">
        <v>-1</v>
      </c>
      <c r="Y684">
        <v>-2.2000000000000002</v>
      </c>
      <c r="Z684">
        <v>80.747</v>
      </c>
      <c r="AA684">
        <v>1</v>
      </c>
      <c r="AB684" t="s">
        <v>571</v>
      </c>
      <c r="AC684">
        <v>0</v>
      </c>
    </row>
  </sheetData>
  <mergeCells count="1">
    <mergeCell ref="A1:AC2"/>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85"/>
  <sheetViews>
    <sheetView workbookViewId="0"/>
  </sheetViews>
  <sheetFormatPr defaultRowHeight="13.8"/>
  <cols>
    <col min="1" max="1" width="27" customWidth="1"/>
    <col min="2" max="2" width="31" customWidth="1"/>
    <col min="3" max="3" width="52" customWidth="1"/>
    <col min="4" max="4" width="20" customWidth="1"/>
    <col min="5" max="5" width="48" customWidth="1"/>
  </cols>
  <sheetData>
    <row r="1" spans="1:5" ht="24" customHeight="1">
      <c r="A1" s="86" t="s">
        <v>3531</v>
      </c>
      <c r="B1" s="86"/>
      <c r="C1" s="86"/>
      <c r="D1" s="86"/>
      <c r="E1" s="86"/>
    </row>
    <row r="2" spans="1:5" ht="24" customHeight="1">
      <c r="A2" s="86"/>
      <c r="B2" s="86"/>
      <c r="C2" s="86"/>
      <c r="D2" s="86"/>
      <c r="E2" s="86"/>
    </row>
    <row r="4" spans="1:5" ht="22.35" customHeight="1">
      <c r="A4" s="4" t="s">
        <v>3532</v>
      </c>
      <c r="B4" s="4" t="s">
        <v>3533</v>
      </c>
      <c r="C4" s="4" t="s">
        <v>3534</v>
      </c>
      <c r="D4" s="4" t="s">
        <v>3535</v>
      </c>
      <c r="E4" s="4" t="s">
        <v>3536</v>
      </c>
    </row>
    <row r="5" spans="1:5" ht="27.6">
      <c r="A5" t="s">
        <v>3537</v>
      </c>
      <c r="C5" s="3" t="s">
        <v>3538</v>
      </c>
      <c r="D5" s="3"/>
      <c r="E5" s="3" t="s">
        <v>3539</v>
      </c>
    </row>
    <row r="6" spans="1:5">
      <c r="A6" t="s">
        <v>28</v>
      </c>
      <c r="B6" t="s">
        <v>178</v>
      </c>
      <c r="C6" s="3" t="s">
        <v>3540</v>
      </c>
      <c r="D6" s="3"/>
      <c r="E6" s="3" t="s">
        <v>3541</v>
      </c>
    </row>
    <row r="7" spans="1:5">
      <c r="A7" t="s">
        <v>28</v>
      </c>
      <c r="B7" t="s">
        <v>200</v>
      </c>
      <c r="C7" s="3" t="s">
        <v>3542</v>
      </c>
      <c r="D7" s="3" t="s">
        <v>125</v>
      </c>
      <c r="E7" s="3" t="s">
        <v>3543</v>
      </c>
    </row>
    <row r="8" spans="1:5">
      <c r="A8" t="s">
        <v>28</v>
      </c>
      <c r="B8" t="s">
        <v>192</v>
      </c>
      <c r="C8" s="3" t="s">
        <v>3544</v>
      </c>
      <c r="D8" s="3" t="s">
        <v>98</v>
      </c>
      <c r="E8" s="3" t="s">
        <v>3545</v>
      </c>
    </row>
    <row r="9" spans="1:5">
      <c r="A9" t="s">
        <v>28</v>
      </c>
      <c r="B9" t="s">
        <v>193</v>
      </c>
      <c r="C9" s="3" t="s">
        <v>3546</v>
      </c>
      <c r="D9" s="3" t="s">
        <v>98</v>
      </c>
      <c r="E9" s="3" t="s">
        <v>3547</v>
      </c>
    </row>
    <row r="10" spans="1:5">
      <c r="A10" t="s">
        <v>28</v>
      </c>
      <c r="B10" t="s">
        <v>196</v>
      </c>
      <c r="C10" s="3" t="s">
        <v>3548</v>
      </c>
      <c r="D10" s="3" t="s">
        <v>140</v>
      </c>
      <c r="E10" s="3" t="s">
        <v>3545</v>
      </c>
    </row>
    <row r="11" spans="1:5" ht="27.6">
      <c r="A11" t="s">
        <v>28</v>
      </c>
      <c r="B11" t="s">
        <v>210</v>
      </c>
      <c r="C11" s="3" t="s">
        <v>3549</v>
      </c>
      <c r="D11" s="3" t="s">
        <v>107</v>
      </c>
      <c r="E11" s="3" t="s">
        <v>3550</v>
      </c>
    </row>
    <row r="12" spans="1:5" ht="27.6">
      <c r="A12" t="s">
        <v>28</v>
      </c>
      <c r="B12" t="s">
        <v>207</v>
      </c>
      <c r="C12" s="3" t="s">
        <v>3551</v>
      </c>
      <c r="D12" s="3" t="s">
        <v>3552</v>
      </c>
      <c r="E12" s="3" t="s">
        <v>3553</v>
      </c>
    </row>
    <row r="13" spans="1:5">
      <c r="A13" t="s">
        <v>28</v>
      </c>
      <c r="B13" t="s">
        <v>217</v>
      </c>
      <c r="C13" s="3" t="s">
        <v>3554</v>
      </c>
      <c r="D13" s="3" t="s">
        <v>3552</v>
      </c>
      <c r="E13" s="3" t="s">
        <v>3555</v>
      </c>
    </row>
    <row r="14" spans="1:5" ht="27.6">
      <c r="A14" t="s">
        <v>31</v>
      </c>
      <c r="C14" s="3" t="s">
        <v>3556</v>
      </c>
      <c r="D14" s="3"/>
      <c r="E14" s="3" t="s">
        <v>3557</v>
      </c>
    </row>
    <row r="15" spans="1:5">
      <c r="A15" t="s">
        <v>34</v>
      </c>
      <c r="C15" s="3" t="s">
        <v>3558</v>
      </c>
      <c r="D15" s="3"/>
      <c r="E15" s="3" t="s">
        <v>3559</v>
      </c>
    </row>
    <row r="16" spans="1:5">
      <c r="A16" t="s">
        <v>37</v>
      </c>
      <c r="C16" s="3" t="s">
        <v>3560</v>
      </c>
      <c r="D16" s="3" t="s">
        <v>125</v>
      </c>
      <c r="E16" s="3" t="s">
        <v>3561</v>
      </c>
    </row>
    <row r="17" spans="1:5">
      <c r="A17" t="s">
        <v>40</v>
      </c>
      <c r="C17" s="3" t="s">
        <v>3562</v>
      </c>
      <c r="D17" s="3"/>
      <c r="E17" s="3" t="s">
        <v>3563</v>
      </c>
    </row>
    <row r="18" spans="1:5">
      <c r="A18" t="s">
        <v>44</v>
      </c>
      <c r="C18" s="3" t="s">
        <v>3564</v>
      </c>
      <c r="D18" s="3"/>
      <c r="E18" s="3" t="s">
        <v>3565</v>
      </c>
    </row>
    <row r="19" spans="1:5" ht="27.6">
      <c r="A19" t="s">
        <v>28</v>
      </c>
      <c r="B19" t="s">
        <v>177</v>
      </c>
      <c r="C19" s="3" t="s">
        <v>3566</v>
      </c>
      <c r="D19" s="3"/>
      <c r="E19" s="3" t="s">
        <v>3567</v>
      </c>
    </row>
    <row r="20" spans="1:5" ht="27.6">
      <c r="A20" t="s">
        <v>28</v>
      </c>
      <c r="B20" t="s">
        <v>179</v>
      </c>
      <c r="C20" s="3" t="s">
        <v>3568</v>
      </c>
      <c r="D20" s="3"/>
      <c r="E20" s="3" t="s">
        <v>3567</v>
      </c>
    </row>
    <row r="21" spans="1:5" ht="27.6">
      <c r="A21" t="s">
        <v>28</v>
      </c>
      <c r="B21" t="s">
        <v>180</v>
      </c>
      <c r="C21" s="3" t="s">
        <v>3569</v>
      </c>
      <c r="D21" s="3"/>
      <c r="E21" s="3" t="s">
        <v>3567</v>
      </c>
    </row>
    <row r="22" spans="1:5" ht="27.6">
      <c r="A22" t="s">
        <v>28</v>
      </c>
      <c r="B22" t="s">
        <v>181</v>
      </c>
      <c r="C22" s="3" t="s">
        <v>181</v>
      </c>
      <c r="D22" s="3"/>
      <c r="E22" s="3" t="s">
        <v>3567</v>
      </c>
    </row>
    <row r="23" spans="1:5" ht="27.6">
      <c r="A23" t="s">
        <v>28</v>
      </c>
      <c r="B23" t="s">
        <v>182</v>
      </c>
      <c r="C23" s="3" t="s">
        <v>3570</v>
      </c>
      <c r="D23" s="3"/>
      <c r="E23" s="3" t="s">
        <v>3567</v>
      </c>
    </row>
    <row r="24" spans="1:5" ht="27.6">
      <c r="A24" t="s">
        <v>28</v>
      </c>
      <c r="B24" t="s">
        <v>183</v>
      </c>
      <c r="C24" s="3" t="s">
        <v>183</v>
      </c>
      <c r="D24" s="3"/>
      <c r="E24" s="3" t="s">
        <v>3567</v>
      </c>
    </row>
    <row r="25" spans="1:5" ht="27.6">
      <c r="A25" t="s">
        <v>28</v>
      </c>
      <c r="B25" t="s">
        <v>184</v>
      </c>
      <c r="C25" s="3" t="s">
        <v>3571</v>
      </c>
      <c r="D25" s="3"/>
      <c r="E25" s="3" t="s">
        <v>3567</v>
      </c>
    </row>
    <row r="26" spans="1:5" ht="27.6">
      <c r="A26" t="s">
        <v>28</v>
      </c>
      <c r="B26" t="s">
        <v>185</v>
      </c>
      <c r="C26" s="3" t="s">
        <v>3572</v>
      </c>
      <c r="D26" s="3"/>
      <c r="E26" s="3" t="s">
        <v>3567</v>
      </c>
    </row>
    <row r="27" spans="1:5" ht="27.6">
      <c r="A27" t="s">
        <v>28</v>
      </c>
      <c r="B27" t="s">
        <v>186</v>
      </c>
      <c r="C27" s="3" t="s">
        <v>3573</v>
      </c>
      <c r="D27" s="3"/>
      <c r="E27" s="3" t="s">
        <v>3567</v>
      </c>
    </row>
    <row r="28" spans="1:5" ht="27.6">
      <c r="A28" t="s">
        <v>28</v>
      </c>
      <c r="B28" t="s">
        <v>187</v>
      </c>
      <c r="C28" s="3" t="s">
        <v>3574</v>
      </c>
      <c r="D28" s="3"/>
      <c r="E28" s="3" t="s">
        <v>3567</v>
      </c>
    </row>
    <row r="29" spans="1:5" ht="27.6">
      <c r="A29" t="s">
        <v>28</v>
      </c>
      <c r="B29" t="s">
        <v>188</v>
      </c>
      <c r="C29" s="3" t="s">
        <v>3575</v>
      </c>
      <c r="D29" s="3"/>
      <c r="E29" s="3" t="s">
        <v>3567</v>
      </c>
    </row>
    <row r="30" spans="1:5" ht="27.6">
      <c r="A30" t="s">
        <v>28</v>
      </c>
      <c r="B30" t="s">
        <v>189</v>
      </c>
      <c r="C30" s="3" t="s">
        <v>3576</v>
      </c>
      <c r="D30" s="3"/>
      <c r="E30" s="3" t="s">
        <v>3567</v>
      </c>
    </row>
    <row r="31" spans="1:5" ht="27.6">
      <c r="A31" t="s">
        <v>28</v>
      </c>
      <c r="B31" t="s">
        <v>190</v>
      </c>
      <c r="C31" s="3" t="s">
        <v>3577</v>
      </c>
      <c r="D31" s="3"/>
      <c r="E31" s="3" t="s">
        <v>3567</v>
      </c>
    </row>
    <row r="32" spans="1:5" ht="27.6">
      <c r="A32" t="s">
        <v>28</v>
      </c>
      <c r="B32" t="s">
        <v>191</v>
      </c>
      <c r="C32" s="3" t="s">
        <v>3578</v>
      </c>
      <c r="D32" s="3"/>
      <c r="E32" s="3" t="s">
        <v>3567</v>
      </c>
    </row>
    <row r="33" spans="1:5" ht="27.6">
      <c r="A33" t="s">
        <v>28</v>
      </c>
      <c r="B33" t="s">
        <v>194</v>
      </c>
      <c r="C33" s="3" t="s">
        <v>3579</v>
      </c>
      <c r="D33" s="3"/>
      <c r="E33" s="3" t="s">
        <v>3567</v>
      </c>
    </row>
    <row r="34" spans="1:5" ht="27.6">
      <c r="A34" t="s">
        <v>28</v>
      </c>
      <c r="B34" t="s">
        <v>195</v>
      </c>
      <c r="C34" s="3" t="s">
        <v>3580</v>
      </c>
      <c r="D34" s="3"/>
      <c r="E34" s="3" t="s">
        <v>3567</v>
      </c>
    </row>
    <row r="35" spans="1:5" ht="27.6">
      <c r="A35" t="s">
        <v>28</v>
      </c>
      <c r="B35" t="s">
        <v>197</v>
      </c>
      <c r="C35" s="3" t="s">
        <v>3581</v>
      </c>
      <c r="D35" s="3"/>
      <c r="E35" s="3" t="s">
        <v>3567</v>
      </c>
    </row>
    <row r="36" spans="1:5" ht="27.6">
      <c r="A36" t="s">
        <v>28</v>
      </c>
      <c r="B36" t="s">
        <v>198</v>
      </c>
      <c r="C36" s="3" t="s">
        <v>3582</v>
      </c>
      <c r="D36" s="3"/>
      <c r="E36" s="3" t="s">
        <v>3567</v>
      </c>
    </row>
    <row r="37" spans="1:5" ht="27.6">
      <c r="A37" t="s">
        <v>28</v>
      </c>
      <c r="B37" t="s">
        <v>199</v>
      </c>
      <c r="C37" s="3" t="s">
        <v>3583</v>
      </c>
      <c r="D37" s="3"/>
      <c r="E37" s="3" t="s">
        <v>3567</v>
      </c>
    </row>
    <row r="38" spans="1:5" ht="27.6">
      <c r="A38" t="s">
        <v>28</v>
      </c>
      <c r="B38" t="s">
        <v>201</v>
      </c>
      <c r="C38" s="3" t="s">
        <v>3584</v>
      </c>
      <c r="D38" s="3"/>
      <c r="E38" s="3" t="s">
        <v>3567</v>
      </c>
    </row>
    <row r="39" spans="1:5" ht="27.6">
      <c r="A39" t="s">
        <v>28</v>
      </c>
      <c r="B39" t="s">
        <v>202</v>
      </c>
      <c r="C39" s="3" t="s">
        <v>3585</v>
      </c>
      <c r="D39" s="3"/>
      <c r="E39" s="3" t="s">
        <v>3567</v>
      </c>
    </row>
    <row r="40" spans="1:5" ht="27.6">
      <c r="A40" t="s">
        <v>28</v>
      </c>
      <c r="B40" t="s">
        <v>203</v>
      </c>
      <c r="C40" s="3" t="s">
        <v>3586</v>
      </c>
      <c r="D40" s="3"/>
      <c r="E40" s="3" t="s">
        <v>3567</v>
      </c>
    </row>
    <row r="41" spans="1:5" ht="27.6">
      <c r="A41" t="s">
        <v>28</v>
      </c>
      <c r="B41" t="s">
        <v>204</v>
      </c>
      <c r="C41" s="3" t="s">
        <v>3587</v>
      </c>
      <c r="D41" s="3"/>
      <c r="E41" s="3" t="s">
        <v>3567</v>
      </c>
    </row>
    <row r="42" spans="1:5" ht="27.6">
      <c r="A42" t="s">
        <v>28</v>
      </c>
      <c r="B42" t="s">
        <v>205</v>
      </c>
      <c r="C42" s="3" t="s">
        <v>3588</v>
      </c>
      <c r="D42" s="3"/>
      <c r="E42" s="3" t="s">
        <v>3567</v>
      </c>
    </row>
    <row r="43" spans="1:5" ht="27.6">
      <c r="A43" t="s">
        <v>28</v>
      </c>
      <c r="B43" t="s">
        <v>206</v>
      </c>
      <c r="C43" s="3" t="s">
        <v>3589</v>
      </c>
      <c r="D43" s="3"/>
      <c r="E43" s="3" t="s">
        <v>3567</v>
      </c>
    </row>
    <row r="44" spans="1:5" ht="27.6">
      <c r="A44" t="s">
        <v>28</v>
      </c>
      <c r="B44" t="s">
        <v>208</v>
      </c>
      <c r="C44" s="3" t="s">
        <v>3590</v>
      </c>
      <c r="D44" s="3"/>
      <c r="E44" s="3" t="s">
        <v>3567</v>
      </c>
    </row>
    <row r="45" spans="1:5" ht="27.6">
      <c r="A45" t="s">
        <v>28</v>
      </c>
      <c r="B45" t="s">
        <v>209</v>
      </c>
      <c r="C45" s="3" t="s">
        <v>3591</v>
      </c>
      <c r="D45" s="3"/>
      <c r="E45" s="3" t="s">
        <v>3567</v>
      </c>
    </row>
    <row r="46" spans="1:5" ht="27.6">
      <c r="A46" t="s">
        <v>28</v>
      </c>
      <c r="B46" t="s">
        <v>211</v>
      </c>
      <c r="C46" s="3" t="s">
        <v>3592</v>
      </c>
      <c r="D46" s="3"/>
      <c r="E46" s="3" t="s">
        <v>3567</v>
      </c>
    </row>
    <row r="47" spans="1:5" ht="27.6">
      <c r="A47" t="s">
        <v>28</v>
      </c>
      <c r="B47" t="s">
        <v>212</v>
      </c>
      <c r="C47" s="3" t="s">
        <v>3593</v>
      </c>
      <c r="D47" s="3"/>
      <c r="E47" s="3" t="s">
        <v>3567</v>
      </c>
    </row>
    <row r="48" spans="1:5" ht="27.6">
      <c r="A48" t="s">
        <v>28</v>
      </c>
      <c r="B48" t="s">
        <v>213</v>
      </c>
      <c r="C48" s="3" t="s">
        <v>3594</v>
      </c>
      <c r="D48" s="3"/>
      <c r="E48" s="3" t="s">
        <v>3567</v>
      </c>
    </row>
    <row r="49" spans="1:5" ht="27.6">
      <c r="A49" t="s">
        <v>28</v>
      </c>
      <c r="B49" t="s">
        <v>214</v>
      </c>
      <c r="C49" s="3" t="s">
        <v>3595</v>
      </c>
      <c r="D49" s="3"/>
      <c r="E49" s="3" t="s">
        <v>3567</v>
      </c>
    </row>
    <row r="50" spans="1:5" ht="27.6">
      <c r="A50" t="s">
        <v>28</v>
      </c>
      <c r="B50" t="s">
        <v>215</v>
      </c>
      <c r="C50" s="3" t="s">
        <v>3596</v>
      </c>
      <c r="D50" s="3"/>
      <c r="E50" s="3" t="s">
        <v>3567</v>
      </c>
    </row>
    <row r="51" spans="1:5" ht="27.6">
      <c r="A51" t="s">
        <v>28</v>
      </c>
      <c r="B51" t="s">
        <v>216</v>
      </c>
      <c r="C51" s="3" t="s">
        <v>3597</v>
      </c>
      <c r="D51" s="3"/>
      <c r="E51" s="3" t="s">
        <v>3567</v>
      </c>
    </row>
    <row r="52" spans="1:5" ht="27.6">
      <c r="A52" t="s">
        <v>28</v>
      </c>
      <c r="B52" t="s">
        <v>218</v>
      </c>
      <c r="C52" s="3" t="s">
        <v>3598</v>
      </c>
      <c r="D52" s="3"/>
      <c r="E52" s="3" t="s">
        <v>3567</v>
      </c>
    </row>
    <row r="53" spans="1:5" ht="27.6">
      <c r="A53" t="s">
        <v>28</v>
      </c>
      <c r="B53" t="s">
        <v>219</v>
      </c>
      <c r="C53" s="3" t="s">
        <v>3599</v>
      </c>
      <c r="D53" s="3"/>
      <c r="E53" s="3" t="s">
        <v>3567</v>
      </c>
    </row>
    <row r="54" spans="1:5" ht="27.6">
      <c r="A54" t="s">
        <v>28</v>
      </c>
      <c r="B54" t="s">
        <v>220</v>
      </c>
      <c r="C54" s="3" t="s">
        <v>3600</v>
      </c>
      <c r="D54" s="3"/>
      <c r="E54" s="3" t="s">
        <v>3567</v>
      </c>
    </row>
    <row r="55" spans="1:5" ht="27.6">
      <c r="A55" t="s">
        <v>28</v>
      </c>
      <c r="B55" t="s">
        <v>221</v>
      </c>
      <c r="C55" s="3" t="s">
        <v>3601</v>
      </c>
      <c r="D55" s="3"/>
      <c r="E55" s="3" t="s">
        <v>3567</v>
      </c>
    </row>
    <row r="56" spans="1:5" ht="27.6">
      <c r="A56" t="s">
        <v>28</v>
      </c>
      <c r="B56" t="s">
        <v>222</v>
      </c>
      <c r="C56" s="3" t="s">
        <v>222</v>
      </c>
      <c r="D56" s="3"/>
      <c r="E56" s="3" t="s">
        <v>3567</v>
      </c>
    </row>
    <row r="57" spans="1:5" ht="27.6">
      <c r="A57" t="s">
        <v>28</v>
      </c>
      <c r="B57" t="s">
        <v>223</v>
      </c>
      <c r="C57" s="3" t="s">
        <v>3602</v>
      </c>
      <c r="D57" s="3"/>
      <c r="E57" s="3" t="s">
        <v>3567</v>
      </c>
    </row>
    <row r="58" spans="1:5" ht="27.6">
      <c r="A58" t="s">
        <v>28</v>
      </c>
      <c r="B58" t="s">
        <v>224</v>
      </c>
      <c r="C58" s="3" t="s">
        <v>3603</v>
      </c>
      <c r="D58" s="3"/>
      <c r="E58" s="3" t="s">
        <v>3567</v>
      </c>
    </row>
    <row r="59" spans="1:5" ht="27.6">
      <c r="A59" t="s">
        <v>28</v>
      </c>
      <c r="B59" t="s">
        <v>225</v>
      </c>
      <c r="C59" s="3" t="s">
        <v>3604</v>
      </c>
      <c r="D59" s="3"/>
      <c r="E59" s="3" t="s">
        <v>3567</v>
      </c>
    </row>
    <row r="60" spans="1:5" ht="27.6">
      <c r="A60" t="s">
        <v>28</v>
      </c>
      <c r="B60" t="s">
        <v>226</v>
      </c>
      <c r="C60" s="3" t="s">
        <v>3605</v>
      </c>
      <c r="D60" s="3"/>
      <c r="E60" s="3" t="s">
        <v>3567</v>
      </c>
    </row>
    <row r="61" spans="1:5" ht="27.6">
      <c r="A61" t="s">
        <v>28</v>
      </c>
      <c r="B61" t="s">
        <v>227</v>
      </c>
      <c r="C61" s="3" t="s">
        <v>3606</v>
      </c>
      <c r="D61" s="3"/>
      <c r="E61" s="3" t="s">
        <v>3567</v>
      </c>
    </row>
    <row r="62" spans="1:5" ht="27.6">
      <c r="A62" t="s">
        <v>28</v>
      </c>
      <c r="B62" t="s">
        <v>228</v>
      </c>
      <c r="C62" s="3" t="s">
        <v>3607</v>
      </c>
      <c r="D62" s="3"/>
      <c r="E62" s="3" t="s">
        <v>3567</v>
      </c>
    </row>
    <row r="63" spans="1:5" ht="27.6">
      <c r="A63" t="s">
        <v>28</v>
      </c>
      <c r="B63" t="s">
        <v>229</v>
      </c>
      <c r="C63" s="3" t="s">
        <v>229</v>
      </c>
      <c r="D63" s="3"/>
      <c r="E63" s="3" t="s">
        <v>3567</v>
      </c>
    </row>
    <row r="65" spans="1:5" ht="22.35" customHeight="1">
      <c r="A65" s="83" t="s">
        <v>3608</v>
      </c>
      <c r="B65" s="83"/>
      <c r="C65" s="83"/>
      <c r="D65" s="83"/>
      <c r="E65" s="83"/>
    </row>
    <row r="66" spans="1:5" ht="27.6">
      <c r="A66" s="8" t="s">
        <v>52</v>
      </c>
      <c r="B66" s="3" t="s">
        <v>3609</v>
      </c>
      <c r="C66" s="3" t="s">
        <v>3610</v>
      </c>
      <c r="D66" s="3" t="s">
        <v>3611</v>
      </c>
      <c r="E66" s="3" t="s">
        <v>3612</v>
      </c>
    </row>
    <row r="67" spans="1:5" ht="27.6">
      <c r="A67" s="8" t="s">
        <v>52</v>
      </c>
      <c r="B67" s="3" t="s">
        <v>3613</v>
      </c>
      <c r="C67" s="3" t="s">
        <v>3614</v>
      </c>
      <c r="D67" s="3"/>
      <c r="E67" s="3" t="s">
        <v>3615</v>
      </c>
    </row>
    <row r="68" spans="1:5" ht="27.6">
      <c r="A68" s="8" t="s">
        <v>52</v>
      </c>
      <c r="B68" s="3" t="s">
        <v>3616</v>
      </c>
      <c r="C68" s="3" t="s">
        <v>3617</v>
      </c>
      <c r="D68" s="3"/>
      <c r="E68" s="3" t="s">
        <v>3618</v>
      </c>
    </row>
    <row r="69" spans="1:5" ht="27.6">
      <c r="A69" s="8" t="s">
        <v>52</v>
      </c>
      <c r="B69" s="3" t="s">
        <v>3619</v>
      </c>
      <c r="C69" s="3" t="s">
        <v>3620</v>
      </c>
      <c r="D69" s="3"/>
      <c r="E69" s="3" t="s">
        <v>3621</v>
      </c>
    </row>
    <row r="70" spans="1:5" ht="27.6">
      <c r="A70" s="8" t="s">
        <v>25</v>
      </c>
      <c r="B70" s="3" t="s">
        <v>3622</v>
      </c>
      <c r="C70" s="3" t="s">
        <v>3623</v>
      </c>
      <c r="D70" s="3"/>
      <c r="E70" s="3" t="s">
        <v>3624</v>
      </c>
    </row>
    <row r="71" spans="1:5" ht="27.6">
      <c r="A71" s="8" t="s">
        <v>37</v>
      </c>
      <c r="B71" s="3" t="s">
        <v>3625</v>
      </c>
      <c r="C71" s="3" t="s">
        <v>3626</v>
      </c>
      <c r="D71" s="3" t="s">
        <v>3627</v>
      </c>
      <c r="E71" s="3" t="s">
        <v>3628</v>
      </c>
    </row>
    <row r="73" spans="1:5" ht="20.85" customHeight="1">
      <c r="A73" s="87" t="s">
        <v>3629</v>
      </c>
      <c r="B73" s="87"/>
      <c r="C73" s="87"/>
      <c r="D73" s="87"/>
      <c r="E73" s="87"/>
    </row>
    <row r="74" spans="1:5" ht="27.6">
      <c r="A74" s="8" t="s">
        <v>55</v>
      </c>
      <c r="B74" s="3" t="s">
        <v>3630</v>
      </c>
      <c r="C74" s="3" t="s">
        <v>3631</v>
      </c>
      <c r="D74" s="3" t="s">
        <v>3611</v>
      </c>
      <c r="E74" s="3" t="s">
        <v>3632</v>
      </c>
    </row>
    <row r="75" spans="1:5" ht="27.6">
      <c r="A75" s="8" t="s">
        <v>55</v>
      </c>
      <c r="B75" s="3" t="s">
        <v>3633</v>
      </c>
      <c r="C75" s="3" t="s">
        <v>3634</v>
      </c>
      <c r="D75" s="3" t="s">
        <v>3611</v>
      </c>
      <c r="E75" s="3" t="s">
        <v>3635</v>
      </c>
    </row>
    <row r="76" spans="1:5" ht="27.6">
      <c r="A76" s="8" t="s">
        <v>55</v>
      </c>
      <c r="B76" s="3" t="s">
        <v>3636</v>
      </c>
      <c r="C76" s="3" t="s">
        <v>3637</v>
      </c>
      <c r="D76" s="3" t="s">
        <v>3611</v>
      </c>
      <c r="E76" s="3" t="s">
        <v>3638</v>
      </c>
    </row>
    <row r="77" spans="1:5" ht="27.6">
      <c r="A77" s="8" t="s">
        <v>55</v>
      </c>
      <c r="B77" s="3" t="s">
        <v>3639</v>
      </c>
      <c r="C77" s="3" t="s">
        <v>3640</v>
      </c>
      <c r="D77" s="3"/>
      <c r="E77" s="3" t="s">
        <v>3641</v>
      </c>
    </row>
    <row r="78" spans="1:5" ht="27.6">
      <c r="A78" s="8" t="s">
        <v>52</v>
      </c>
      <c r="B78" s="3" t="s">
        <v>3642</v>
      </c>
      <c r="C78" s="3" t="s">
        <v>3643</v>
      </c>
      <c r="D78" s="3" t="s">
        <v>3611</v>
      </c>
      <c r="E78" s="3" t="s">
        <v>3644</v>
      </c>
    </row>
    <row r="80" spans="1:5" ht="21.6" customHeight="1">
      <c r="A80" s="88" t="s">
        <v>3645</v>
      </c>
      <c r="B80" s="88"/>
      <c r="C80" s="88"/>
      <c r="D80" s="88"/>
      <c r="E80" s="88"/>
    </row>
    <row r="81" spans="1:5" ht="27.6">
      <c r="A81" s="8" t="s">
        <v>58</v>
      </c>
      <c r="B81" s="3" t="s">
        <v>3646</v>
      </c>
      <c r="C81" s="3" t="s">
        <v>3647</v>
      </c>
      <c r="D81" s="3" t="s">
        <v>3611</v>
      </c>
      <c r="E81" s="3" t="s">
        <v>3648</v>
      </c>
    </row>
    <row r="82" spans="1:5">
      <c r="A82" s="8" t="s">
        <v>58</v>
      </c>
      <c r="B82" s="3" t="s">
        <v>3649</v>
      </c>
      <c r="C82" s="3" t="s">
        <v>3650</v>
      </c>
      <c r="D82" s="3" t="s">
        <v>3651</v>
      </c>
      <c r="E82" s="3" t="s">
        <v>3652</v>
      </c>
    </row>
    <row r="83" spans="1:5">
      <c r="A83" s="8" t="s">
        <v>58</v>
      </c>
      <c r="B83" s="3" t="s">
        <v>3653</v>
      </c>
      <c r="C83" s="3" t="s">
        <v>3654</v>
      </c>
      <c r="D83" s="3"/>
      <c r="E83" s="3" t="s">
        <v>3655</v>
      </c>
    </row>
    <row r="84" spans="1:5">
      <c r="A84" s="8" t="s">
        <v>58</v>
      </c>
      <c r="B84" s="3" t="s">
        <v>3656</v>
      </c>
      <c r="C84" s="3" t="s">
        <v>3657</v>
      </c>
      <c r="D84" s="3" t="s">
        <v>3658</v>
      </c>
      <c r="E84" s="3" t="s">
        <v>3659</v>
      </c>
    </row>
    <row r="85" spans="1:5" ht="27.6">
      <c r="A85" s="8" t="s">
        <v>58</v>
      </c>
      <c r="B85" s="3" t="s">
        <v>60</v>
      </c>
      <c r="C85" s="3" t="s">
        <v>3660</v>
      </c>
      <c r="D85" s="3"/>
      <c r="E85" s="3" t="s">
        <v>3661</v>
      </c>
    </row>
  </sheetData>
  <mergeCells count="4">
    <mergeCell ref="A1:E2"/>
    <mergeCell ref="A65:E65"/>
    <mergeCell ref="A73:E73"/>
    <mergeCell ref="A80:E80"/>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223"/>
  <sheetViews>
    <sheetView workbookViewId="0"/>
  </sheetViews>
  <sheetFormatPr defaultRowHeight="13.8"/>
  <cols>
    <col min="1" max="6" width="18" customWidth="1"/>
    <col min="8" max="9" width="22" customWidth="1"/>
    <col min="11" max="12" width="20" customWidth="1"/>
    <col min="14" max="14" width="32" customWidth="1"/>
    <col min="15" max="15" width="12" customWidth="1"/>
  </cols>
  <sheetData>
    <row r="1" spans="1:15" ht="22.35" customHeight="1">
      <c r="A1" s="10" t="s">
        <v>180</v>
      </c>
      <c r="B1" s="10" t="s">
        <v>694</v>
      </c>
      <c r="C1" s="10" t="s">
        <v>696</v>
      </c>
      <c r="E1" s="10" t="s">
        <v>180</v>
      </c>
      <c r="F1" s="10" t="s">
        <v>699</v>
      </c>
      <c r="H1" s="10" t="s">
        <v>188</v>
      </c>
      <c r="I1" s="10" t="s">
        <v>3662</v>
      </c>
      <c r="K1" s="10" t="s">
        <v>701</v>
      </c>
      <c r="L1" s="10" t="s">
        <v>3662</v>
      </c>
      <c r="N1" s="10" t="s">
        <v>185</v>
      </c>
      <c r="O1" s="10" t="s">
        <v>3662</v>
      </c>
    </row>
    <row r="2" spans="1:15">
      <c r="A2">
        <v>5.1070000000000002</v>
      </c>
      <c r="B2">
        <v>27.2</v>
      </c>
      <c r="C2">
        <v>81.599999999999994</v>
      </c>
      <c r="E2">
        <v>5.1070000000000002</v>
      </c>
      <c r="F2">
        <v>0</v>
      </c>
      <c r="H2" t="s">
        <v>385</v>
      </c>
      <c r="I2">
        <v>159</v>
      </c>
      <c r="K2" t="s">
        <v>704</v>
      </c>
      <c r="L2">
        <v>211</v>
      </c>
      <c r="N2" t="s">
        <v>575</v>
      </c>
      <c r="O2">
        <v>26</v>
      </c>
    </row>
    <row r="3" spans="1:15">
      <c r="A3">
        <v>10.128</v>
      </c>
      <c r="B3">
        <v>27.3</v>
      </c>
      <c r="C3">
        <v>82</v>
      </c>
      <c r="E3">
        <v>10.128</v>
      </c>
      <c r="F3">
        <v>0</v>
      </c>
      <c r="H3" t="s">
        <v>567</v>
      </c>
      <c r="I3">
        <v>4</v>
      </c>
      <c r="K3" t="s">
        <v>709</v>
      </c>
      <c r="L3">
        <v>1</v>
      </c>
      <c r="N3" t="s">
        <v>250</v>
      </c>
      <c r="O3">
        <v>19</v>
      </c>
    </row>
    <row r="4" spans="1:15">
      <c r="A4">
        <v>15.147</v>
      </c>
      <c r="B4">
        <v>27.3</v>
      </c>
      <c r="C4">
        <v>82</v>
      </c>
      <c r="E4">
        <v>15.147</v>
      </c>
      <c r="F4">
        <v>0</v>
      </c>
      <c r="H4" t="s">
        <v>571</v>
      </c>
      <c r="I4">
        <v>50</v>
      </c>
      <c r="K4" t="s">
        <v>706</v>
      </c>
      <c r="L4">
        <v>30</v>
      </c>
      <c r="N4" t="s">
        <v>254</v>
      </c>
      <c r="O4">
        <v>18</v>
      </c>
    </row>
    <row r="5" spans="1:15">
      <c r="A5">
        <v>20.167000000000002</v>
      </c>
      <c r="B5">
        <v>27.3</v>
      </c>
      <c r="C5">
        <v>82</v>
      </c>
      <c r="E5">
        <v>20.167000000000002</v>
      </c>
      <c r="F5">
        <v>0</v>
      </c>
      <c r="H5" t="s">
        <v>604</v>
      </c>
      <c r="I5">
        <v>6</v>
      </c>
      <c r="K5" t="s">
        <v>3663</v>
      </c>
      <c r="L5">
        <v>0</v>
      </c>
      <c r="N5" t="s">
        <v>244</v>
      </c>
      <c r="O5">
        <v>9</v>
      </c>
    </row>
    <row r="6" spans="1:15">
      <c r="A6">
        <v>25.187999999999999</v>
      </c>
      <c r="B6">
        <v>27.3</v>
      </c>
      <c r="C6">
        <v>82.1</v>
      </c>
      <c r="E6">
        <v>25.187999999999999</v>
      </c>
      <c r="F6">
        <v>0</v>
      </c>
      <c r="H6" t="s">
        <v>610</v>
      </c>
      <c r="I6">
        <v>3</v>
      </c>
      <c r="N6" t="s">
        <v>435</v>
      </c>
      <c r="O6">
        <v>8</v>
      </c>
    </row>
    <row r="7" spans="1:15">
      <c r="A7">
        <v>30.206</v>
      </c>
      <c r="B7">
        <v>27.3</v>
      </c>
      <c r="C7">
        <v>82.1</v>
      </c>
      <c r="E7">
        <v>30.206</v>
      </c>
      <c r="F7">
        <v>0</v>
      </c>
      <c r="H7" t="s">
        <v>3664</v>
      </c>
      <c r="I7">
        <v>0</v>
      </c>
      <c r="N7" t="s">
        <v>439</v>
      </c>
      <c r="O7">
        <v>8</v>
      </c>
    </row>
    <row r="8" spans="1:15">
      <c r="A8">
        <v>35.226999999999997</v>
      </c>
      <c r="B8">
        <v>27.3</v>
      </c>
      <c r="C8">
        <v>82.1</v>
      </c>
      <c r="E8">
        <v>35.226999999999997</v>
      </c>
      <c r="F8">
        <v>0</v>
      </c>
      <c r="N8" t="s">
        <v>259</v>
      </c>
      <c r="O8">
        <v>7</v>
      </c>
    </row>
    <row r="9" spans="1:15">
      <c r="A9">
        <v>40.246000000000002</v>
      </c>
      <c r="B9">
        <v>27.3</v>
      </c>
      <c r="C9">
        <v>82.3</v>
      </c>
      <c r="E9">
        <v>40.246000000000002</v>
      </c>
      <c r="F9">
        <v>0</v>
      </c>
      <c r="N9" t="s">
        <v>305</v>
      </c>
      <c r="O9">
        <v>5</v>
      </c>
    </row>
    <row r="10" spans="1:15">
      <c r="A10">
        <v>45.264000000000003</v>
      </c>
      <c r="B10">
        <v>27.3</v>
      </c>
      <c r="C10">
        <v>82.1</v>
      </c>
      <c r="E10">
        <v>45.264000000000003</v>
      </c>
      <c r="F10">
        <v>0</v>
      </c>
      <c r="N10" t="s">
        <v>601</v>
      </c>
      <c r="O10">
        <v>3</v>
      </c>
    </row>
    <row r="11" spans="1:15">
      <c r="A11">
        <v>50.284999999999997</v>
      </c>
      <c r="B11">
        <v>27.3</v>
      </c>
      <c r="C11">
        <v>82</v>
      </c>
      <c r="E11">
        <v>50.284999999999997</v>
      </c>
      <c r="F11">
        <v>0</v>
      </c>
      <c r="N11" t="s">
        <v>607</v>
      </c>
      <c r="O11">
        <v>3</v>
      </c>
    </row>
    <row r="12" spans="1:15">
      <c r="A12">
        <v>55.304000000000002</v>
      </c>
      <c r="B12">
        <v>27.3</v>
      </c>
      <c r="C12">
        <v>81.599999999999994</v>
      </c>
      <c r="E12">
        <v>55.304000000000002</v>
      </c>
      <c r="F12">
        <v>0</v>
      </c>
    </row>
    <row r="13" spans="1:15">
      <c r="A13">
        <v>60.323999999999998</v>
      </c>
      <c r="B13">
        <v>27.3</v>
      </c>
      <c r="C13">
        <v>81.3</v>
      </c>
      <c r="E13">
        <v>60.323999999999998</v>
      </c>
      <c r="F13">
        <v>0</v>
      </c>
    </row>
    <row r="14" spans="1:15">
      <c r="A14">
        <v>65.343000000000004</v>
      </c>
      <c r="B14">
        <v>27.3</v>
      </c>
      <c r="C14">
        <v>81.099999999999994</v>
      </c>
      <c r="E14">
        <v>65.343000000000004</v>
      </c>
      <c r="F14">
        <v>0</v>
      </c>
    </row>
    <row r="15" spans="1:15">
      <c r="A15">
        <v>70.361999999999995</v>
      </c>
      <c r="B15">
        <v>27.3</v>
      </c>
      <c r="C15">
        <v>81.099999999999994</v>
      </c>
      <c r="E15">
        <v>70.361999999999995</v>
      </c>
      <c r="F15">
        <v>0</v>
      </c>
    </row>
    <row r="16" spans="1:15">
      <c r="A16">
        <v>75.382000000000005</v>
      </c>
      <c r="B16">
        <v>27.3</v>
      </c>
      <c r="C16">
        <v>81.3</v>
      </c>
      <c r="E16">
        <v>75.382000000000005</v>
      </c>
      <c r="F16">
        <v>0</v>
      </c>
    </row>
    <row r="17" spans="1:6">
      <c r="A17">
        <v>80.400999999999996</v>
      </c>
      <c r="B17">
        <v>27.3</v>
      </c>
      <c r="C17">
        <v>81.099999999999994</v>
      </c>
      <c r="E17">
        <v>80.400999999999996</v>
      </c>
      <c r="F17">
        <v>0</v>
      </c>
    </row>
    <row r="18" spans="1:6">
      <c r="A18">
        <v>85.421000000000006</v>
      </c>
      <c r="B18">
        <v>27.3</v>
      </c>
      <c r="C18">
        <v>81</v>
      </c>
      <c r="E18">
        <v>85.421000000000006</v>
      </c>
      <c r="F18">
        <v>0</v>
      </c>
    </row>
    <row r="19" spans="1:6">
      <c r="A19">
        <v>90.438999999999993</v>
      </c>
      <c r="B19">
        <v>27.3</v>
      </c>
      <c r="C19">
        <v>81</v>
      </c>
      <c r="E19">
        <v>90.438999999999993</v>
      </c>
      <c r="F19">
        <v>0</v>
      </c>
    </row>
    <row r="20" spans="1:6">
      <c r="A20">
        <v>95.457999999999998</v>
      </c>
      <c r="B20">
        <v>27.3</v>
      </c>
      <c r="C20">
        <v>80.8</v>
      </c>
      <c r="E20">
        <v>95.457999999999998</v>
      </c>
      <c r="F20">
        <v>0</v>
      </c>
    </row>
    <row r="21" spans="1:6">
      <c r="A21">
        <v>100.47799999999999</v>
      </c>
      <c r="B21">
        <v>27.3</v>
      </c>
      <c r="C21">
        <v>80.8</v>
      </c>
      <c r="E21">
        <v>100.47799999999999</v>
      </c>
      <c r="F21">
        <v>0</v>
      </c>
    </row>
    <row r="22" spans="1:6">
      <c r="A22">
        <v>105.498</v>
      </c>
      <c r="B22">
        <v>27.3</v>
      </c>
      <c r="C22">
        <v>80.7</v>
      </c>
      <c r="E22">
        <v>105.498</v>
      </c>
      <c r="F22">
        <v>0</v>
      </c>
    </row>
    <row r="23" spans="1:6">
      <c r="A23">
        <v>110.517</v>
      </c>
      <c r="B23">
        <v>27.3</v>
      </c>
      <c r="C23">
        <v>80.5</v>
      </c>
      <c r="E23">
        <v>110.517</v>
      </c>
      <c r="F23">
        <v>0</v>
      </c>
    </row>
    <row r="24" spans="1:6">
      <c r="A24">
        <v>115.535</v>
      </c>
      <c r="B24">
        <v>27.3</v>
      </c>
      <c r="C24">
        <v>80.400000000000006</v>
      </c>
      <c r="E24">
        <v>115.535</v>
      </c>
      <c r="F24">
        <v>0</v>
      </c>
    </row>
    <row r="25" spans="1:6">
      <c r="A25">
        <v>120.556</v>
      </c>
      <c r="B25">
        <v>27.3</v>
      </c>
      <c r="C25">
        <v>80.400000000000006</v>
      </c>
      <c r="E25">
        <v>120.556</v>
      </c>
      <c r="F25">
        <v>0</v>
      </c>
    </row>
    <row r="26" spans="1:6">
      <c r="A26">
        <v>125.575</v>
      </c>
      <c r="B26">
        <v>27.3</v>
      </c>
      <c r="C26">
        <v>80.5</v>
      </c>
      <c r="E26">
        <v>125.575</v>
      </c>
      <c r="F26">
        <v>0</v>
      </c>
    </row>
    <row r="27" spans="1:6">
      <c r="A27">
        <v>130.595</v>
      </c>
      <c r="B27">
        <v>27.3</v>
      </c>
      <c r="C27">
        <v>80.8</v>
      </c>
      <c r="E27">
        <v>130.595</v>
      </c>
      <c r="F27">
        <v>0</v>
      </c>
    </row>
    <row r="28" spans="1:6">
      <c r="A28">
        <v>135.614</v>
      </c>
      <c r="B28">
        <v>27.3</v>
      </c>
      <c r="C28">
        <v>80.8</v>
      </c>
      <c r="E28">
        <v>135.614</v>
      </c>
      <c r="F28">
        <v>0</v>
      </c>
    </row>
    <row r="29" spans="1:6">
      <c r="A29">
        <v>140.63399999999999</v>
      </c>
      <c r="B29">
        <v>27.3</v>
      </c>
      <c r="C29">
        <v>80.900000000000006</v>
      </c>
      <c r="E29">
        <v>140.63399999999999</v>
      </c>
      <c r="F29">
        <v>0</v>
      </c>
    </row>
    <row r="30" spans="1:6">
      <c r="A30">
        <v>145.65299999999999</v>
      </c>
      <c r="B30">
        <v>27.3</v>
      </c>
      <c r="C30">
        <v>80.900000000000006</v>
      </c>
      <c r="E30">
        <v>145.65299999999999</v>
      </c>
      <c r="F30">
        <v>0</v>
      </c>
    </row>
    <row r="31" spans="1:6">
      <c r="A31">
        <v>150.66999999999999</v>
      </c>
      <c r="B31">
        <v>27.3</v>
      </c>
      <c r="C31">
        <v>80.900000000000006</v>
      </c>
      <c r="E31">
        <v>150.66999999999999</v>
      </c>
      <c r="F31">
        <v>0</v>
      </c>
    </row>
    <row r="32" spans="1:6">
      <c r="A32">
        <v>155.68700000000001</v>
      </c>
      <c r="B32">
        <v>27.3</v>
      </c>
      <c r="C32">
        <v>80.900000000000006</v>
      </c>
      <c r="E32">
        <v>155.68700000000001</v>
      </c>
      <c r="F32">
        <v>0</v>
      </c>
    </row>
    <row r="33" spans="1:6">
      <c r="A33">
        <v>160.70500000000001</v>
      </c>
      <c r="B33">
        <v>27.3</v>
      </c>
      <c r="C33">
        <v>80.8</v>
      </c>
      <c r="E33">
        <v>160.70500000000001</v>
      </c>
      <c r="F33">
        <v>0</v>
      </c>
    </row>
    <row r="34" spans="1:6">
      <c r="A34">
        <v>165.72399999999999</v>
      </c>
      <c r="B34">
        <v>27.3</v>
      </c>
      <c r="C34">
        <v>80.8</v>
      </c>
      <c r="E34">
        <v>165.72399999999999</v>
      </c>
      <c r="F34">
        <v>0</v>
      </c>
    </row>
    <row r="35" spans="1:6">
      <c r="A35">
        <v>170.74100000000001</v>
      </c>
      <c r="B35">
        <v>27.3</v>
      </c>
      <c r="C35">
        <v>80.900000000000006</v>
      </c>
      <c r="E35">
        <v>170.74100000000001</v>
      </c>
      <c r="F35">
        <v>0</v>
      </c>
    </row>
    <row r="36" spans="1:6">
      <c r="A36">
        <v>175.761</v>
      </c>
      <c r="B36">
        <v>27.3</v>
      </c>
      <c r="C36">
        <v>80.900000000000006</v>
      </c>
      <c r="E36">
        <v>175.761</v>
      </c>
      <c r="F36">
        <v>0</v>
      </c>
    </row>
    <row r="37" spans="1:6">
      <c r="A37">
        <v>180.779</v>
      </c>
      <c r="B37">
        <v>27.3</v>
      </c>
      <c r="C37">
        <v>80.8</v>
      </c>
      <c r="E37">
        <v>180.779</v>
      </c>
      <c r="F37">
        <v>0</v>
      </c>
    </row>
    <row r="38" spans="1:6">
      <c r="A38">
        <v>185.798</v>
      </c>
      <c r="B38">
        <v>27.3</v>
      </c>
      <c r="C38">
        <v>80.8</v>
      </c>
      <c r="E38">
        <v>185.798</v>
      </c>
      <c r="F38">
        <v>0</v>
      </c>
    </row>
    <row r="39" spans="1:6">
      <c r="A39">
        <v>190.816</v>
      </c>
      <c r="B39">
        <v>27.3</v>
      </c>
      <c r="C39">
        <v>80.8</v>
      </c>
      <c r="E39">
        <v>190.816</v>
      </c>
      <c r="F39">
        <v>0</v>
      </c>
    </row>
    <row r="40" spans="1:6">
      <c r="A40">
        <v>195.83500000000001</v>
      </c>
      <c r="B40">
        <v>27.3</v>
      </c>
      <c r="C40">
        <v>80.7</v>
      </c>
      <c r="E40">
        <v>195.83500000000001</v>
      </c>
      <c r="F40">
        <v>0</v>
      </c>
    </row>
    <row r="41" spans="1:6">
      <c r="A41">
        <v>200.85300000000001</v>
      </c>
      <c r="B41">
        <v>27.3</v>
      </c>
      <c r="C41">
        <v>80.5</v>
      </c>
      <c r="E41">
        <v>200.85300000000001</v>
      </c>
      <c r="F41">
        <v>0</v>
      </c>
    </row>
    <row r="42" spans="1:6">
      <c r="A42">
        <v>205.87299999999999</v>
      </c>
      <c r="B42">
        <v>27.3</v>
      </c>
      <c r="C42">
        <v>80.5</v>
      </c>
      <c r="E42">
        <v>205.87299999999999</v>
      </c>
      <c r="F42">
        <v>0</v>
      </c>
    </row>
    <row r="43" spans="1:6">
      <c r="A43">
        <v>210.89</v>
      </c>
      <c r="B43">
        <v>27.3</v>
      </c>
      <c r="C43">
        <v>80.5</v>
      </c>
      <c r="E43">
        <v>210.89</v>
      </c>
      <c r="F43">
        <v>0</v>
      </c>
    </row>
    <row r="44" spans="1:6">
      <c r="A44">
        <v>215.90899999999999</v>
      </c>
      <c r="B44">
        <v>27.3</v>
      </c>
      <c r="C44">
        <v>80.7</v>
      </c>
      <c r="E44">
        <v>215.90899999999999</v>
      </c>
      <c r="F44">
        <v>0</v>
      </c>
    </row>
    <row r="45" spans="1:6">
      <c r="A45">
        <v>220.92599999999999</v>
      </c>
      <c r="B45">
        <v>27.3</v>
      </c>
      <c r="C45">
        <v>80.7</v>
      </c>
      <c r="E45">
        <v>220.92599999999999</v>
      </c>
      <c r="F45">
        <v>0</v>
      </c>
    </row>
    <row r="46" spans="1:6">
      <c r="A46">
        <v>225.94499999999999</v>
      </c>
      <c r="B46">
        <v>27.3</v>
      </c>
      <c r="C46">
        <v>80.599999999999994</v>
      </c>
      <c r="E46">
        <v>225.94499999999999</v>
      </c>
      <c r="F46">
        <v>0</v>
      </c>
    </row>
    <row r="47" spans="1:6">
      <c r="A47">
        <v>230.964</v>
      </c>
      <c r="B47">
        <v>27.3</v>
      </c>
      <c r="C47">
        <v>80.5</v>
      </c>
      <c r="E47">
        <v>230.964</v>
      </c>
      <c r="F47">
        <v>0</v>
      </c>
    </row>
    <row r="48" spans="1:6">
      <c r="A48">
        <v>235.98099999999999</v>
      </c>
      <c r="B48">
        <v>27.3</v>
      </c>
      <c r="C48">
        <v>80.3</v>
      </c>
      <c r="E48">
        <v>235.98099999999999</v>
      </c>
      <c r="F48">
        <v>0</v>
      </c>
    </row>
    <row r="49" spans="1:6">
      <c r="A49">
        <v>259.02</v>
      </c>
      <c r="B49">
        <v>27.3</v>
      </c>
      <c r="C49">
        <v>80.099999999999994</v>
      </c>
      <c r="E49">
        <v>259.02</v>
      </c>
      <c r="F49">
        <v>0</v>
      </c>
    </row>
    <row r="50" spans="1:6">
      <c r="A50">
        <v>264.02</v>
      </c>
      <c r="B50">
        <v>27.3</v>
      </c>
      <c r="C50">
        <v>80.599999999999994</v>
      </c>
      <c r="E50">
        <v>264.02</v>
      </c>
      <c r="F50">
        <v>0</v>
      </c>
    </row>
    <row r="51" spans="1:6">
      <c r="A51">
        <v>269.02100000000002</v>
      </c>
      <c r="B51">
        <v>27.3</v>
      </c>
      <c r="C51">
        <v>80.8</v>
      </c>
      <c r="E51">
        <v>269.02100000000002</v>
      </c>
      <c r="F51">
        <v>0</v>
      </c>
    </row>
    <row r="52" spans="1:6">
      <c r="A52">
        <v>274.02100000000002</v>
      </c>
      <c r="B52">
        <v>27.3</v>
      </c>
      <c r="C52">
        <v>80.8</v>
      </c>
      <c r="E52">
        <v>274.02100000000002</v>
      </c>
      <c r="F52">
        <v>0</v>
      </c>
    </row>
    <row r="53" spans="1:6">
      <c r="A53">
        <v>279.02</v>
      </c>
      <c r="B53">
        <v>27.3</v>
      </c>
      <c r="C53">
        <v>80.900000000000006</v>
      </c>
      <c r="E53">
        <v>279.02</v>
      </c>
      <c r="F53">
        <v>0</v>
      </c>
    </row>
    <row r="54" spans="1:6">
      <c r="A54">
        <v>294.20999999999998</v>
      </c>
      <c r="B54">
        <v>27.3</v>
      </c>
      <c r="C54">
        <v>80.900000000000006</v>
      </c>
      <c r="E54">
        <v>294.20999999999998</v>
      </c>
      <c r="F54">
        <v>0</v>
      </c>
    </row>
    <row r="55" spans="1:6">
      <c r="A55">
        <v>302.13400000000001</v>
      </c>
      <c r="B55">
        <v>27.3</v>
      </c>
      <c r="C55">
        <v>81.3</v>
      </c>
      <c r="E55">
        <v>302.13400000000001</v>
      </c>
      <c r="F55">
        <v>0</v>
      </c>
    </row>
    <row r="56" spans="1:6">
      <c r="A56">
        <v>307.27699999999999</v>
      </c>
      <c r="B56">
        <v>27.3</v>
      </c>
      <c r="C56">
        <v>81.5</v>
      </c>
      <c r="E56">
        <v>307.27699999999999</v>
      </c>
      <c r="F56">
        <v>0</v>
      </c>
    </row>
    <row r="57" spans="1:6">
      <c r="A57">
        <v>312.29599999999999</v>
      </c>
      <c r="B57">
        <v>27.3</v>
      </c>
      <c r="C57">
        <v>81.3</v>
      </c>
      <c r="E57">
        <v>312.29599999999999</v>
      </c>
      <c r="F57">
        <v>0</v>
      </c>
    </row>
    <row r="58" spans="1:6">
      <c r="A58">
        <v>317.31599999999997</v>
      </c>
      <c r="B58">
        <v>27.3</v>
      </c>
      <c r="C58">
        <v>81.3</v>
      </c>
      <c r="E58">
        <v>317.31599999999997</v>
      </c>
      <c r="F58">
        <v>0</v>
      </c>
    </row>
    <row r="59" spans="1:6">
      <c r="A59">
        <v>322.33300000000003</v>
      </c>
      <c r="B59">
        <v>27.3</v>
      </c>
      <c r="C59">
        <v>81.3</v>
      </c>
      <c r="E59">
        <v>322.33300000000003</v>
      </c>
      <c r="F59">
        <v>0</v>
      </c>
    </row>
    <row r="60" spans="1:6">
      <c r="A60">
        <v>327.35300000000001</v>
      </c>
      <c r="B60">
        <v>27.3</v>
      </c>
      <c r="C60">
        <v>81.3</v>
      </c>
      <c r="E60">
        <v>327.35300000000001</v>
      </c>
      <c r="F60">
        <v>0</v>
      </c>
    </row>
    <row r="61" spans="1:6">
      <c r="A61">
        <v>332.37099999999998</v>
      </c>
      <c r="B61">
        <v>27.3</v>
      </c>
      <c r="C61">
        <v>81.3</v>
      </c>
      <c r="E61">
        <v>332.37099999999998</v>
      </c>
      <c r="F61">
        <v>0</v>
      </c>
    </row>
    <row r="62" spans="1:6">
      <c r="A62">
        <v>337.38900000000001</v>
      </c>
      <c r="B62">
        <v>27.3</v>
      </c>
      <c r="C62">
        <v>81.5</v>
      </c>
      <c r="E62">
        <v>337.38900000000001</v>
      </c>
      <c r="F62">
        <v>0</v>
      </c>
    </row>
    <row r="63" spans="1:6">
      <c r="A63">
        <v>348.72300000000001</v>
      </c>
      <c r="B63">
        <v>27.3</v>
      </c>
      <c r="C63">
        <v>81.5</v>
      </c>
      <c r="E63">
        <v>348.72300000000001</v>
      </c>
      <c r="F63">
        <v>0</v>
      </c>
    </row>
    <row r="64" spans="1:6">
      <c r="A64">
        <v>353.72199999999998</v>
      </c>
      <c r="B64">
        <v>27.2</v>
      </c>
      <c r="C64">
        <v>81.7</v>
      </c>
      <c r="E64">
        <v>353.72199999999998</v>
      </c>
      <c r="F64">
        <v>0</v>
      </c>
    </row>
    <row r="65" spans="1:6">
      <c r="A65">
        <v>358.721</v>
      </c>
      <c r="B65">
        <v>27.3</v>
      </c>
      <c r="C65">
        <v>81.3</v>
      </c>
      <c r="E65">
        <v>358.721</v>
      </c>
      <c r="F65">
        <v>0</v>
      </c>
    </row>
    <row r="66" spans="1:6">
      <c r="A66">
        <v>363.721</v>
      </c>
      <c r="B66">
        <v>27.3</v>
      </c>
      <c r="C66">
        <v>81.099999999999994</v>
      </c>
      <c r="E66">
        <v>363.721</v>
      </c>
      <c r="F66">
        <v>0</v>
      </c>
    </row>
    <row r="67" spans="1:6">
      <c r="A67">
        <v>368.721</v>
      </c>
      <c r="B67">
        <v>27.3</v>
      </c>
      <c r="C67">
        <v>81</v>
      </c>
      <c r="E67">
        <v>368.721</v>
      </c>
      <c r="F67">
        <v>0</v>
      </c>
    </row>
    <row r="68" spans="1:6">
      <c r="A68">
        <v>373.726</v>
      </c>
      <c r="B68">
        <v>27.3</v>
      </c>
      <c r="C68">
        <v>80.900000000000006</v>
      </c>
      <c r="E68">
        <v>373.726</v>
      </c>
      <c r="F68">
        <v>0</v>
      </c>
    </row>
    <row r="69" spans="1:6">
      <c r="A69">
        <v>378.745</v>
      </c>
      <c r="B69">
        <v>27.2</v>
      </c>
      <c r="C69">
        <v>80.900000000000006</v>
      </c>
      <c r="E69">
        <v>378.745</v>
      </c>
      <c r="F69">
        <v>0</v>
      </c>
    </row>
    <row r="70" spans="1:6">
      <c r="A70">
        <v>383.76299999999998</v>
      </c>
      <c r="B70">
        <v>27.3</v>
      </c>
      <c r="C70">
        <v>80.5</v>
      </c>
      <c r="E70">
        <v>383.76299999999998</v>
      </c>
      <c r="F70">
        <v>0</v>
      </c>
    </row>
    <row r="71" spans="1:6">
      <c r="A71">
        <v>388.78199999999998</v>
      </c>
      <c r="B71">
        <v>27.3</v>
      </c>
      <c r="C71">
        <v>80.400000000000006</v>
      </c>
      <c r="E71">
        <v>388.78199999999998</v>
      </c>
      <c r="F71">
        <v>0</v>
      </c>
    </row>
    <row r="72" spans="1:6">
      <c r="A72">
        <v>393.80099999999999</v>
      </c>
      <c r="B72">
        <v>27.3</v>
      </c>
      <c r="C72">
        <v>80.3</v>
      </c>
      <c r="E72">
        <v>393.80099999999999</v>
      </c>
      <c r="F72">
        <v>0</v>
      </c>
    </row>
    <row r="73" spans="1:6">
      <c r="A73">
        <v>398.82100000000003</v>
      </c>
      <c r="B73">
        <v>27.3</v>
      </c>
      <c r="C73">
        <v>80.3</v>
      </c>
      <c r="E73">
        <v>398.82100000000003</v>
      </c>
      <c r="F73">
        <v>0</v>
      </c>
    </row>
    <row r="74" spans="1:6">
      <c r="A74">
        <v>403.83800000000002</v>
      </c>
      <c r="B74">
        <v>27.3</v>
      </c>
      <c r="C74">
        <v>80.3</v>
      </c>
      <c r="E74">
        <v>403.83800000000002</v>
      </c>
      <c r="F74">
        <v>0</v>
      </c>
    </row>
    <row r="75" spans="1:6">
      <c r="A75">
        <v>408.85700000000003</v>
      </c>
      <c r="B75">
        <v>27.3</v>
      </c>
      <c r="C75">
        <v>80.5</v>
      </c>
      <c r="E75">
        <v>408.85700000000003</v>
      </c>
      <c r="F75">
        <v>0</v>
      </c>
    </row>
    <row r="76" spans="1:6">
      <c r="A76">
        <v>413.87700000000001</v>
      </c>
      <c r="B76">
        <v>27.3</v>
      </c>
      <c r="C76">
        <v>80.400000000000006</v>
      </c>
      <c r="E76">
        <v>413.87700000000001</v>
      </c>
      <c r="F76">
        <v>0</v>
      </c>
    </row>
    <row r="77" spans="1:6">
      <c r="A77">
        <v>418.89400000000001</v>
      </c>
      <c r="B77">
        <v>27.3</v>
      </c>
      <c r="C77">
        <v>80.3</v>
      </c>
      <c r="E77">
        <v>418.89400000000001</v>
      </c>
      <c r="F77">
        <v>0</v>
      </c>
    </row>
    <row r="78" spans="1:6">
      <c r="A78">
        <v>423.91300000000001</v>
      </c>
      <c r="B78">
        <v>27.2</v>
      </c>
      <c r="C78">
        <v>80.2</v>
      </c>
      <c r="E78">
        <v>423.91300000000001</v>
      </c>
      <c r="F78">
        <v>0</v>
      </c>
    </row>
    <row r="79" spans="1:6">
      <c r="A79">
        <v>428.93200000000002</v>
      </c>
      <c r="B79">
        <v>27.3</v>
      </c>
      <c r="C79">
        <v>80.099999999999994</v>
      </c>
      <c r="E79">
        <v>428.93200000000002</v>
      </c>
      <c r="F79">
        <v>0</v>
      </c>
    </row>
    <row r="80" spans="1:6">
      <c r="A80">
        <v>433.95100000000002</v>
      </c>
      <c r="B80">
        <v>27.3</v>
      </c>
      <c r="C80">
        <v>80.099999999999994</v>
      </c>
      <c r="E80">
        <v>433.95100000000002</v>
      </c>
      <c r="F80">
        <v>0</v>
      </c>
    </row>
    <row r="81" spans="1:6">
      <c r="A81">
        <v>438.96899999999999</v>
      </c>
      <c r="B81">
        <v>27.3</v>
      </c>
      <c r="C81">
        <v>80</v>
      </c>
      <c r="E81">
        <v>438.96899999999999</v>
      </c>
      <c r="F81">
        <v>0</v>
      </c>
    </row>
    <row r="82" spans="1:6">
      <c r="A82">
        <v>443.988</v>
      </c>
      <c r="B82">
        <v>27.3</v>
      </c>
      <c r="C82">
        <v>80</v>
      </c>
      <c r="E82">
        <v>443.988</v>
      </c>
      <c r="F82">
        <v>0</v>
      </c>
    </row>
    <row r="83" spans="1:6">
      <c r="A83">
        <v>449.00700000000001</v>
      </c>
      <c r="B83">
        <v>27.3</v>
      </c>
      <c r="C83">
        <v>80.099999999999994</v>
      </c>
      <c r="E83">
        <v>449.00700000000001</v>
      </c>
      <c r="F83">
        <v>0</v>
      </c>
    </row>
    <row r="84" spans="1:6">
      <c r="A84">
        <v>454.02499999999998</v>
      </c>
      <c r="B84">
        <v>27.3</v>
      </c>
      <c r="C84">
        <v>80.099999999999994</v>
      </c>
      <c r="E84">
        <v>454.02499999999998</v>
      </c>
      <c r="F84">
        <v>0</v>
      </c>
    </row>
    <row r="85" spans="1:6">
      <c r="A85">
        <v>466.339</v>
      </c>
      <c r="B85">
        <v>27.3</v>
      </c>
      <c r="C85">
        <v>80.3</v>
      </c>
      <c r="E85">
        <v>466.339</v>
      </c>
      <c r="F85">
        <v>0</v>
      </c>
    </row>
    <row r="86" spans="1:6">
      <c r="A86">
        <v>471.5</v>
      </c>
      <c r="B86">
        <v>27.3</v>
      </c>
      <c r="C86">
        <v>80.5</v>
      </c>
      <c r="E86">
        <v>471.5</v>
      </c>
      <c r="F86">
        <v>0</v>
      </c>
    </row>
    <row r="87" spans="1:6">
      <c r="A87">
        <v>476.51799999999997</v>
      </c>
      <c r="B87">
        <v>27.3</v>
      </c>
      <c r="C87">
        <v>80.5</v>
      </c>
      <c r="E87">
        <v>476.51799999999997</v>
      </c>
      <c r="F87">
        <v>0</v>
      </c>
    </row>
    <row r="88" spans="1:6">
      <c r="A88">
        <v>481.53800000000001</v>
      </c>
      <c r="B88">
        <v>27.2</v>
      </c>
      <c r="C88">
        <v>80.5</v>
      </c>
      <c r="E88">
        <v>481.53800000000001</v>
      </c>
      <c r="F88">
        <v>0</v>
      </c>
    </row>
    <row r="89" spans="1:6">
      <c r="A89">
        <v>486.55500000000001</v>
      </c>
      <c r="B89">
        <v>27.3</v>
      </c>
      <c r="C89">
        <v>80.5</v>
      </c>
      <c r="E89">
        <v>486.55500000000001</v>
      </c>
      <c r="F89">
        <v>0</v>
      </c>
    </row>
    <row r="90" spans="1:6">
      <c r="A90">
        <v>492.33100000000002</v>
      </c>
      <c r="B90">
        <v>27.3</v>
      </c>
      <c r="C90">
        <v>80.7</v>
      </c>
      <c r="E90">
        <v>492.33100000000002</v>
      </c>
      <c r="F90">
        <v>0</v>
      </c>
    </row>
    <row r="91" spans="1:6">
      <c r="A91">
        <v>497.33</v>
      </c>
      <c r="B91">
        <v>27.3</v>
      </c>
      <c r="C91">
        <v>80.8</v>
      </c>
      <c r="E91">
        <v>497.33</v>
      </c>
      <c r="F91">
        <v>0</v>
      </c>
    </row>
    <row r="92" spans="1:6">
      <c r="A92">
        <v>502.94200000000001</v>
      </c>
      <c r="B92">
        <v>27.3</v>
      </c>
      <c r="C92">
        <v>80.8</v>
      </c>
      <c r="E92">
        <v>502.94200000000001</v>
      </c>
      <c r="F92">
        <v>0</v>
      </c>
    </row>
    <row r="93" spans="1:6">
      <c r="A93">
        <v>508.11599999999999</v>
      </c>
      <c r="B93">
        <v>27.3</v>
      </c>
      <c r="C93">
        <v>80.8</v>
      </c>
      <c r="E93">
        <v>508.11599999999999</v>
      </c>
      <c r="F93">
        <v>0</v>
      </c>
    </row>
    <row r="94" spans="1:6">
      <c r="A94">
        <v>513.13400000000001</v>
      </c>
      <c r="B94">
        <v>27.3</v>
      </c>
      <c r="C94">
        <v>80.8</v>
      </c>
      <c r="E94">
        <v>513.13400000000001</v>
      </c>
      <c r="F94">
        <v>0</v>
      </c>
    </row>
    <row r="95" spans="1:6">
      <c r="A95">
        <v>518.154</v>
      </c>
      <c r="B95">
        <v>27.3</v>
      </c>
      <c r="C95">
        <v>80.900000000000006</v>
      </c>
      <c r="E95">
        <v>518.154</v>
      </c>
      <c r="F95">
        <v>0</v>
      </c>
    </row>
    <row r="96" spans="1:6">
      <c r="A96">
        <v>523.17100000000005</v>
      </c>
      <c r="B96">
        <v>27.3</v>
      </c>
      <c r="C96">
        <v>81</v>
      </c>
      <c r="E96">
        <v>523.17100000000005</v>
      </c>
      <c r="F96">
        <v>0</v>
      </c>
    </row>
    <row r="97" spans="1:6">
      <c r="A97">
        <v>528.19000000000005</v>
      </c>
      <c r="B97">
        <v>27.3</v>
      </c>
      <c r="C97">
        <v>81</v>
      </c>
      <c r="E97">
        <v>528.19000000000005</v>
      </c>
      <c r="F97">
        <v>0</v>
      </c>
    </row>
    <row r="98" spans="1:6">
      <c r="A98">
        <v>533.20899999999995</v>
      </c>
      <c r="B98">
        <v>27.3</v>
      </c>
      <c r="C98">
        <v>81.099999999999994</v>
      </c>
      <c r="E98">
        <v>533.20899999999995</v>
      </c>
      <c r="F98">
        <v>0</v>
      </c>
    </row>
    <row r="99" spans="1:6">
      <c r="A99">
        <v>538.226</v>
      </c>
      <c r="B99">
        <v>27.3</v>
      </c>
      <c r="C99">
        <v>81</v>
      </c>
      <c r="E99">
        <v>538.226</v>
      </c>
      <c r="F99">
        <v>0</v>
      </c>
    </row>
    <row r="100" spans="1:6">
      <c r="A100">
        <v>543.245</v>
      </c>
      <c r="B100">
        <v>27.3</v>
      </c>
      <c r="C100">
        <v>81</v>
      </c>
      <c r="E100">
        <v>543.245</v>
      </c>
      <c r="F100">
        <v>0</v>
      </c>
    </row>
    <row r="101" spans="1:6">
      <c r="A101">
        <v>548.26400000000001</v>
      </c>
      <c r="B101">
        <v>27.3</v>
      </c>
      <c r="C101">
        <v>81</v>
      </c>
      <c r="E101">
        <v>548.26400000000001</v>
      </c>
      <c r="F101">
        <v>0</v>
      </c>
    </row>
    <row r="102" spans="1:6">
      <c r="A102">
        <v>564.67100000000005</v>
      </c>
      <c r="B102">
        <v>27.3</v>
      </c>
      <c r="C102">
        <v>81.099999999999994</v>
      </c>
      <c r="E102">
        <v>564.67100000000005</v>
      </c>
      <c r="F102">
        <v>0</v>
      </c>
    </row>
    <row r="103" spans="1:6">
      <c r="A103">
        <v>569.83000000000004</v>
      </c>
      <c r="B103">
        <v>27.3</v>
      </c>
      <c r="C103">
        <v>81.3</v>
      </c>
      <c r="E103">
        <v>569.83000000000004</v>
      </c>
      <c r="F103">
        <v>0</v>
      </c>
    </row>
    <row r="104" spans="1:6">
      <c r="A104">
        <v>574.84900000000005</v>
      </c>
      <c r="B104">
        <v>27.3</v>
      </c>
      <c r="C104">
        <v>81.3</v>
      </c>
      <c r="E104">
        <v>574.84900000000005</v>
      </c>
      <c r="F104">
        <v>0</v>
      </c>
    </row>
    <row r="105" spans="1:6">
      <c r="A105">
        <v>579.86699999999996</v>
      </c>
      <c r="B105">
        <v>27.3</v>
      </c>
      <c r="C105">
        <v>81</v>
      </c>
      <c r="E105">
        <v>579.86699999999996</v>
      </c>
      <c r="F105">
        <v>0</v>
      </c>
    </row>
    <row r="106" spans="1:6">
      <c r="A106">
        <v>584.88599999999997</v>
      </c>
      <c r="B106">
        <v>27.3</v>
      </c>
      <c r="C106">
        <v>81</v>
      </c>
      <c r="E106">
        <v>584.88599999999997</v>
      </c>
      <c r="F106">
        <v>0</v>
      </c>
    </row>
    <row r="107" spans="1:6">
      <c r="A107">
        <v>589.90300000000002</v>
      </c>
      <c r="B107">
        <v>27.3</v>
      </c>
      <c r="C107">
        <v>81</v>
      </c>
      <c r="E107">
        <v>589.90300000000002</v>
      </c>
      <c r="F107">
        <v>0</v>
      </c>
    </row>
    <row r="108" spans="1:6">
      <c r="A108">
        <v>594.92100000000005</v>
      </c>
      <c r="B108">
        <v>27.3</v>
      </c>
      <c r="C108">
        <v>81.099999999999994</v>
      </c>
      <c r="E108">
        <v>594.92100000000005</v>
      </c>
      <c r="F108">
        <v>0</v>
      </c>
    </row>
    <row r="109" spans="1:6">
      <c r="A109">
        <v>599.94100000000003</v>
      </c>
      <c r="B109">
        <v>27.3</v>
      </c>
      <c r="C109">
        <v>81.099999999999994</v>
      </c>
      <c r="E109">
        <v>599.94100000000003</v>
      </c>
      <c r="F109">
        <v>0</v>
      </c>
    </row>
    <row r="110" spans="1:6">
      <c r="A110">
        <v>604.95799999999997</v>
      </c>
      <c r="B110">
        <v>27.3</v>
      </c>
      <c r="C110">
        <v>81.099999999999994</v>
      </c>
      <c r="E110">
        <v>604.95799999999997</v>
      </c>
      <c r="F110">
        <v>0</v>
      </c>
    </row>
    <row r="111" spans="1:6">
      <c r="A111">
        <v>609.97799999999995</v>
      </c>
      <c r="B111">
        <v>27.3</v>
      </c>
      <c r="C111">
        <v>81.3</v>
      </c>
      <c r="E111">
        <v>609.97799999999995</v>
      </c>
      <c r="F111">
        <v>0</v>
      </c>
    </row>
    <row r="112" spans="1:6">
      <c r="A112">
        <v>614.995</v>
      </c>
      <c r="B112">
        <v>27.3</v>
      </c>
      <c r="C112">
        <v>81.099999999999994</v>
      </c>
      <c r="E112">
        <v>614.995</v>
      </c>
      <c r="F112">
        <v>0</v>
      </c>
    </row>
    <row r="113" spans="1:6">
      <c r="A113">
        <v>620.01499999999999</v>
      </c>
      <c r="B113">
        <v>27.3</v>
      </c>
      <c r="C113">
        <v>81</v>
      </c>
      <c r="E113">
        <v>620.01499999999999</v>
      </c>
      <c r="F113">
        <v>0</v>
      </c>
    </row>
    <row r="114" spans="1:6">
      <c r="A114">
        <v>625.03300000000002</v>
      </c>
      <c r="B114">
        <v>27.3</v>
      </c>
      <c r="C114">
        <v>81</v>
      </c>
      <c r="E114">
        <v>625.03300000000002</v>
      </c>
      <c r="F114">
        <v>0</v>
      </c>
    </row>
    <row r="115" spans="1:6">
      <c r="A115">
        <v>630.04999999999995</v>
      </c>
      <c r="B115">
        <v>27.3</v>
      </c>
      <c r="C115">
        <v>81.099999999999994</v>
      </c>
      <c r="E115">
        <v>630.04999999999995</v>
      </c>
      <c r="F115">
        <v>0</v>
      </c>
    </row>
    <row r="116" spans="1:6">
      <c r="A116">
        <v>635.07000000000005</v>
      </c>
      <c r="B116">
        <v>27.4</v>
      </c>
      <c r="C116">
        <v>81.3</v>
      </c>
      <c r="E116">
        <v>635.07000000000005</v>
      </c>
      <c r="F116">
        <v>0</v>
      </c>
    </row>
    <row r="117" spans="1:6">
      <c r="A117">
        <v>640.08799999999997</v>
      </c>
      <c r="B117">
        <v>27.3</v>
      </c>
      <c r="C117">
        <v>81.3</v>
      </c>
      <c r="E117">
        <v>640.08799999999997</v>
      </c>
      <c r="F117">
        <v>0</v>
      </c>
    </row>
    <row r="118" spans="1:6">
      <c r="A118">
        <v>645.10500000000002</v>
      </c>
      <c r="B118">
        <v>27.4</v>
      </c>
      <c r="C118">
        <v>81.3</v>
      </c>
      <c r="E118">
        <v>645.10500000000002</v>
      </c>
      <c r="F118">
        <v>0</v>
      </c>
    </row>
    <row r="119" spans="1:6">
      <c r="A119">
        <v>650.12400000000002</v>
      </c>
      <c r="B119">
        <v>27.3</v>
      </c>
      <c r="C119">
        <v>81.3</v>
      </c>
      <c r="E119">
        <v>650.12400000000002</v>
      </c>
      <c r="F119">
        <v>0</v>
      </c>
    </row>
    <row r="120" spans="1:6">
      <c r="A120">
        <v>655.14099999999996</v>
      </c>
      <c r="B120">
        <v>27.4</v>
      </c>
      <c r="C120">
        <v>81</v>
      </c>
      <c r="E120">
        <v>655.14099999999996</v>
      </c>
      <c r="F120">
        <v>0</v>
      </c>
    </row>
    <row r="121" spans="1:6">
      <c r="A121">
        <v>660.16099999999994</v>
      </c>
      <c r="B121">
        <v>27.4</v>
      </c>
      <c r="C121">
        <v>81.099999999999994</v>
      </c>
      <c r="E121">
        <v>660.16099999999994</v>
      </c>
      <c r="F121">
        <v>0</v>
      </c>
    </row>
    <row r="122" spans="1:6">
      <c r="A122">
        <v>665.18</v>
      </c>
      <c r="B122">
        <v>27.3</v>
      </c>
      <c r="C122">
        <v>81</v>
      </c>
      <c r="E122">
        <v>665.18</v>
      </c>
      <c r="F122">
        <v>0</v>
      </c>
    </row>
    <row r="123" spans="1:6">
      <c r="A123">
        <v>670.19600000000003</v>
      </c>
      <c r="B123">
        <v>27.4</v>
      </c>
      <c r="C123">
        <v>81</v>
      </c>
      <c r="E123">
        <v>670.19600000000003</v>
      </c>
      <c r="F123">
        <v>0</v>
      </c>
    </row>
    <row r="124" spans="1:6">
      <c r="A124">
        <v>675.21400000000006</v>
      </c>
      <c r="B124">
        <v>27.3</v>
      </c>
      <c r="C124">
        <v>81</v>
      </c>
      <c r="E124">
        <v>675.21400000000006</v>
      </c>
      <c r="F124">
        <v>0</v>
      </c>
    </row>
    <row r="125" spans="1:6">
      <c r="A125">
        <v>680.23099999999999</v>
      </c>
      <c r="B125">
        <v>27.4</v>
      </c>
      <c r="C125">
        <v>80.900000000000006</v>
      </c>
      <c r="E125">
        <v>680.23099999999999</v>
      </c>
      <c r="F125">
        <v>0</v>
      </c>
    </row>
    <row r="126" spans="1:6">
      <c r="A126">
        <v>685.24900000000002</v>
      </c>
      <c r="B126">
        <v>27.4</v>
      </c>
      <c r="C126">
        <v>80.900000000000006</v>
      </c>
      <c r="E126">
        <v>685.24900000000002</v>
      </c>
      <c r="F126">
        <v>0</v>
      </c>
    </row>
    <row r="127" spans="1:6">
      <c r="A127">
        <v>690.26800000000003</v>
      </c>
      <c r="B127">
        <v>27.4</v>
      </c>
      <c r="C127">
        <v>80.8</v>
      </c>
      <c r="E127">
        <v>690.26800000000003</v>
      </c>
      <c r="F127">
        <v>0</v>
      </c>
    </row>
    <row r="128" spans="1:6">
      <c r="A128">
        <v>695.28599999999994</v>
      </c>
      <c r="B128">
        <v>27.4</v>
      </c>
      <c r="C128">
        <v>80.900000000000006</v>
      </c>
      <c r="E128">
        <v>695.28599999999994</v>
      </c>
      <c r="F128">
        <v>0</v>
      </c>
    </row>
    <row r="129" spans="1:6">
      <c r="A129">
        <v>700.303</v>
      </c>
      <c r="B129">
        <v>27.4</v>
      </c>
      <c r="C129">
        <v>80.8</v>
      </c>
      <c r="E129">
        <v>700.303</v>
      </c>
      <c r="F129">
        <v>0</v>
      </c>
    </row>
    <row r="130" spans="1:6">
      <c r="A130">
        <v>705.32</v>
      </c>
      <c r="B130">
        <v>27.4</v>
      </c>
      <c r="C130">
        <v>80.8</v>
      </c>
      <c r="E130">
        <v>705.32</v>
      </c>
      <c r="F130">
        <v>0</v>
      </c>
    </row>
    <row r="131" spans="1:6">
      <c r="A131">
        <v>710.33799999999997</v>
      </c>
      <c r="B131">
        <v>27.4</v>
      </c>
      <c r="C131">
        <v>80.5</v>
      </c>
      <c r="E131">
        <v>710.33799999999997</v>
      </c>
      <c r="F131">
        <v>0</v>
      </c>
    </row>
    <row r="132" spans="1:6">
      <c r="A132">
        <v>715.35699999999997</v>
      </c>
      <c r="B132">
        <v>27.4</v>
      </c>
      <c r="C132">
        <v>80.599999999999994</v>
      </c>
      <c r="E132">
        <v>715.35699999999997</v>
      </c>
      <c r="F132">
        <v>0</v>
      </c>
    </row>
    <row r="133" spans="1:6">
      <c r="A133">
        <v>720.37300000000005</v>
      </c>
      <c r="B133">
        <v>27.4</v>
      </c>
      <c r="C133">
        <v>80.5</v>
      </c>
      <c r="E133">
        <v>720.37300000000005</v>
      </c>
      <c r="F133">
        <v>0</v>
      </c>
    </row>
    <row r="134" spans="1:6">
      <c r="A134">
        <v>725.39200000000005</v>
      </c>
      <c r="B134">
        <v>27.4</v>
      </c>
      <c r="C134">
        <v>80.7</v>
      </c>
      <c r="E134">
        <v>725.39200000000005</v>
      </c>
      <c r="F134">
        <v>0</v>
      </c>
    </row>
    <row r="135" spans="1:6">
      <c r="A135">
        <v>730.40800000000002</v>
      </c>
      <c r="B135">
        <v>27.4</v>
      </c>
      <c r="C135">
        <v>80.599999999999994</v>
      </c>
      <c r="E135">
        <v>730.40800000000002</v>
      </c>
      <c r="F135">
        <v>0</v>
      </c>
    </row>
    <row r="136" spans="1:6">
      <c r="A136">
        <v>735.42700000000002</v>
      </c>
      <c r="B136">
        <v>27.4</v>
      </c>
      <c r="C136">
        <v>80.5</v>
      </c>
      <c r="E136">
        <v>735.42700000000002</v>
      </c>
      <c r="F136">
        <v>0</v>
      </c>
    </row>
    <row r="137" spans="1:6">
      <c r="A137">
        <v>740.44399999999996</v>
      </c>
      <c r="B137">
        <v>27.4</v>
      </c>
      <c r="C137">
        <v>80.599999999999994</v>
      </c>
      <c r="E137">
        <v>740.44399999999996</v>
      </c>
      <c r="F137">
        <v>0</v>
      </c>
    </row>
    <row r="138" spans="1:6">
      <c r="A138">
        <v>745.46100000000001</v>
      </c>
      <c r="B138">
        <v>27.4</v>
      </c>
      <c r="C138">
        <v>80.8</v>
      </c>
      <c r="E138">
        <v>745.46100000000001</v>
      </c>
      <c r="F138">
        <v>0</v>
      </c>
    </row>
    <row r="139" spans="1:6">
      <c r="A139">
        <v>750.47799999999995</v>
      </c>
      <c r="B139">
        <v>27.4</v>
      </c>
      <c r="C139">
        <v>80.8</v>
      </c>
      <c r="E139">
        <v>750.47799999999995</v>
      </c>
      <c r="F139">
        <v>0</v>
      </c>
    </row>
    <row r="140" spans="1:6">
      <c r="A140">
        <v>755.49400000000003</v>
      </c>
      <c r="B140">
        <v>27.4</v>
      </c>
      <c r="C140">
        <v>81</v>
      </c>
      <c r="E140">
        <v>755.49400000000003</v>
      </c>
      <c r="F140">
        <v>0</v>
      </c>
    </row>
    <row r="141" spans="1:6">
      <c r="A141">
        <v>760.51300000000003</v>
      </c>
      <c r="B141">
        <v>27.4</v>
      </c>
      <c r="C141">
        <v>81</v>
      </c>
      <c r="E141">
        <v>760.51300000000003</v>
      </c>
      <c r="F141">
        <v>0</v>
      </c>
    </row>
    <row r="142" spans="1:6">
      <c r="A142">
        <v>765.53</v>
      </c>
      <c r="B142">
        <v>27.4</v>
      </c>
      <c r="C142">
        <v>81</v>
      </c>
      <c r="E142">
        <v>765.53</v>
      </c>
      <c r="F142">
        <v>0</v>
      </c>
    </row>
    <row r="143" spans="1:6">
      <c r="A143">
        <v>770.548</v>
      </c>
      <c r="B143">
        <v>27.4</v>
      </c>
      <c r="C143">
        <v>81</v>
      </c>
      <c r="E143">
        <v>770.548</v>
      </c>
      <c r="F143">
        <v>0</v>
      </c>
    </row>
    <row r="144" spans="1:6">
      <c r="A144">
        <v>775.56500000000005</v>
      </c>
      <c r="B144">
        <v>27.4</v>
      </c>
      <c r="C144">
        <v>81</v>
      </c>
      <c r="E144">
        <v>775.56500000000005</v>
      </c>
      <c r="F144">
        <v>0</v>
      </c>
    </row>
    <row r="145" spans="1:6">
      <c r="A145">
        <v>780.58100000000002</v>
      </c>
      <c r="B145">
        <v>27.4</v>
      </c>
      <c r="C145">
        <v>81</v>
      </c>
      <c r="E145">
        <v>780.58100000000002</v>
      </c>
      <c r="F145">
        <v>0</v>
      </c>
    </row>
    <row r="146" spans="1:6">
      <c r="A146">
        <v>785.6</v>
      </c>
      <c r="B146">
        <v>27.4</v>
      </c>
      <c r="C146">
        <v>81</v>
      </c>
      <c r="E146">
        <v>785.6</v>
      </c>
      <c r="F146">
        <v>0</v>
      </c>
    </row>
    <row r="147" spans="1:6">
      <c r="A147">
        <v>790.61699999999996</v>
      </c>
      <c r="B147">
        <v>27.4</v>
      </c>
      <c r="C147">
        <v>81</v>
      </c>
      <c r="E147">
        <v>790.61699999999996</v>
      </c>
      <c r="F147">
        <v>0</v>
      </c>
    </row>
    <row r="148" spans="1:6">
      <c r="A148">
        <v>795.63499999999999</v>
      </c>
      <c r="B148">
        <v>27.4</v>
      </c>
      <c r="C148">
        <v>81.099999999999994</v>
      </c>
      <c r="E148">
        <v>795.63499999999999</v>
      </c>
      <c r="F148">
        <v>0</v>
      </c>
    </row>
    <row r="149" spans="1:6">
      <c r="A149">
        <v>800.65200000000004</v>
      </c>
      <c r="B149">
        <v>27.4</v>
      </c>
      <c r="C149">
        <v>81.099999999999994</v>
      </c>
      <c r="E149">
        <v>800.65200000000004</v>
      </c>
      <c r="F149">
        <v>0</v>
      </c>
    </row>
    <row r="150" spans="1:6">
      <c r="A150">
        <v>805.66800000000001</v>
      </c>
      <c r="B150">
        <v>27.4</v>
      </c>
      <c r="C150">
        <v>81</v>
      </c>
      <c r="E150">
        <v>805.66800000000001</v>
      </c>
      <c r="F150">
        <v>0</v>
      </c>
    </row>
    <row r="151" spans="1:6">
      <c r="A151">
        <v>810.68700000000001</v>
      </c>
      <c r="B151">
        <v>27.4</v>
      </c>
      <c r="C151">
        <v>81</v>
      </c>
      <c r="E151">
        <v>810.68700000000001</v>
      </c>
      <c r="F151">
        <v>0</v>
      </c>
    </row>
    <row r="152" spans="1:6">
      <c r="A152">
        <v>815.70399999999995</v>
      </c>
      <c r="B152">
        <v>27.5</v>
      </c>
      <c r="C152">
        <v>81.900000000000006</v>
      </c>
      <c r="E152">
        <v>815.70399999999995</v>
      </c>
      <c r="F152">
        <v>0</v>
      </c>
    </row>
    <row r="153" spans="1:6">
      <c r="A153">
        <v>820.72</v>
      </c>
      <c r="B153">
        <v>27.7</v>
      </c>
      <c r="C153">
        <v>83</v>
      </c>
      <c r="E153">
        <v>820.72</v>
      </c>
      <c r="F153">
        <v>0</v>
      </c>
    </row>
    <row r="154" spans="1:6">
      <c r="A154">
        <v>825.79499999999996</v>
      </c>
      <c r="B154">
        <v>28.1</v>
      </c>
      <c r="C154">
        <v>84.3</v>
      </c>
      <c r="E154">
        <v>825.79499999999996</v>
      </c>
      <c r="F154">
        <v>0</v>
      </c>
    </row>
    <row r="155" spans="1:6">
      <c r="A155">
        <v>830.75199999999995</v>
      </c>
      <c r="B155">
        <v>28.6</v>
      </c>
      <c r="C155">
        <v>83.8</v>
      </c>
      <c r="E155">
        <v>830.75199999999995</v>
      </c>
      <c r="F155">
        <v>0</v>
      </c>
    </row>
    <row r="156" spans="1:6">
      <c r="A156">
        <v>835.76300000000003</v>
      </c>
      <c r="B156">
        <v>29</v>
      </c>
      <c r="C156">
        <v>72.2</v>
      </c>
      <c r="E156">
        <v>835.76300000000003</v>
      </c>
      <c r="F156">
        <v>0.6978700000000001</v>
      </c>
    </row>
    <row r="157" spans="1:6">
      <c r="A157">
        <v>841.18299999999999</v>
      </c>
      <c r="B157">
        <v>29.1</v>
      </c>
      <c r="C157">
        <v>71.3</v>
      </c>
      <c r="E157">
        <v>841.18299999999999</v>
      </c>
      <c r="F157">
        <v>0.67227000000000003</v>
      </c>
    </row>
    <row r="158" spans="1:6">
      <c r="A158">
        <v>846.61500000000001</v>
      </c>
      <c r="B158">
        <v>29.1</v>
      </c>
      <c r="C158">
        <v>71.3</v>
      </c>
      <c r="E158">
        <v>846.61500000000001</v>
      </c>
      <c r="F158">
        <v>0.71492999999999995</v>
      </c>
    </row>
    <row r="159" spans="1:6">
      <c r="A159">
        <v>851.61500000000001</v>
      </c>
      <c r="B159">
        <v>29.1</v>
      </c>
      <c r="C159">
        <v>71.3</v>
      </c>
      <c r="E159">
        <v>851.61500000000001</v>
      </c>
      <c r="F159">
        <v>0.66052999999999995</v>
      </c>
    </row>
    <row r="160" spans="1:6">
      <c r="A160">
        <v>856.58500000000004</v>
      </c>
      <c r="B160">
        <v>29.1</v>
      </c>
      <c r="C160">
        <v>69.900000000000006</v>
      </c>
      <c r="E160">
        <v>856.58500000000004</v>
      </c>
      <c r="F160">
        <v>0.65733000000000008</v>
      </c>
    </row>
    <row r="161" spans="1:6">
      <c r="A161">
        <v>861.61699999999996</v>
      </c>
      <c r="B161">
        <v>29.1</v>
      </c>
      <c r="C161">
        <v>69.900000000000006</v>
      </c>
      <c r="E161">
        <v>861.61699999999996</v>
      </c>
      <c r="F161">
        <v>0.65332999999999997</v>
      </c>
    </row>
    <row r="162" spans="1:6">
      <c r="A162">
        <v>866.58399999999995</v>
      </c>
      <c r="B162">
        <v>29</v>
      </c>
      <c r="C162">
        <v>69.099999999999994</v>
      </c>
      <c r="E162">
        <v>866.58399999999995</v>
      </c>
      <c r="F162">
        <v>0.63227</v>
      </c>
    </row>
    <row r="163" spans="1:6">
      <c r="A163">
        <v>871.61599999999999</v>
      </c>
      <c r="B163">
        <v>29</v>
      </c>
      <c r="C163">
        <v>69.099999999999994</v>
      </c>
      <c r="E163">
        <v>871.61599999999999</v>
      </c>
      <c r="F163">
        <v>0.66933000000000009</v>
      </c>
    </row>
    <row r="164" spans="1:6">
      <c r="A164">
        <v>876.58399999999995</v>
      </c>
      <c r="B164">
        <v>28.8</v>
      </c>
      <c r="C164">
        <v>68.7</v>
      </c>
      <c r="E164">
        <v>876.58399999999995</v>
      </c>
      <c r="F164">
        <v>0.72026999999999997</v>
      </c>
    </row>
    <row r="165" spans="1:6">
      <c r="A165">
        <v>881.61599999999999</v>
      </c>
      <c r="B165">
        <v>28.8</v>
      </c>
      <c r="C165">
        <v>68.7</v>
      </c>
      <c r="E165">
        <v>881.61599999999999</v>
      </c>
      <c r="F165">
        <v>0.74239999999999995</v>
      </c>
    </row>
    <row r="166" spans="1:6">
      <c r="A166">
        <v>886.61599999999999</v>
      </c>
      <c r="B166">
        <v>28.8</v>
      </c>
      <c r="C166">
        <v>68.7</v>
      </c>
      <c r="E166">
        <v>886.61599999999999</v>
      </c>
      <c r="F166">
        <v>0.73466999999999993</v>
      </c>
    </row>
    <row r="167" spans="1:6">
      <c r="A167">
        <v>891.63300000000004</v>
      </c>
      <c r="B167">
        <v>28.8</v>
      </c>
      <c r="C167">
        <v>68.7</v>
      </c>
      <c r="E167">
        <v>891.63300000000004</v>
      </c>
      <c r="F167">
        <v>0.69200000000000006</v>
      </c>
    </row>
    <row r="168" spans="1:6">
      <c r="A168">
        <v>896.63300000000004</v>
      </c>
      <c r="B168">
        <v>28.8</v>
      </c>
      <c r="C168">
        <v>68.7</v>
      </c>
      <c r="E168">
        <v>896.63300000000004</v>
      </c>
      <c r="F168">
        <v>0.73199999999999998</v>
      </c>
    </row>
    <row r="169" spans="1:6">
      <c r="A169">
        <v>901.63400000000001</v>
      </c>
      <c r="B169">
        <v>28.8</v>
      </c>
      <c r="C169">
        <v>68.7</v>
      </c>
      <c r="E169">
        <v>901.63400000000001</v>
      </c>
      <c r="F169">
        <v>0.96747000000000005</v>
      </c>
    </row>
    <row r="170" spans="1:6">
      <c r="A170">
        <v>906.63300000000004</v>
      </c>
      <c r="B170">
        <v>28.8</v>
      </c>
      <c r="C170">
        <v>68.7</v>
      </c>
      <c r="E170">
        <v>906.63300000000004</v>
      </c>
      <c r="F170">
        <v>2.6135999999999999</v>
      </c>
    </row>
    <row r="171" spans="1:6">
      <c r="A171">
        <v>911.61900000000003</v>
      </c>
      <c r="B171">
        <v>28.4</v>
      </c>
      <c r="C171">
        <v>69</v>
      </c>
      <c r="E171">
        <v>911.61900000000003</v>
      </c>
      <c r="F171">
        <v>3.9472000000000005</v>
      </c>
    </row>
    <row r="172" spans="1:6">
      <c r="A172">
        <v>916.601</v>
      </c>
      <c r="B172">
        <v>28.4</v>
      </c>
      <c r="C172">
        <v>70.900000000000006</v>
      </c>
      <c r="E172">
        <v>916.601</v>
      </c>
      <c r="F172">
        <v>0.187</v>
      </c>
    </row>
    <row r="173" spans="1:6">
      <c r="A173">
        <v>921.61699999999996</v>
      </c>
      <c r="B173">
        <v>28.4</v>
      </c>
      <c r="C173">
        <v>75.099999999999994</v>
      </c>
      <c r="E173">
        <v>921.61699999999996</v>
      </c>
      <c r="F173">
        <v>0</v>
      </c>
    </row>
    <row r="174" spans="1:6">
      <c r="A174">
        <v>926.60199999999998</v>
      </c>
      <c r="B174">
        <v>28.4</v>
      </c>
      <c r="C174">
        <v>75.3</v>
      </c>
      <c r="E174">
        <v>926.60199999999998</v>
      </c>
      <c r="F174">
        <v>0</v>
      </c>
    </row>
    <row r="175" spans="1:6">
      <c r="A175">
        <v>931.61800000000005</v>
      </c>
      <c r="B175">
        <v>28.4</v>
      </c>
      <c r="C175">
        <v>76.3</v>
      </c>
      <c r="E175">
        <v>931.61800000000005</v>
      </c>
      <c r="F175">
        <v>0</v>
      </c>
    </row>
    <row r="176" spans="1:6">
      <c r="A176">
        <v>936.60299999999995</v>
      </c>
      <c r="B176">
        <v>28.3</v>
      </c>
      <c r="C176">
        <v>76.599999999999994</v>
      </c>
      <c r="E176">
        <v>936.60299999999995</v>
      </c>
      <c r="F176">
        <v>0</v>
      </c>
    </row>
    <row r="177" spans="1:6">
      <c r="A177">
        <v>941.60199999999998</v>
      </c>
      <c r="B177">
        <v>28.2</v>
      </c>
      <c r="C177">
        <v>70.400000000000006</v>
      </c>
      <c r="E177">
        <v>941.60199999999998</v>
      </c>
      <c r="F177">
        <v>1.6991999999999998</v>
      </c>
    </row>
    <row r="178" spans="1:6">
      <c r="A178">
        <v>946.60299999999995</v>
      </c>
      <c r="B178">
        <v>28.2</v>
      </c>
      <c r="C178">
        <v>70</v>
      </c>
      <c r="E178">
        <v>946.60299999999995</v>
      </c>
      <c r="F178">
        <v>4.9629300000000001</v>
      </c>
    </row>
    <row r="179" spans="1:6">
      <c r="A179">
        <v>951.60299999999995</v>
      </c>
      <c r="B179">
        <v>28.1</v>
      </c>
      <c r="C179">
        <v>70.3</v>
      </c>
      <c r="E179">
        <v>951.60299999999995</v>
      </c>
      <c r="F179">
        <v>2.7834699999999999</v>
      </c>
    </row>
    <row r="180" spans="1:6">
      <c r="A180">
        <v>956.60299999999995</v>
      </c>
      <c r="B180">
        <v>28.1</v>
      </c>
      <c r="C180">
        <v>70</v>
      </c>
      <c r="E180">
        <v>956.60299999999995</v>
      </c>
      <c r="F180">
        <v>1.8738699999999999</v>
      </c>
    </row>
    <row r="181" spans="1:6">
      <c r="A181">
        <v>962.18399999999997</v>
      </c>
      <c r="B181">
        <v>28</v>
      </c>
      <c r="C181">
        <v>70</v>
      </c>
      <c r="E181">
        <v>962.18399999999997</v>
      </c>
      <c r="F181">
        <v>1.5773300000000001</v>
      </c>
    </row>
    <row r="182" spans="1:6">
      <c r="A182">
        <v>967.35799999999995</v>
      </c>
      <c r="B182">
        <v>28</v>
      </c>
      <c r="C182">
        <v>70</v>
      </c>
      <c r="E182">
        <v>967.35799999999995</v>
      </c>
      <c r="F182">
        <v>1.1237300000000001</v>
      </c>
    </row>
    <row r="183" spans="1:6">
      <c r="A183">
        <v>972.32500000000005</v>
      </c>
      <c r="B183">
        <v>27.9</v>
      </c>
      <c r="C183">
        <v>70.099999999999994</v>
      </c>
      <c r="E183">
        <v>972.32500000000005</v>
      </c>
      <c r="F183">
        <v>1.0512000000000001</v>
      </c>
    </row>
    <row r="184" spans="1:6">
      <c r="A184">
        <v>977.32600000000002</v>
      </c>
      <c r="B184">
        <v>27.9</v>
      </c>
      <c r="C184">
        <v>70.099999999999994</v>
      </c>
      <c r="E184">
        <v>977.32600000000002</v>
      </c>
      <c r="F184">
        <v>1.0087999999999999</v>
      </c>
    </row>
    <row r="185" spans="1:6">
      <c r="A185">
        <v>982.32600000000002</v>
      </c>
      <c r="B185">
        <v>27.8</v>
      </c>
      <c r="C185">
        <v>70.2</v>
      </c>
      <c r="E185">
        <v>982.32600000000002</v>
      </c>
      <c r="F185">
        <v>0.97040000000000004</v>
      </c>
    </row>
    <row r="186" spans="1:6">
      <c r="A186">
        <v>987.32600000000002</v>
      </c>
      <c r="B186">
        <v>27.8</v>
      </c>
      <c r="C186">
        <v>70.400000000000006</v>
      </c>
      <c r="E186">
        <v>987.32600000000002</v>
      </c>
      <c r="F186">
        <v>0.9</v>
      </c>
    </row>
    <row r="187" spans="1:6">
      <c r="A187">
        <v>992.73599999999999</v>
      </c>
      <c r="B187">
        <v>27.8</v>
      </c>
      <c r="C187">
        <v>70.400000000000006</v>
      </c>
      <c r="E187">
        <v>992.73599999999999</v>
      </c>
      <c r="F187">
        <v>0.96719999999999995</v>
      </c>
    </row>
    <row r="188" spans="1:6">
      <c r="A188">
        <v>997.83600000000001</v>
      </c>
      <c r="B188">
        <v>27.8</v>
      </c>
      <c r="C188">
        <v>70.400000000000006</v>
      </c>
      <c r="E188">
        <v>997.83600000000001</v>
      </c>
      <c r="F188">
        <v>0.92879999999999996</v>
      </c>
    </row>
    <row r="189" spans="1:6">
      <c r="A189">
        <v>1002.823</v>
      </c>
      <c r="B189">
        <v>27.7</v>
      </c>
      <c r="C189">
        <v>70.400000000000006</v>
      </c>
      <c r="E189">
        <v>1002.823</v>
      </c>
      <c r="F189">
        <v>0.88159999999999994</v>
      </c>
    </row>
    <row r="190" spans="1:6">
      <c r="A190">
        <v>1007.8049999999999</v>
      </c>
      <c r="B190">
        <v>27.7</v>
      </c>
      <c r="C190">
        <v>72</v>
      </c>
      <c r="E190">
        <v>1007.8049999999999</v>
      </c>
      <c r="F190">
        <v>0.107</v>
      </c>
    </row>
    <row r="191" spans="1:6">
      <c r="A191">
        <v>1012.823</v>
      </c>
      <c r="B191">
        <v>27.8</v>
      </c>
      <c r="C191">
        <v>76.900000000000006</v>
      </c>
      <c r="E191">
        <v>1012.823</v>
      </c>
      <c r="F191">
        <v>0</v>
      </c>
    </row>
    <row r="192" spans="1:6">
      <c r="A192">
        <v>1017.824</v>
      </c>
      <c r="B192">
        <v>27.8</v>
      </c>
      <c r="C192">
        <v>77</v>
      </c>
      <c r="E192">
        <v>1017.824</v>
      </c>
      <c r="F192">
        <v>0</v>
      </c>
    </row>
    <row r="193" spans="1:6">
      <c r="A193">
        <v>1022.841</v>
      </c>
      <c r="B193">
        <v>27.8</v>
      </c>
      <c r="C193">
        <v>78.2</v>
      </c>
      <c r="E193">
        <v>1022.841</v>
      </c>
      <c r="F193">
        <v>0</v>
      </c>
    </row>
    <row r="194" spans="1:6">
      <c r="A194">
        <v>1027.8589999999999</v>
      </c>
      <c r="B194">
        <v>27.8</v>
      </c>
      <c r="C194">
        <v>78.7</v>
      </c>
      <c r="E194">
        <v>1027.8589999999999</v>
      </c>
      <c r="F194">
        <v>0</v>
      </c>
    </row>
    <row r="195" spans="1:6">
      <c r="A195">
        <v>1032.8779999999999</v>
      </c>
      <c r="B195">
        <v>27.8</v>
      </c>
      <c r="C195">
        <v>79</v>
      </c>
      <c r="E195">
        <v>1032.8779999999999</v>
      </c>
      <c r="F195">
        <v>0</v>
      </c>
    </row>
    <row r="196" spans="1:6">
      <c r="A196">
        <v>1037.896</v>
      </c>
      <c r="B196">
        <v>27.9</v>
      </c>
      <c r="C196">
        <v>80.599999999999994</v>
      </c>
      <c r="E196">
        <v>1037.896</v>
      </c>
      <c r="F196">
        <v>0</v>
      </c>
    </row>
    <row r="197" spans="1:6">
      <c r="A197">
        <v>1042.97</v>
      </c>
      <c r="B197">
        <v>28.1</v>
      </c>
      <c r="C197">
        <v>84.2</v>
      </c>
      <c r="E197">
        <v>1042.97</v>
      </c>
      <c r="F197">
        <v>0</v>
      </c>
    </row>
    <row r="198" spans="1:6">
      <c r="A198">
        <v>1047.9280000000001</v>
      </c>
      <c r="B198">
        <v>28.4</v>
      </c>
      <c r="C198">
        <v>86.5</v>
      </c>
      <c r="E198">
        <v>1047.9280000000001</v>
      </c>
      <c r="F198">
        <v>0</v>
      </c>
    </row>
    <row r="199" spans="1:6">
      <c r="A199">
        <v>1052.972</v>
      </c>
      <c r="B199">
        <v>28.4</v>
      </c>
      <c r="C199">
        <v>86.5</v>
      </c>
      <c r="E199">
        <v>1052.972</v>
      </c>
      <c r="F199">
        <v>0.86266999999999994</v>
      </c>
    </row>
    <row r="200" spans="1:6">
      <c r="A200">
        <v>1057.94</v>
      </c>
      <c r="B200">
        <v>7.1</v>
      </c>
      <c r="C200">
        <v>86.5</v>
      </c>
      <c r="E200">
        <v>1057.94</v>
      </c>
      <c r="F200">
        <v>0.83840000000000003</v>
      </c>
    </row>
    <row r="201" spans="1:6">
      <c r="A201">
        <v>1062.9690000000001</v>
      </c>
      <c r="B201">
        <v>7.1</v>
      </c>
      <c r="C201">
        <v>86.5</v>
      </c>
      <c r="E201">
        <v>1062.9690000000001</v>
      </c>
      <c r="F201">
        <v>0.80266999999999999</v>
      </c>
    </row>
    <row r="202" spans="1:6">
      <c r="A202">
        <v>1068.4760000000001</v>
      </c>
      <c r="B202">
        <v>7.1</v>
      </c>
      <c r="C202">
        <v>86.5</v>
      </c>
      <c r="E202">
        <v>1068.4760000000001</v>
      </c>
      <c r="F202">
        <v>0.88052999999999992</v>
      </c>
    </row>
    <row r="203" spans="1:6">
      <c r="A203">
        <v>1073.4749999999999</v>
      </c>
      <c r="B203">
        <v>7.1</v>
      </c>
      <c r="C203">
        <v>86.5</v>
      </c>
      <c r="E203">
        <v>1073.4749999999999</v>
      </c>
      <c r="F203">
        <v>0.80879999999999996</v>
      </c>
    </row>
    <row r="204" spans="1:6">
      <c r="A204">
        <v>1078.444</v>
      </c>
      <c r="B204">
        <v>28.2</v>
      </c>
      <c r="C204">
        <v>72.8</v>
      </c>
      <c r="E204">
        <v>1078.444</v>
      </c>
      <c r="F204">
        <v>0.78772999999999993</v>
      </c>
    </row>
    <row r="205" spans="1:6">
      <c r="A205">
        <v>1083.444</v>
      </c>
      <c r="B205">
        <v>28.2</v>
      </c>
      <c r="C205">
        <v>72.5</v>
      </c>
      <c r="E205">
        <v>1083.444</v>
      </c>
      <c r="F205">
        <v>0.81333</v>
      </c>
    </row>
    <row r="206" spans="1:6">
      <c r="A206">
        <v>1088.444</v>
      </c>
      <c r="B206">
        <v>28.1</v>
      </c>
      <c r="C206">
        <v>72.3</v>
      </c>
      <c r="E206">
        <v>1088.444</v>
      </c>
      <c r="F206">
        <v>0.83066999999999991</v>
      </c>
    </row>
    <row r="207" spans="1:6">
      <c r="A207">
        <v>1093.443</v>
      </c>
      <c r="B207">
        <v>28.1</v>
      </c>
      <c r="C207">
        <v>71.8</v>
      </c>
      <c r="E207">
        <v>1093.443</v>
      </c>
      <c r="F207">
        <v>0.8178700000000001</v>
      </c>
    </row>
    <row r="208" spans="1:6">
      <c r="A208">
        <v>1098.443</v>
      </c>
      <c r="B208">
        <v>28</v>
      </c>
      <c r="C208">
        <v>71.599999999999994</v>
      </c>
      <c r="E208">
        <v>1098.443</v>
      </c>
      <c r="F208">
        <v>0.82186999999999999</v>
      </c>
    </row>
    <row r="209" spans="1:6">
      <c r="A209">
        <v>1103.461</v>
      </c>
      <c r="B209">
        <v>27.9</v>
      </c>
      <c r="C209">
        <v>71.5</v>
      </c>
      <c r="E209">
        <v>1103.461</v>
      </c>
      <c r="F209">
        <v>0.80906999999999996</v>
      </c>
    </row>
    <row r="210" spans="1:6">
      <c r="A210">
        <v>1108.444</v>
      </c>
      <c r="B210">
        <v>27.9</v>
      </c>
      <c r="C210">
        <v>73.3</v>
      </c>
      <c r="E210">
        <v>1108.444</v>
      </c>
      <c r="F210">
        <v>0.107</v>
      </c>
    </row>
    <row r="211" spans="1:6">
      <c r="A211">
        <v>1113.4580000000001</v>
      </c>
      <c r="B211">
        <v>28</v>
      </c>
      <c r="C211">
        <v>78.7</v>
      </c>
      <c r="E211">
        <v>1113.4580000000001</v>
      </c>
      <c r="F211">
        <v>0</v>
      </c>
    </row>
    <row r="212" spans="1:6">
      <c r="A212">
        <v>1118.443</v>
      </c>
      <c r="B212">
        <v>28</v>
      </c>
      <c r="C212">
        <v>79.8</v>
      </c>
      <c r="E212">
        <v>1118.443</v>
      </c>
      <c r="F212">
        <v>0</v>
      </c>
    </row>
    <row r="213" spans="1:6">
      <c r="A213">
        <v>1123.4739999999999</v>
      </c>
      <c r="B213">
        <v>28.1</v>
      </c>
      <c r="C213">
        <v>82.2</v>
      </c>
      <c r="E213">
        <v>1123.4739999999999</v>
      </c>
      <c r="F213">
        <v>0</v>
      </c>
    </row>
    <row r="214" spans="1:6">
      <c r="A214">
        <v>1128.4739999999999</v>
      </c>
      <c r="B214">
        <v>28</v>
      </c>
      <c r="C214">
        <v>83</v>
      </c>
      <c r="E214">
        <v>1128.4739999999999</v>
      </c>
      <c r="F214">
        <v>0</v>
      </c>
    </row>
    <row r="215" spans="1:6">
      <c r="A215">
        <v>1133.5170000000001</v>
      </c>
      <c r="B215">
        <v>28</v>
      </c>
      <c r="C215">
        <v>83</v>
      </c>
      <c r="E215">
        <v>1133.5170000000001</v>
      </c>
      <c r="F215">
        <v>0.69307000000000007</v>
      </c>
    </row>
    <row r="216" spans="1:6">
      <c r="A216">
        <v>1138.518</v>
      </c>
      <c r="B216">
        <v>28</v>
      </c>
      <c r="C216">
        <v>83</v>
      </c>
      <c r="E216">
        <v>1138.518</v>
      </c>
      <c r="F216">
        <v>0.70772999999999997</v>
      </c>
    </row>
    <row r="217" spans="1:6">
      <c r="A217">
        <v>1143.518</v>
      </c>
      <c r="B217">
        <v>28</v>
      </c>
      <c r="C217">
        <v>83</v>
      </c>
      <c r="E217">
        <v>1143.518</v>
      </c>
      <c r="F217">
        <v>0.78107000000000004</v>
      </c>
    </row>
    <row r="218" spans="1:6">
      <c r="A218">
        <v>1148.5170000000001</v>
      </c>
      <c r="B218">
        <v>28</v>
      </c>
      <c r="C218">
        <v>83</v>
      </c>
      <c r="E218">
        <v>1148.5170000000001</v>
      </c>
      <c r="F218">
        <v>0.78079999999999994</v>
      </c>
    </row>
    <row r="219" spans="1:6">
      <c r="A219">
        <v>1153.5170000000001</v>
      </c>
      <c r="B219">
        <v>28</v>
      </c>
      <c r="C219">
        <v>83</v>
      </c>
      <c r="E219">
        <v>1153.5170000000001</v>
      </c>
      <c r="F219">
        <v>0.79519999999999991</v>
      </c>
    </row>
    <row r="220" spans="1:6">
      <c r="A220">
        <v>1158.5170000000001</v>
      </c>
      <c r="B220">
        <v>28</v>
      </c>
      <c r="C220">
        <v>83</v>
      </c>
      <c r="E220">
        <v>1158.5170000000001</v>
      </c>
      <c r="F220">
        <v>0.74533000000000005</v>
      </c>
    </row>
    <row r="221" spans="1:6">
      <c r="A221">
        <v>1163.5170000000001</v>
      </c>
      <c r="B221">
        <v>28</v>
      </c>
      <c r="C221">
        <v>83</v>
      </c>
      <c r="E221">
        <v>1163.5170000000001</v>
      </c>
      <c r="F221">
        <v>0.74612999999999996</v>
      </c>
    </row>
    <row r="222" spans="1:6">
      <c r="A222">
        <v>1168.518</v>
      </c>
      <c r="B222">
        <v>28</v>
      </c>
      <c r="C222">
        <v>83</v>
      </c>
      <c r="E222">
        <v>1168.518</v>
      </c>
      <c r="F222">
        <v>0.79920000000000002</v>
      </c>
    </row>
    <row r="223" spans="1:6">
      <c r="A223">
        <v>1173.5170000000001</v>
      </c>
      <c r="B223">
        <v>28</v>
      </c>
      <c r="C223">
        <v>83</v>
      </c>
      <c r="E223">
        <v>1173.5170000000001</v>
      </c>
      <c r="F223">
        <v>0.80747000000000002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81"/>
  <sheetViews>
    <sheetView workbookViewId="0"/>
  </sheetViews>
  <sheetFormatPr defaultRowHeight="13.8"/>
  <cols>
    <col min="1" max="1" width="12" customWidth="1"/>
    <col min="2" max="2" width="24" customWidth="1"/>
    <col min="3" max="3" width="30" customWidth="1"/>
    <col min="4" max="4" width="18" customWidth="1"/>
    <col min="5" max="5" width="21" customWidth="1"/>
    <col min="6" max="6" width="22" customWidth="1"/>
    <col min="7" max="7" width="35" customWidth="1"/>
    <col min="8" max="8" width="27" customWidth="1"/>
    <col min="9" max="9" width="38" customWidth="1"/>
    <col min="10" max="10" width="32" customWidth="1"/>
    <col min="12" max="14" width="20" customWidth="1"/>
  </cols>
  <sheetData>
    <row r="1" spans="1:14" ht="24" customHeight="1">
      <c r="A1" s="93" t="s">
        <v>3665</v>
      </c>
      <c r="B1" s="93"/>
      <c r="C1" s="93"/>
      <c r="D1" s="93"/>
      <c r="E1" s="93"/>
      <c r="F1" s="93"/>
      <c r="G1" s="93"/>
      <c r="H1" s="93"/>
      <c r="I1" s="93"/>
      <c r="J1" s="93"/>
    </row>
    <row r="2" spans="1:14" ht="24" customHeight="1">
      <c r="A2" s="93"/>
      <c r="B2" s="93"/>
      <c r="C2" s="93"/>
      <c r="D2" s="93"/>
      <c r="E2" s="93"/>
      <c r="F2" s="93"/>
      <c r="G2" s="93"/>
      <c r="H2" s="93"/>
      <c r="I2" s="93"/>
      <c r="J2" s="93"/>
    </row>
    <row r="4" spans="1:14" ht="27.15" customHeight="1">
      <c r="A4" s="58" t="s">
        <v>3666</v>
      </c>
      <c r="B4" s="58"/>
      <c r="C4" s="58"/>
      <c r="D4" s="58"/>
      <c r="E4" s="58"/>
      <c r="F4" s="58"/>
      <c r="G4" s="58"/>
      <c r="H4" s="58"/>
      <c r="I4" s="58"/>
      <c r="J4" s="58"/>
    </row>
    <row r="5" spans="1:14" ht="27.15" customHeight="1">
      <c r="A5" s="58"/>
      <c r="B5" s="58"/>
      <c r="C5" s="58"/>
      <c r="D5" s="58"/>
      <c r="E5" s="58"/>
      <c r="F5" s="58"/>
      <c r="G5" s="58"/>
      <c r="H5" s="58"/>
      <c r="I5" s="58"/>
      <c r="J5" s="58"/>
    </row>
    <row r="7" spans="1:14" ht="22.35" customHeight="1">
      <c r="A7" s="94" t="s">
        <v>3667</v>
      </c>
      <c r="B7" s="94"/>
      <c r="C7" s="94"/>
      <c r="D7" s="94"/>
      <c r="E7" s="94"/>
      <c r="F7" s="94"/>
      <c r="G7" s="94"/>
      <c r="H7" s="94"/>
      <c r="I7" s="94"/>
      <c r="J7" s="94"/>
      <c r="L7" s="19" t="s">
        <v>1942</v>
      </c>
      <c r="M7" s="19" t="s">
        <v>1950</v>
      </c>
      <c r="N7" s="19" t="s">
        <v>3668</v>
      </c>
    </row>
    <row r="8" spans="1:14" ht="22.35" customHeight="1">
      <c r="A8" s="29" t="s">
        <v>3669</v>
      </c>
      <c r="B8" s="29" t="s">
        <v>3670</v>
      </c>
      <c r="C8" s="29" t="s">
        <v>3671</v>
      </c>
      <c r="D8" s="29" t="s">
        <v>82</v>
      </c>
      <c r="E8" s="29" t="s">
        <v>83</v>
      </c>
      <c r="F8" s="29" t="s">
        <v>3672</v>
      </c>
      <c r="G8" s="29" t="s">
        <v>3673</v>
      </c>
      <c r="H8" s="29" t="s">
        <v>3674</v>
      </c>
      <c r="I8" s="29" t="s">
        <v>3675</v>
      </c>
      <c r="J8" s="29" t="s">
        <v>3676</v>
      </c>
      <c r="L8">
        <v>500</v>
      </c>
      <c r="M8">
        <v>17.136199999999999</v>
      </c>
      <c r="N8">
        <v>500</v>
      </c>
    </row>
    <row r="9" spans="1:14">
      <c r="A9" s="3" t="s">
        <v>3677</v>
      </c>
      <c r="B9" s="3" t="s">
        <v>3678</v>
      </c>
      <c r="C9" s="3" t="s">
        <v>3679</v>
      </c>
      <c r="D9" s="3">
        <v>420</v>
      </c>
      <c r="E9" s="3" t="s">
        <v>146</v>
      </c>
      <c r="F9" s="3" t="s">
        <v>3680</v>
      </c>
      <c r="G9" s="3" t="s">
        <v>3681</v>
      </c>
      <c r="H9" s="3" t="s">
        <v>147</v>
      </c>
      <c r="I9" s="3" t="s">
        <v>3682</v>
      </c>
      <c r="J9" s="3" t="s">
        <v>3683</v>
      </c>
      <c r="L9">
        <v>1000</v>
      </c>
      <c r="M9">
        <v>6.1990600000000002</v>
      </c>
      <c r="N9">
        <v>1000</v>
      </c>
    </row>
    <row r="10" spans="1:14" ht="27.6">
      <c r="A10" s="3" t="s">
        <v>3684</v>
      </c>
      <c r="B10" s="3" t="s">
        <v>3685</v>
      </c>
      <c r="C10" s="3" t="s">
        <v>3686</v>
      </c>
      <c r="D10" s="3">
        <v>10</v>
      </c>
      <c r="E10" s="3" t="s">
        <v>125</v>
      </c>
      <c r="F10" s="3" t="s">
        <v>3687</v>
      </c>
      <c r="G10" s="3" t="s">
        <v>3688</v>
      </c>
      <c r="H10" s="3" t="s">
        <v>1985</v>
      </c>
      <c r="I10" s="3" t="s">
        <v>3689</v>
      </c>
      <c r="J10" s="3" t="s">
        <v>3690</v>
      </c>
      <c r="L10">
        <v>2000</v>
      </c>
      <c r="M10">
        <v>2.7609599999999999</v>
      </c>
      <c r="N10">
        <v>2000</v>
      </c>
    </row>
    <row r="11" spans="1:14" ht="27.6">
      <c r="A11" s="3" t="s">
        <v>3691</v>
      </c>
      <c r="B11" s="3" t="s">
        <v>3692</v>
      </c>
      <c r="C11" s="3" t="s">
        <v>3693</v>
      </c>
      <c r="D11" s="3">
        <v>7.5</v>
      </c>
      <c r="E11" s="3" t="s">
        <v>151</v>
      </c>
      <c r="F11" s="3" t="s">
        <v>3680</v>
      </c>
      <c r="G11" s="3" t="s">
        <v>3694</v>
      </c>
      <c r="H11" s="3" t="s">
        <v>152</v>
      </c>
      <c r="I11" s="3" t="s">
        <v>3695</v>
      </c>
      <c r="J11" s="3" t="s">
        <v>3696</v>
      </c>
    </row>
    <row r="12" spans="1:14" ht="27.6">
      <c r="A12" s="3" t="s">
        <v>3697</v>
      </c>
      <c r="B12" s="3" t="s">
        <v>3698</v>
      </c>
      <c r="C12" s="3" t="s">
        <v>3699</v>
      </c>
      <c r="D12" s="3">
        <v>500</v>
      </c>
      <c r="E12" s="3" t="s">
        <v>120</v>
      </c>
      <c r="F12" s="3" t="s">
        <v>3687</v>
      </c>
      <c r="G12" s="3" t="s">
        <v>3700</v>
      </c>
      <c r="H12" s="3" t="s">
        <v>1985</v>
      </c>
      <c r="I12" s="3" t="s">
        <v>3701</v>
      </c>
      <c r="J12" s="3" t="s">
        <v>3702</v>
      </c>
    </row>
    <row r="13" spans="1:14" ht="27.6">
      <c r="A13" s="3" t="s">
        <v>3703</v>
      </c>
      <c r="B13" s="3" t="s">
        <v>3704</v>
      </c>
      <c r="C13" s="3" t="s">
        <v>3705</v>
      </c>
      <c r="D13" s="3">
        <v>28</v>
      </c>
      <c r="E13" s="3" t="s">
        <v>98</v>
      </c>
      <c r="F13" s="3" t="s">
        <v>3687</v>
      </c>
      <c r="G13" s="3" t="s">
        <v>3706</v>
      </c>
      <c r="H13" s="3" t="s">
        <v>1985</v>
      </c>
      <c r="I13" s="3" t="s">
        <v>3707</v>
      </c>
      <c r="J13" s="3" t="s">
        <v>3708</v>
      </c>
    </row>
    <row r="14" spans="1:14" ht="27.6">
      <c r="A14" s="3" t="s">
        <v>3709</v>
      </c>
      <c r="B14" s="3" t="s">
        <v>3704</v>
      </c>
      <c r="C14" s="3" t="s">
        <v>3710</v>
      </c>
      <c r="D14" s="3">
        <v>25</v>
      </c>
      <c r="E14" s="3" t="s">
        <v>98</v>
      </c>
      <c r="F14" s="3" t="s">
        <v>3711</v>
      </c>
      <c r="G14" s="3" t="s">
        <v>3712</v>
      </c>
      <c r="H14" s="3" t="s">
        <v>3713</v>
      </c>
      <c r="I14" s="3" t="s">
        <v>3714</v>
      </c>
      <c r="J14" s="3" t="s">
        <v>3715</v>
      </c>
    </row>
    <row r="15" spans="1:14">
      <c r="A15" s="3" t="s">
        <v>3716</v>
      </c>
      <c r="B15" s="3" t="s">
        <v>3717</v>
      </c>
      <c r="C15" s="3" t="s">
        <v>3718</v>
      </c>
      <c r="D15" s="3">
        <v>80</v>
      </c>
      <c r="E15" s="3" t="s">
        <v>140</v>
      </c>
      <c r="F15" s="3" t="s">
        <v>3687</v>
      </c>
      <c r="G15" s="3" t="s">
        <v>3719</v>
      </c>
      <c r="H15" s="3" t="s">
        <v>1985</v>
      </c>
      <c r="I15" s="3" t="s">
        <v>3720</v>
      </c>
      <c r="J15" s="3" t="s">
        <v>3721</v>
      </c>
    </row>
    <row r="16" spans="1:14" ht="27.6">
      <c r="A16" s="3" t="s">
        <v>3722</v>
      </c>
      <c r="B16" s="3" t="s">
        <v>3717</v>
      </c>
      <c r="C16" s="3" t="s">
        <v>3723</v>
      </c>
      <c r="D16" s="3">
        <v>90</v>
      </c>
      <c r="E16" s="3" t="s">
        <v>140</v>
      </c>
      <c r="F16" s="3" t="s">
        <v>3687</v>
      </c>
      <c r="G16" s="3" t="s">
        <v>3724</v>
      </c>
      <c r="H16" s="3" t="s">
        <v>3725</v>
      </c>
      <c r="I16" s="3" t="s">
        <v>3726</v>
      </c>
      <c r="J16" s="3" t="s">
        <v>3727</v>
      </c>
    </row>
    <row r="17" spans="1:19" ht="27.6">
      <c r="A17" s="3" t="s">
        <v>3728</v>
      </c>
      <c r="B17" s="3" t="s">
        <v>3729</v>
      </c>
      <c r="C17" s="3" t="s">
        <v>3730</v>
      </c>
      <c r="D17" s="3">
        <v>0.05</v>
      </c>
      <c r="E17" s="3" t="s">
        <v>107</v>
      </c>
      <c r="F17" s="3" t="s">
        <v>3731</v>
      </c>
      <c r="G17" s="3" t="s">
        <v>3732</v>
      </c>
      <c r="H17" s="3" t="s">
        <v>1985</v>
      </c>
      <c r="I17" s="3" t="s">
        <v>3733</v>
      </c>
      <c r="J17" s="3" t="s">
        <v>3734</v>
      </c>
    </row>
    <row r="18" spans="1:19">
      <c r="A18" s="3" t="s">
        <v>3735</v>
      </c>
      <c r="B18" s="3" t="s">
        <v>3736</v>
      </c>
      <c r="C18" s="3" t="s">
        <v>3737</v>
      </c>
      <c r="D18" s="3">
        <v>55</v>
      </c>
      <c r="E18" s="3" t="s">
        <v>110</v>
      </c>
      <c r="F18" s="3" t="s">
        <v>3738</v>
      </c>
      <c r="G18" s="3" t="s">
        <v>3739</v>
      </c>
      <c r="H18" s="3" t="s">
        <v>1985</v>
      </c>
      <c r="I18" s="3" t="s">
        <v>3740</v>
      </c>
      <c r="J18" s="3" t="s">
        <v>3741</v>
      </c>
    </row>
    <row r="19" spans="1:19">
      <c r="A19" s="3" t="s">
        <v>3742</v>
      </c>
      <c r="B19" s="3" t="s">
        <v>3743</v>
      </c>
      <c r="C19" s="3" t="s">
        <v>3744</v>
      </c>
      <c r="D19" s="3">
        <v>10</v>
      </c>
      <c r="E19" s="3" t="s">
        <v>110</v>
      </c>
      <c r="F19" s="3" t="s">
        <v>3738</v>
      </c>
      <c r="G19" s="3" t="s">
        <v>3745</v>
      </c>
      <c r="H19" s="3" t="s">
        <v>1985</v>
      </c>
      <c r="I19" s="3" t="s">
        <v>3740</v>
      </c>
      <c r="J19" s="3" t="s">
        <v>3741</v>
      </c>
    </row>
    <row r="20" spans="1:19">
      <c r="A20" s="3" t="s">
        <v>3746</v>
      </c>
      <c r="B20" s="3" t="s">
        <v>3747</v>
      </c>
      <c r="C20" s="3" t="s">
        <v>3748</v>
      </c>
      <c r="D20" s="3">
        <v>5</v>
      </c>
      <c r="E20" s="3" t="s">
        <v>110</v>
      </c>
      <c r="F20" s="3" t="s">
        <v>3738</v>
      </c>
      <c r="G20" s="3" t="s">
        <v>3749</v>
      </c>
      <c r="H20" s="3" t="s">
        <v>1985</v>
      </c>
      <c r="I20" s="3" t="s">
        <v>3750</v>
      </c>
      <c r="J20" s="3" t="s">
        <v>3741</v>
      </c>
    </row>
    <row r="21" spans="1:19">
      <c r="A21" s="3" t="s">
        <v>3751</v>
      </c>
      <c r="B21" s="3" t="s">
        <v>3752</v>
      </c>
      <c r="C21" s="3" t="s">
        <v>3753</v>
      </c>
      <c r="D21" s="3">
        <v>8</v>
      </c>
      <c r="E21" s="3" t="s">
        <v>110</v>
      </c>
      <c r="F21" s="3" t="s">
        <v>3738</v>
      </c>
      <c r="G21" s="3" t="s">
        <v>3754</v>
      </c>
      <c r="H21" s="3" t="s">
        <v>1985</v>
      </c>
      <c r="I21" s="3" t="s">
        <v>3755</v>
      </c>
      <c r="J21" s="3" t="s">
        <v>3741</v>
      </c>
    </row>
    <row r="22" spans="1:19">
      <c r="A22" s="3" t="s">
        <v>3756</v>
      </c>
      <c r="B22" s="3" t="s">
        <v>3752</v>
      </c>
      <c r="C22" s="3" t="s">
        <v>3757</v>
      </c>
      <c r="D22" s="3">
        <v>15</v>
      </c>
      <c r="E22" s="3" t="s">
        <v>110</v>
      </c>
      <c r="F22" s="3" t="s">
        <v>3738</v>
      </c>
      <c r="G22" s="3" t="s">
        <v>3758</v>
      </c>
      <c r="H22" s="3" t="s">
        <v>1985</v>
      </c>
      <c r="I22" s="3" t="s">
        <v>3759</v>
      </c>
      <c r="J22" s="3" t="s">
        <v>3741</v>
      </c>
    </row>
    <row r="23" spans="1:19">
      <c r="A23" s="3" t="s">
        <v>3760</v>
      </c>
      <c r="B23" s="3" t="s">
        <v>3761</v>
      </c>
      <c r="C23" s="3" t="s">
        <v>3762</v>
      </c>
      <c r="D23" s="3">
        <v>5</v>
      </c>
      <c r="E23" s="3" t="s">
        <v>110</v>
      </c>
      <c r="F23" s="3" t="s">
        <v>3738</v>
      </c>
      <c r="G23" s="3" t="s">
        <v>3763</v>
      </c>
      <c r="H23" s="3" t="s">
        <v>1985</v>
      </c>
      <c r="I23" s="3" t="s">
        <v>3764</v>
      </c>
      <c r="J23" s="3" t="s">
        <v>3741</v>
      </c>
    </row>
    <row r="24" spans="1:19" ht="27.6">
      <c r="A24" s="3" t="s">
        <v>3765</v>
      </c>
      <c r="B24" s="3" t="s">
        <v>170</v>
      </c>
      <c r="C24" s="3" t="s">
        <v>3766</v>
      </c>
      <c r="D24" s="3">
        <v>5</v>
      </c>
      <c r="E24" s="3" t="s">
        <v>110</v>
      </c>
      <c r="F24" s="3" t="s">
        <v>3767</v>
      </c>
      <c r="G24" s="3" t="s">
        <v>3768</v>
      </c>
      <c r="H24" s="3" t="s">
        <v>1985</v>
      </c>
      <c r="I24" s="3" t="s">
        <v>3769</v>
      </c>
      <c r="J24" s="3" t="s">
        <v>3770</v>
      </c>
    </row>
    <row r="25" spans="1:19">
      <c r="A25" s="3" t="s">
        <v>3771</v>
      </c>
      <c r="B25" s="3" t="s">
        <v>116</v>
      </c>
      <c r="C25" s="3" t="s">
        <v>3772</v>
      </c>
      <c r="D25" s="3">
        <v>3</v>
      </c>
      <c r="E25" s="3" t="s">
        <v>115</v>
      </c>
      <c r="F25" s="3" t="s">
        <v>3687</v>
      </c>
      <c r="G25" s="3" t="s">
        <v>3773</v>
      </c>
      <c r="H25" s="3" t="s">
        <v>1985</v>
      </c>
      <c r="I25" s="3" t="s">
        <v>3774</v>
      </c>
      <c r="J25" s="3" t="s">
        <v>3741</v>
      </c>
    </row>
    <row r="28" spans="1:19" ht="22.35" customHeight="1">
      <c r="A28" s="95" t="s">
        <v>3775</v>
      </c>
      <c r="B28" s="95"/>
      <c r="C28" s="95"/>
      <c r="D28" s="95"/>
      <c r="E28" s="95"/>
      <c r="F28" s="95"/>
      <c r="G28" s="95"/>
      <c r="H28" s="95"/>
      <c r="I28" s="95"/>
      <c r="J28" s="95"/>
    </row>
    <row r="29" spans="1:19" ht="22.35" customHeight="1">
      <c r="A29" s="30" t="s">
        <v>712</v>
      </c>
      <c r="B29" s="30" t="s">
        <v>3776</v>
      </c>
      <c r="C29" s="30" t="s">
        <v>3777</v>
      </c>
      <c r="D29" s="30" t="s">
        <v>3778</v>
      </c>
      <c r="E29" s="30" t="s">
        <v>83</v>
      </c>
      <c r="F29" s="30" t="s">
        <v>3779</v>
      </c>
      <c r="G29" s="30" t="s">
        <v>3780</v>
      </c>
      <c r="H29" s="30" t="s">
        <v>3781</v>
      </c>
      <c r="I29" s="30" t="s">
        <v>3782</v>
      </c>
      <c r="J29" s="30" t="s">
        <v>3783</v>
      </c>
    </row>
    <row r="30" spans="1:19" ht="22.35" customHeight="1">
      <c r="A30" s="3" t="s">
        <v>3678</v>
      </c>
      <c r="B30" s="3" t="s">
        <v>3784</v>
      </c>
      <c r="C30" s="3" t="s">
        <v>3785</v>
      </c>
      <c r="D30" s="3" t="s">
        <v>3786</v>
      </c>
      <c r="E30" s="3" t="s">
        <v>125</v>
      </c>
      <c r="F30" s="3" t="s">
        <v>3787</v>
      </c>
      <c r="G30" s="3" t="s">
        <v>3788</v>
      </c>
      <c r="H30" s="3" t="s">
        <v>3789</v>
      </c>
      <c r="I30" s="3" t="s">
        <v>3790</v>
      </c>
      <c r="J30" s="3" t="s">
        <v>3791</v>
      </c>
      <c r="L30" s="90" t="s">
        <v>3792</v>
      </c>
      <c r="M30" s="90"/>
      <c r="N30" s="90"/>
      <c r="O30" s="90"/>
      <c r="P30" s="90"/>
      <c r="Q30" s="90"/>
      <c r="R30" s="90"/>
      <c r="S30" s="90"/>
    </row>
    <row r="31" spans="1:19" ht="22.35" customHeight="1">
      <c r="A31" s="3" t="s">
        <v>3793</v>
      </c>
      <c r="B31" s="3" t="s">
        <v>3794</v>
      </c>
      <c r="C31" s="3" t="s">
        <v>3795</v>
      </c>
      <c r="D31" s="3" t="s">
        <v>3796</v>
      </c>
      <c r="E31" s="3" t="s">
        <v>107</v>
      </c>
      <c r="F31" s="3" t="s">
        <v>3797</v>
      </c>
      <c r="G31" s="3" t="s">
        <v>3798</v>
      </c>
      <c r="H31" s="3" t="s">
        <v>3799</v>
      </c>
      <c r="I31" s="3" t="s">
        <v>3800</v>
      </c>
      <c r="J31" s="3" t="s">
        <v>3801</v>
      </c>
      <c r="L31" s="90"/>
      <c r="M31" s="90"/>
      <c r="N31" s="90"/>
      <c r="O31" s="90"/>
      <c r="P31" s="90"/>
      <c r="Q31" s="90"/>
      <c r="R31" s="90"/>
      <c r="S31" s="90"/>
    </row>
    <row r="32" spans="1:19" ht="22.35" customHeight="1">
      <c r="A32" s="3" t="s">
        <v>3802</v>
      </c>
      <c r="B32" s="3" t="s">
        <v>3803</v>
      </c>
      <c r="C32" s="3" t="s">
        <v>3804</v>
      </c>
      <c r="D32" s="3" t="s">
        <v>3805</v>
      </c>
      <c r="E32" s="3" t="s">
        <v>3552</v>
      </c>
      <c r="F32" s="3" t="s">
        <v>3806</v>
      </c>
      <c r="G32" s="3" t="s">
        <v>3807</v>
      </c>
      <c r="H32" s="3" t="s">
        <v>3808</v>
      </c>
      <c r="I32" s="3" t="s">
        <v>3809</v>
      </c>
      <c r="J32" s="3" t="s">
        <v>3810</v>
      </c>
      <c r="L32" s="35" t="s">
        <v>3811</v>
      </c>
      <c r="M32" s="91" t="s">
        <v>82</v>
      </c>
      <c r="N32" s="91"/>
      <c r="O32" s="91"/>
      <c r="P32" s="91"/>
      <c r="Q32" s="91"/>
      <c r="R32" s="91"/>
      <c r="S32" s="91"/>
    </row>
    <row r="33" spans="1:19" ht="27.6">
      <c r="A33" s="3" t="s">
        <v>3704</v>
      </c>
      <c r="B33" s="3" t="s">
        <v>3812</v>
      </c>
      <c r="C33" s="3" t="s">
        <v>3813</v>
      </c>
      <c r="D33" s="3" t="s">
        <v>3814</v>
      </c>
      <c r="E33" s="3" t="s">
        <v>98</v>
      </c>
      <c r="F33" s="3" t="s">
        <v>3815</v>
      </c>
      <c r="G33" s="3" t="s">
        <v>3816</v>
      </c>
      <c r="H33" s="3" t="s">
        <v>3817</v>
      </c>
      <c r="I33" s="3" t="s">
        <v>3818</v>
      </c>
      <c r="J33" s="3" t="s">
        <v>3819</v>
      </c>
      <c r="L33" s="36" t="s">
        <v>3820</v>
      </c>
      <c r="M33" s="92">
        <v>17</v>
      </c>
      <c r="N33" s="92"/>
      <c r="O33" s="92"/>
      <c r="P33" s="92"/>
      <c r="Q33" s="92"/>
      <c r="R33" s="92"/>
      <c r="S33" s="92"/>
    </row>
    <row r="34" spans="1:19" ht="27.6">
      <c r="A34" s="3" t="s">
        <v>3821</v>
      </c>
      <c r="B34" s="3" t="s">
        <v>3822</v>
      </c>
      <c r="C34" s="3" t="s">
        <v>3823</v>
      </c>
      <c r="D34" s="3" t="s">
        <v>3824</v>
      </c>
      <c r="E34" s="3" t="s">
        <v>140</v>
      </c>
      <c r="F34" s="3" t="s">
        <v>3815</v>
      </c>
      <c r="G34" s="3" t="s">
        <v>3816</v>
      </c>
      <c r="H34" s="3" t="s">
        <v>3817</v>
      </c>
      <c r="I34" s="3" t="s">
        <v>3825</v>
      </c>
      <c r="J34" s="3" t="s">
        <v>3819</v>
      </c>
      <c r="L34" s="36" t="s">
        <v>3826</v>
      </c>
      <c r="M34" s="92">
        <v>1</v>
      </c>
      <c r="N34" s="92" t="s">
        <v>3827</v>
      </c>
      <c r="O34" s="92"/>
      <c r="P34" s="92"/>
      <c r="Q34" s="92"/>
      <c r="R34" s="92"/>
      <c r="S34" s="92"/>
    </row>
    <row r="35" spans="1:19">
      <c r="L35" s="36" t="s">
        <v>3828</v>
      </c>
      <c r="M35" s="92" t="s">
        <v>3829</v>
      </c>
      <c r="N35" s="92"/>
      <c r="O35" s="92"/>
      <c r="P35" s="92"/>
      <c r="Q35" s="92"/>
      <c r="R35" s="92"/>
      <c r="S35" s="92"/>
    </row>
    <row r="36" spans="1:19" ht="22.35" customHeight="1">
      <c r="A36" s="96" t="s">
        <v>3830</v>
      </c>
      <c r="B36" s="96"/>
      <c r="C36" s="96"/>
      <c r="D36" s="96"/>
      <c r="E36" s="96"/>
      <c r="F36" s="96"/>
      <c r="G36" s="96"/>
      <c r="H36" s="96"/>
      <c r="I36" s="96"/>
      <c r="J36" s="96"/>
      <c r="L36" s="36" t="s">
        <v>3831</v>
      </c>
      <c r="M36" s="92" t="s">
        <v>3832</v>
      </c>
      <c r="N36" s="92"/>
      <c r="O36" s="92"/>
      <c r="P36" s="92"/>
      <c r="Q36" s="92"/>
      <c r="R36" s="92"/>
      <c r="S36" s="92"/>
    </row>
    <row r="37" spans="1:19" ht="22.35" customHeight="1">
      <c r="A37" s="31" t="s">
        <v>3833</v>
      </c>
      <c r="B37" s="31" t="s">
        <v>712</v>
      </c>
      <c r="C37" s="31" t="s">
        <v>3834</v>
      </c>
      <c r="D37" s="31" t="s">
        <v>3835</v>
      </c>
      <c r="E37" s="31" t="s">
        <v>3836</v>
      </c>
      <c r="F37" s="31" t="s">
        <v>3837</v>
      </c>
      <c r="G37" s="31" t="s">
        <v>3838</v>
      </c>
      <c r="H37" s="31" t="s">
        <v>3839</v>
      </c>
      <c r="I37" s="31" t="s">
        <v>3840</v>
      </c>
      <c r="J37" s="31" t="s">
        <v>3841</v>
      </c>
    </row>
    <row r="38" spans="1:19" ht="27.6">
      <c r="A38" s="3" t="s">
        <v>3842</v>
      </c>
      <c r="B38" s="3" t="s">
        <v>3843</v>
      </c>
      <c r="C38" s="3" t="s">
        <v>3844</v>
      </c>
      <c r="D38" s="3" t="s">
        <v>3845</v>
      </c>
      <c r="E38" s="3" t="s">
        <v>3846</v>
      </c>
      <c r="F38" s="3" t="s">
        <v>3847</v>
      </c>
      <c r="G38" s="3" t="s">
        <v>3848</v>
      </c>
      <c r="H38" s="3" t="s">
        <v>3849</v>
      </c>
      <c r="I38" s="3" t="s">
        <v>3850</v>
      </c>
      <c r="J38" s="3" t="s">
        <v>3851</v>
      </c>
    </row>
    <row r="39" spans="1:19" ht="27.6">
      <c r="A39" s="3" t="s">
        <v>3852</v>
      </c>
      <c r="B39" s="3" t="s">
        <v>3853</v>
      </c>
      <c r="C39" s="3" t="s">
        <v>3854</v>
      </c>
      <c r="D39" s="3" t="s">
        <v>3855</v>
      </c>
      <c r="E39" s="3" t="s">
        <v>3856</v>
      </c>
      <c r="F39" s="3" t="s">
        <v>3857</v>
      </c>
      <c r="G39" s="3" t="s">
        <v>3858</v>
      </c>
      <c r="H39" s="3" t="s">
        <v>3859</v>
      </c>
      <c r="I39" s="3" t="s">
        <v>3860</v>
      </c>
      <c r="J39" s="3" t="s">
        <v>3861</v>
      </c>
    </row>
    <row r="40" spans="1:19" ht="41.4">
      <c r="A40" s="3" t="s">
        <v>3862</v>
      </c>
      <c r="B40" s="3" t="s">
        <v>3863</v>
      </c>
      <c r="C40" s="3" t="s">
        <v>3864</v>
      </c>
      <c r="D40" s="3" t="s">
        <v>3855</v>
      </c>
      <c r="E40" s="3" t="s">
        <v>3865</v>
      </c>
      <c r="F40" s="3" t="s">
        <v>3866</v>
      </c>
      <c r="G40" s="3" t="s">
        <v>3858</v>
      </c>
      <c r="H40" s="3" t="s">
        <v>3867</v>
      </c>
      <c r="I40" s="3" t="s">
        <v>3868</v>
      </c>
      <c r="J40" s="3" t="s">
        <v>3869</v>
      </c>
    </row>
    <row r="41" spans="1:19" ht="41.4">
      <c r="A41" s="3" t="s">
        <v>719</v>
      </c>
      <c r="B41" s="3" t="s">
        <v>3870</v>
      </c>
      <c r="C41" s="3" t="s">
        <v>3871</v>
      </c>
      <c r="D41" s="3" t="s">
        <v>3855</v>
      </c>
      <c r="E41" s="3" t="s">
        <v>3872</v>
      </c>
      <c r="F41" s="3" t="s">
        <v>3873</v>
      </c>
      <c r="G41" s="3" t="s">
        <v>3858</v>
      </c>
      <c r="H41" s="3" t="s">
        <v>3874</v>
      </c>
      <c r="I41" s="3" t="s">
        <v>3875</v>
      </c>
      <c r="J41" s="3" t="s">
        <v>3876</v>
      </c>
    </row>
    <row r="42" spans="1:19" ht="41.4">
      <c r="A42" s="3" t="s">
        <v>722</v>
      </c>
      <c r="B42" s="3" t="s">
        <v>3870</v>
      </c>
      <c r="C42" s="3" t="s">
        <v>3877</v>
      </c>
      <c r="D42" s="3" t="s">
        <v>3855</v>
      </c>
      <c r="E42" s="3" t="s">
        <v>3872</v>
      </c>
      <c r="F42" s="3" t="s">
        <v>3878</v>
      </c>
      <c r="G42" s="3" t="s">
        <v>3858</v>
      </c>
      <c r="H42" s="3" t="s">
        <v>3879</v>
      </c>
      <c r="I42" s="3" t="s">
        <v>3880</v>
      </c>
      <c r="J42" s="3" t="s">
        <v>3881</v>
      </c>
    </row>
    <row r="45" spans="1:19" ht="22.35" customHeight="1">
      <c r="A45" s="83" t="s">
        <v>3882</v>
      </c>
      <c r="B45" s="83"/>
      <c r="C45" s="83"/>
      <c r="D45" s="83"/>
      <c r="E45" s="83"/>
      <c r="F45" s="83"/>
      <c r="G45" s="83"/>
      <c r="H45" s="83"/>
      <c r="I45" s="83"/>
      <c r="J45" s="83"/>
    </row>
    <row r="46" spans="1:19" ht="22.35" customHeight="1">
      <c r="A46" s="32" t="s">
        <v>712</v>
      </c>
      <c r="B46" s="32" t="s">
        <v>3883</v>
      </c>
      <c r="C46" s="32" t="s">
        <v>3884</v>
      </c>
      <c r="D46" s="32" t="s">
        <v>83</v>
      </c>
      <c r="E46" s="32" t="s">
        <v>3885</v>
      </c>
      <c r="F46" s="32" t="s">
        <v>3886</v>
      </c>
      <c r="G46" s="32" t="s">
        <v>3887</v>
      </c>
      <c r="H46" s="32" t="s">
        <v>3888</v>
      </c>
      <c r="I46" s="32" t="s">
        <v>1946</v>
      </c>
      <c r="J46" s="32" t="s">
        <v>3889</v>
      </c>
    </row>
    <row r="47" spans="1:19" ht="27.6">
      <c r="A47" s="3" t="s">
        <v>3890</v>
      </c>
      <c r="B47" s="3">
        <v>1</v>
      </c>
      <c r="C47" s="33">
        <v>500</v>
      </c>
      <c r="D47" s="33" t="s">
        <v>125</v>
      </c>
      <c r="E47" s="33">
        <v>17.136199999999999</v>
      </c>
      <c r="F47" s="33">
        <v>420</v>
      </c>
      <c r="G47" s="33">
        <v>17.136199999999999</v>
      </c>
      <c r="H47" s="33">
        <v>-482.86380000000003</v>
      </c>
      <c r="I47" s="33">
        <v>-96.572760000000002</v>
      </c>
      <c r="J47" s="3" t="s">
        <v>3891</v>
      </c>
    </row>
    <row r="48" spans="1:19" ht="27.6">
      <c r="A48" s="3" t="s">
        <v>3890</v>
      </c>
      <c r="B48" s="3">
        <v>2</v>
      </c>
      <c r="C48" s="33">
        <v>1000</v>
      </c>
      <c r="D48" s="33" t="s">
        <v>125</v>
      </c>
      <c r="E48" s="33">
        <v>6.1990600000000002</v>
      </c>
      <c r="F48" s="33">
        <v>420</v>
      </c>
      <c r="G48" s="33">
        <v>6.1990600000000002</v>
      </c>
      <c r="H48" s="33">
        <v>-993.80093999999997</v>
      </c>
      <c r="I48" s="33">
        <v>-99.380094</v>
      </c>
      <c r="J48" s="3" t="s">
        <v>3891</v>
      </c>
    </row>
    <row r="49" spans="1:10" ht="27.6">
      <c r="A49" s="3" t="s">
        <v>3890</v>
      </c>
      <c r="B49" s="3">
        <v>3</v>
      </c>
      <c r="C49" s="33">
        <v>2000</v>
      </c>
      <c r="D49" s="33" t="s">
        <v>125</v>
      </c>
      <c r="E49" s="33">
        <v>2.7609599999999999</v>
      </c>
      <c r="F49" s="33">
        <v>420</v>
      </c>
      <c r="G49" s="33">
        <v>2.7609599999999999</v>
      </c>
      <c r="H49" s="33">
        <v>-1997.2390399999999</v>
      </c>
      <c r="I49" s="33">
        <v>-99.861952000000002</v>
      </c>
      <c r="J49" s="3" t="s">
        <v>3891</v>
      </c>
    </row>
    <row r="50" spans="1:10" ht="27.6">
      <c r="A50" s="3" t="s">
        <v>3692</v>
      </c>
      <c r="B50" s="3">
        <v>1</v>
      </c>
      <c r="C50" s="33"/>
      <c r="D50" s="33" t="s">
        <v>107</v>
      </c>
      <c r="E50" s="33"/>
      <c r="F50" s="33" t="s">
        <v>3892</v>
      </c>
      <c r="G50" s="33"/>
      <c r="H50" s="33"/>
      <c r="I50" s="33"/>
      <c r="J50" s="3" t="s">
        <v>3893</v>
      </c>
    </row>
    <row r="51" spans="1:10" ht="27.6">
      <c r="A51" s="3" t="s">
        <v>3692</v>
      </c>
      <c r="B51" s="3">
        <v>2</v>
      </c>
      <c r="C51" s="33"/>
      <c r="D51" s="33" t="s">
        <v>107</v>
      </c>
      <c r="E51" s="33"/>
      <c r="F51" s="33" t="s">
        <v>3892</v>
      </c>
      <c r="G51" s="33"/>
      <c r="H51" s="33"/>
      <c r="I51" s="33"/>
      <c r="J51" s="3" t="s">
        <v>3893</v>
      </c>
    </row>
    <row r="52" spans="1:10" ht="27.6">
      <c r="A52" s="3" t="s">
        <v>3692</v>
      </c>
      <c r="B52" s="3">
        <v>3</v>
      </c>
      <c r="C52" s="33"/>
      <c r="D52" s="33" t="s">
        <v>107</v>
      </c>
      <c r="E52" s="33"/>
      <c r="F52" s="33" t="s">
        <v>3892</v>
      </c>
      <c r="G52" s="33"/>
      <c r="H52" s="33"/>
      <c r="I52" s="33"/>
      <c r="J52" s="3" t="s">
        <v>3893</v>
      </c>
    </row>
    <row r="53" spans="1:10" ht="27.6">
      <c r="A53" s="3" t="s">
        <v>3698</v>
      </c>
      <c r="B53" s="3">
        <v>1</v>
      </c>
      <c r="C53" s="33"/>
      <c r="D53" s="33" t="s">
        <v>3894</v>
      </c>
      <c r="E53" s="33"/>
      <c r="F53" s="33" t="s">
        <v>3864</v>
      </c>
      <c r="G53" s="33"/>
      <c r="H53" s="33"/>
      <c r="I53" s="33"/>
      <c r="J53" s="3" t="s">
        <v>3893</v>
      </c>
    </row>
    <row r="54" spans="1:10" ht="27.6">
      <c r="A54" s="3" t="s">
        <v>3698</v>
      </c>
      <c r="B54" s="3">
        <v>2</v>
      </c>
      <c r="C54" s="33"/>
      <c r="D54" s="33" t="s">
        <v>3894</v>
      </c>
      <c r="E54" s="33"/>
      <c r="F54" s="33" t="s">
        <v>3864</v>
      </c>
      <c r="G54" s="33"/>
      <c r="H54" s="33"/>
      <c r="I54" s="33"/>
      <c r="J54" s="3" t="s">
        <v>3893</v>
      </c>
    </row>
    <row r="55" spans="1:10" ht="27.6">
      <c r="A55" s="3" t="s">
        <v>3698</v>
      </c>
      <c r="B55" s="3">
        <v>3</v>
      </c>
      <c r="C55" s="33"/>
      <c r="D55" s="33" t="s">
        <v>3894</v>
      </c>
      <c r="E55" s="33"/>
      <c r="F55" s="33" t="s">
        <v>3864</v>
      </c>
      <c r="G55" s="33"/>
      <c r="H55" s="33"/>
      <c r="I55" s="33"/>
      <c r="J55" s="3" t="s">
        <v>3893</v>
      </c>
    </row>
    <row r="56" spans="1:10" ht="27.6">
      <c r="A56" s="3" t="s">
        <v>3704</v>
      </c>
      <c r="B56" s="3">
        <v>1</v>
      </c>
      <c r="C56" s="33"/>
      <c r="D56" s="33" t="s">
        <v>98</v>
      </c>
      <c r="E56" s="33"/>
      <c r="F56" s="33" t="s">
        <v>3895</v>
      </c>
      <c r="G56" s="33"/>
      <c r="H56" s="33"/>
      <c r="I56" s="33"/>
      <c r="J56" s="3" t="s">
        <v>3896</v>
      </c>
    </row>
    <row r="57" spans="1:10" ht="27.6">
      <c r="A57" s="3" t="s">
        <v>3704</v>
      </c>
      <c r="B57" s="3">
        <v>2</v>
      </c>
      <c r="C57" s="33"/>
      <c r="D57" s="33" t="s">
        <v>98</v>
      </c>
      <c r="E57" s="33"/>
      <c r="F57" s="33" t="s">
        <v>3895</v>
      </c>
      <c r="G57" s="33"/>
      <c r="H57" s="33"/>
      <c r="I57" s="33"/>
      <c r="J57" s="3" t="s">
        <v>3896</v>
      </c>
    </row>
    <row r="58" spans="1:10" ht="27.6">
      <c r="A58" s="3" t="s">
        <v>3704</v>
      </c>
      <c r="B58" s="3">
        <v>3</v>
      </c>
      <c r="C58" s="33"/>
      <c r="D58" s="33" t="s">
        <v>98</v>
      </c>
      <c r="E58" s="33"/>
      <c r="F58" s="33" t="s">
        <v>3895</v>
      </c>
      <c r="G58" s="33"/>
      <c r="H58" s="33"/>
      <c r="I58" s="33"/>
      <c r="J58" s="3" t="s">
        <v>3896</v>
      </c>
    </row>
    <row r="59" spans="1:10" ht="27.6">
      <c r="A59" s="3" t="s">
        <v>3821</v>
      </c>
      <c r="B59" s="3">
        <v>1</v>
      </c>
      <c r="C59" s="33"/>
      <c r="D59" s="33" t="s">
        <v>140</v>
      </c>
      <c r="E59" s="33"/>
      <c r="F59" s="33" t="s">
        <v>3897</v>
      </c>
      <c r="G59" s="33"/>
      <c r="H59" s="33"/>
      <c r="I59" s="33"/>
      <c r="J59" s="3" t="s">
        <v>3898</v>
      </c>
    </row>
    <row r="60" spans="1:10" ht="27.6">
      <c r="A60" s="3" t="s">
        <v>3821</v>
      </c>
      <c r="B60" s="3">
        <v>2</v>
      </c>
      <c r="C60" s="33"/>
      <c r="D60" s="33" t="s">
        <v>140</v>
      </c>
      <c r="E60" s="33"/>
      <c r="F60" s="33" t="s">
        <v>3897</v>
      </c>
      <c r="G60" s="33"/>
      <c r="H60" s="33"/>
      <c r="I60" s="33"/>
      <c r="J60" s="3" t="s">
        <v>3898</v>
      </c>
    </row>
    <row r="61" spans="1:10" ht="27.6">
      <c r="A61" s="3" t="s">
        <v>3821</v>
      </c>
      <c r="B61" s="3">
        <v>3</v>
      </c>
      <c r="C61" s="33"/>
      <c r="D61" s="33" t="s">
        <v>140</v>
      </c>
      <c r="E61" s="33"/>
      <c r="F61" s="33" t="s">
        <v>3897</v>
      </c>
      <c r="G61" s="33"/>
      <c r="H61" s="33"/>
      <c r="I61" s="33"/>
      <c r="J61" s="3" t="s">
        <v>3898</v>
      </c>
    </row>
    <row r="63" spans="1:10" ht="22.35" customHeight="1">
      <c r="A63" s="89" t="s">
        <v>3899</v>
      </c>
      <c r="B63" s="89"/>
      <c r="C63" s="89"/>
      <c r="D63" s="89"/>
      <c r="E63" s="89"/>
      <c r="F63" s="89"/>
      <c r="G63" s="89"/>
      <c r="H63" s="89"/>
      <c r="I63" s="89"/>
      <c r="J63" s="89"/>
    </row>
    <row r="64" spans="1:10" ht="22.35" customHeight="1">
      <c r="A64" s="34" t="s">
        <v>3900</v>
      </c>
      <c r="B64" s="34" t="s">
        <v>3901</v>
      </c>
      <c r="C64" s="34" t="s">
        <v>3902</v>
      </c>
      <c r="D64" s="34" t="s">
        <v>3903</v>
      </c>
      <c r="E64" s="34" t="s">
        <v>3904</v>
      </c>
      <c r="F64" s="34" t="s">
        <v>3905</v>
      </c>
      <c r="G64" s="34" t="s">
        <v>84</v>
      </c>
      <c r="H64" s="34" t="s">
        <v>3782</v>
      </c>
      <c r="I64" s="34" t="s">
        <v>3906</v>
      </c>
      <c r="J64" s="34" t="s">
        <v>3907</v>
      </c>
    </row>
    <row r="65" spans="1:10" ht="27.6">
      <c r="A65" s="3" t="s">
        <v>3908</v>
      </c>
      <c r="B65" s="3">
        <v>0</v>
      </c>
      <c r="C65" s="3" t="s">
        <v>3909</v>
      </c>
      <c r="D65" s="3" t="s">
        <v>3910</v>
      </c>
      <c r="E65" s="3" t="s">
        <v>3911</v>
      </c>
      <c r="F65" s="3" t="s">
        <v>3912</v>
      </c>
      <c r="G65" s="3" t="s">
        <v>3913</v>
      </c>
      <c r="H65" s="3" t="s">
        <v>3914</v>
      </c>
      <c r="I65" s="3" t="s">
        <v>3915</v>
      </c>
      <c r="J65" s="3" t="s">
        <v>3916</v>
      </c>
    </row>
    <row r="66" spans="1:10" ht="27.6">
      <c r="A66" s="3" t="s">
        <v>3917</v>
      </c>
      <c r="B66" s="3">
        <v>1</v>
      </c>
      <c r="C66" s="3" t="s">
        <v>3918</v>
      </c>
      <c r="D66" s="3" t="s">
        <v>3679</v>
      </c>
      <c r="E66" s="3" t="s">
        <v>3919</v>
      </c>
      <c r="F66" s="3" t="s">
        <v>3920</v>
      </c>
      <c r="G66" s="3" t="s">
        <v>3921</v>
      </c>
      <c r="H66" s="3" t="s">
        <v>3922</v>
      </c>
      <c r="I66" s="3" t="s">
        <v>3923</v>
      </c>
      <c r="J66" s="3" t="s">
        <v>3924</v>
      </c>
    </row>
    <row r="67" spans="1:10" ht="27.6">
      <c r="A67" s="3" t="s">
        <v>3925</v>
      </c>
      <c r="B67" s="3">
        <v>5</v>
      </c>
      <c r="C67" s="3" t="s">
        <v>3918</v>
      </c>
      <c r="D67" s="3" t="s">
        <v>3693</v>
      </c>
      <c r="E67" s="3" t="s">
        <v>3926</v>
      </c>
      <c r="F67" s="3" t="s">
        <v>3927</v>
      </c>
      <c r="G67" s="3" t="s">
        <v>3921</v>
      </c>
      <c r="H67" s="3" t="s">
        <v>3922</v>
      </c>
      <c r="I67" s="3" t="s">
        <v>3928</v>
      </c>
      <c r="J67" s="3" t="s">
        <v>3929</v>
      </c>
    </row>
    <row r="69" spans="1:10" ht="20.85" customHeight="1">
      <c r="A69" s="87" t="s">
        <v>3930</v>
      </c>
      <c r="B69" s="87"/>
      <c r="C69" s="87"/>
      <c r="D69" s="87"/>
      <c r="E69" s="87"/>
      <c r="F69" s="87"/>
      <c r="G69" s="87"/>
      <c r="H69" s="87"/>
      <c r="I69" s="87"/>
      <c r="J69" s="87"/>
    </row>
    <row r="70" spans="1:10" ht="20.85" customHeight="1">
      <c r="A70" s="43" t="s">
        <v>712</v>
      </c>
      <c r="B70" s="43" t="s">
        <v>3931</v>
      </c>
      <c r="C70" s="43" t="s">
        <v>83</v>
      </c>
      <c r="D70" s="43" t="s">
        <v>3932</v>
      </c>
      <c r="E70" s="43" t="s">
        <v>3933</v>
      </c>
      <c r="F70" s="43" t="s">
        <v>3888</v>
      </c>
      <c r="G70" s="43" t="s">
        <v>1946</v>
      </c>
      <c r="H70" s="43" t="s">
        <v>3672</v>
      </c>
      <c r="I70" s="43" t="s">
        <v>3934</v>
      </c>
      <c r="J70" s="43" t="s">
        <v>3935</v>
      </c>
    </row>
    <row r="71" spans="1:10" ht="27.6">
      <c r="A71" s="3" t="s">
        <v>3704</v>
      </c>
      <c r="B71" s="33">
        <v>27</v>
      </c>
      <c r="C71" s="33" t="s">
        <v>98</v>
      </c>
      <c r="D71" s="33" t="s">
        <v>3936</v>
      </c>
      <c r="E71" s="33">
        <v>27.2</v>
      </c>
      <c r="F71" s="33">
        <v>0.2</v>
      </c>
      <c r="G71" s="33">
        <v>0.74074074074074081</v>
      </c>
      <c r="H71" s="3" t="s">
        <v>3937</v>
      </c>
      <c r="I71" s="3" t="s">
        <v>3938</v>
      </c>
      <c r="J71" s="3" t="s">
        <v>3939</v>
      </c>
    </row>
    <row r="72" spans="1:10" ht="27.6">
      <c r="A72" s="3" t="s">
        <v>3821</v>
      </c>
      <c r="B72" s="33">
        <v>85</v>
      </c>
      <c r="C72" s="33" t="s">
        <v>140</v>
      </c>
      <c r="D72" s="33" t="s">
        <v>3936</v>
      </c>
      <c r="E72" s="33">
        <v>84.3</v>
      </c>
      <c r="F72" s="33">
        <v>-0.7</v>
      </c>
      <c r="G72" s="33">
        <v>-0.82352941176470573</v>
      </c>
      <c r="H72" s="3" t="s">
        <v>3937</v>
      </c>
      <c r="I72" s="3" t="s">
        <v>3938</v>
      </c>
      <c r="J72" s="3" t="s">
        <v>3940</v>
      </c>
    </row>
    <row r="73" spans="1:10">
      <c r="A73" s="3" t="s">
        <v>3793</v>
      </c>
      <c r="B73" s="33">
        <v>100</v>
      </c>
      <c r="C73" s="33" t="s">
        <v>107</v>
      </c>
      <c r="D73" s="33" t="s">
        <v>3936</v>
      </c>
      <c r="E73" s="33">
        <v>4.9629300000000001</v>
      </c>
      <c r="F73" s="33">
        <v>-95.03707</v>
      </c>
      <c r="G73" s="33">
        <v>-95.03707</v>
      </c>
      <c r="H73" s="3" t="s">
        <v>3941</v>
      </c>
      <c r="I73" s="3" t="s">
        <v>3942</v>
      </c>
      <c r="J73" s="3" t="s">
        <v>3943</v>
      </c>
    </row>
    <row r="74" spans="1:10" ht="27.6">
      <c r="A74" s="3" t="s">
        <v>3802</v>
      </c>
      <c r="B74" s="33">
        <v>848</v>
      </c>
      <c r="C74" s="33" t="s">
        <v>120</v>
      </c>
      <c r="D74" s="33" t="s">
        <v>3944</v>
      </c>
      <c r="E74" s="33">
        <v>848</v>
      </c>
      <c r="F74" s="33">
        <v>0</v>
      </c>
      <c r="G74" s="33">
        <v>0</v>
      </c>
      <c r="H74" s="3" t="s">
        <v>3945</v>
      </c>
      <c r="I74" s="3" t="s">
        <v>3946</v>
      </c>
      <c r="J74" s="3" t="s">
        <v>3947</v>
      </c>
    </row>
    <row r="76" spans="1:10" ht="21.6" customHeight="1">
      <c r="A76" s="88" t="s">
        <v>3948</v>
      </c>
      <c r="B76" s="88"/>
      <c r="C76" s="88"/>
      <c r="D76" s="88"/>
      <c r="E76" s="88"/>
      <c r="F76" s="88"/>
      <c r="G76" s="88"/>
      <c r="H76" s="88"/>
      <c r="I76" s="88"/>
      <c r="J76" s="88"/>
    </row>
    <row r="77" spans="1:10" ht="21.6" customHeight="1">
      <c r="A77" s="51" t="s">
        <v>3949</v>
      </c>
      <c r="B77" s="51" t="s">
        <v>3950</v>
      </c>
      <c r="C77" s="51" t="s">
        <v>3951</v>
      </c>
      <c r="D77" s="51" t="s">
        <v>3952</v>
      </c>
      <c r="E77" s="51" t="s">
        <v>3649</v>
      </c>
      <c r="F77" s="51" t="s">
        <v>3656</v>
      </c>
      <c r="G77" s="51" t="s">
        <v>3953</v>
      </c>
      <c r="H77" s="51" t="s">
        <v>3954</v>
      </c>
      <c r="I77" s="51" t="s">
        <v>3955</v>
      </c>
      <c r="J77" s="51" t="s">
        <v>3956</v>
      </c>
    </row>
    <row r="78" spans="1:10">
      <c r="A78" s="3" t="s">
        <v>719</v>
      </c>
      <c r="B78" s="3" t="s">
        <v>3957</v>
      </c>
      <c r="C78" s="3" t="s">
        <v>3958</v>
      </c>
      <c r="D78" s="3" t="s">
        <v>51</v>
      </c>
      <c r="E78" s="3" t="s">
        <v>3959</v>
      </c>
      <c r="F78" s="3" t="s">
        <v>3959</v>
      </c>
      <c r="G78" s="3" t="s">
        <v>3960</v>
      </c>
      <c r="H78" s="3" t="s">
        <v>3961</v>
      </c>
      <c r="I78" s="3" t="s">
        <v>3962</v>
      </c>
      <c r="J78" s="3" t="s">
        <v>58</v>
      </c>
    </row>
    <row r="79" spans="1:10">
      <c r="A79" s="3" t="s">
        <v>722</v>
      </c>
      <c r="B79" s="3" t="s">
        <v>3957</v>
      </c>
      <c r="C79" s="3" t="s">
        <v>3963</v>
      </c>
      <c r="D79" s="3" t="s">
        <v>51</v>
      </c>
      <c r="E79" s="3" t="s">
        <v>3959</v>
      </c>
      <c r="F79" s="3" t="s">
        <v>3959</v>
      </c>
      <c r="G79" s="3" t="s">
        <v>3960</v>
      </c>
      <c r="H79" s="3" t="s">
        <v>3961</v>
      </c>
      <c r="I79" s="3" t="s">
        <v>3964</v>
      </c>
      <c r="J79" s="3" t="s">
        <v>58</v>
      </c>
    </row>
    <row r="80" spans="1:10" ht="27.6">
      <c r="A80" s="3" t="s">
        <v>3852</v>
      </c>
      <c r="B80" s="3" t="s">
        <v>3965</v>
      </c>
      <c r="C80" s="3" t="s">
        <v>3966</v>
      </c>
      <c r="D80" s="3" t="s">
        <v>51</v>
      </c>
      <c r="E80" s="3" t="s">
        <v>3959</v>
      </c>
      <c r="F80" s="3" t="s">
        <v>3959</v>
      </c>
      <c r="G80" s="3" t="s">
        <v>3960</v>
      </c>
      <c r="H80" s="3" t="s">
        <v>3961</v>
      </c>
      <c r="I80" s="3" t="s">
        <v>3967</v>
      </c>
      <c r="J80" s="3" t="s">
        <v>58</v>
      </c>
    </row>
    <row r="81" spans="1:10">
      <c r="A81" s="3" t="s">
        <v>3862</v>
      </c>
      <c r="B81" s="3" t="s">
        <v>3968</v>
      </c>
      <c r="C81" s="3" t="s">
        <v>3969</v>
      </c>
      <c r="D81" s="3" t="s">
        <v>51</v>
      </c>
      <c r="E81" s="3" t="s">
        <v>3959</v>
      </c>
      <c r="F81" s="3" t="s">
        <v>3959</v>
      </c>
      <c r="G81" s="3" t="s">
        <v>3960</v>
      </c>
      <c r="H81" s="3" t="s">
        <v>3961</v>
      </c>
      <c r="I81" s="3" t="s">
        <v>3970</v>
      </c>
      <c r="J81" s="3" t="s">
        <v>58</v>
      </c>
    </row>
  </sheetData>
  <mergeCells count="15">
    <mergeCell ref="A1:J2"/>
    <mergeCell ref="A4:J5"/>
    <mergeCell ref="A7:J7"/>
    <mergeCell ref="A28:J28"/>
    <mergeCell ref="A36:J36"/>
    <mergeCell ref="A69:J69"/>
    <mergeCell ref="A76:J76"/>
    <mergeCell ref="A45:J45"/>
    <mergeCell ref="A63:J63"/>
    <mergeCell ref="L30:S31"/>
    <mergeCell ref="M32:S32"/>
    <mergeCell ref="M33:S33"/>
    <mergeCell ref="M34:S34"/>
    <mergeCell ref="M35:S35"/>
    <mergeCell ref="M36:S36"/>
  </mergeCells>
  <conditionalFormatting sqref="H9:H25">
    <cfRule type="expression" dxfId="6" priority="1">
      <formula>ISNUMBER(SEARCH("TODO",H9))</formula>
    </cfRule>
    <cfRule type="expression" dxfId="5" priority="2">
      <formula>OR(H9="Review needed",H9="Present but unused")</formula>
    </cfRule>
  </conditionalFormatting>
  <conditionalFormatting sqref="H38:H42">
    <cfRule type="expression" dxfId="4" priority="3">
      <formula>ISNUMBER(SEARCH("Partial",H38))</formula>
    </cfRule>
    <cfRule type="expression" dxfId="3" priority="4">
      <formula>H38="Incomplete"</formula>
    </cfRule>
  </conditionalFormatting>
  <conditionalFormatting sqref="J47:J61">
    <cfRule type="expression" dxfId="2" priority="5">
      <formula>ISNUMBER(SEARCH("not present",J47))</formula>
    </cfRule>
  </conditionalFormatting>
  <pageMargins left="0.7" right="0.7" top="0.75" bottom="0.75" header="0.3" footer="0.3"/>
  <drawing r:id="rId1"/>
  <tableParts count="6">
    <tablePart r:id="rId2"/>
    <tablePart r:id="rId3"/>
    <tablePart r:id="rId4"/>
    <tablePart r:id="rId5"/>
    <tablePart r:id="rId6"/>
    <tablePart r:id="rId7"/>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36"/>
  <sheetViews>
    <sheetView workbookViewId="0">
      <selection sqref="A1:J2"/>
    </sheetView>
  </sheetViews>
  <sheetFormatPr defaultRowHeight="13.8"/>
  <cols>
    <col min="1" max="1" width="24" customWidth="1"/>
    <col min="2" max="2" width="19" customWidth="1"/>
    <col min="3" max="3" width="13" customWidth="1"/>
    <col min="4" max="4" width="30" customWidth="1"/>
    <col min="5" max="7" width="18" customWidth="1"/>
    <col min="8" max="8" width="22" customWidth="1"/>
    <col min="9" max="9" width="29" customWidth="1"/>
    <col min="10" max="10" width="42" customWidth="1"/>
  </cols>
  <sheetData>
    <row r="1" spans="1:10" ht="24" customHeight="1">
      <c r="A1" s="98" t="s">
        <v>3971</v>
      </c>
      <c r="B1" s="98"/>
      <c r="C1" s="98"/>
      <c r="D1" s="98"/>
      <c r="E1" s="98"/>
      <c r="F1" s="98"/>
      <c r="G1" s="98"/>
      <c r="H1" s="98"/>
      <c r="I1" s="98"/>
      <c r="J1" s="98"/>
    </row>
    <row r="2" spans="1:10" ht="24" customHeight="1">
      <c r="A2" s="98"/>
      <c r="B2" s="98"/>
      <c r="C2" s="98"/>
      <c r="D2" s="98"/>
      <c r="E2" s="98"/>
      <c r="F2" s="98"/>
      <c r="G2" s="98"/>
      <c r="H2" s="98"/>
      <c r="I2" s="98"/>
      <c r="J2" s="98"/>
    </row>
    <row r="4" spans="1:10" ht="22.35" customHeight="1">
      <c r="A4" s="99" t="s">
        <v>3972</v>
      </c>
      <c r="B4" s="99"/>
      <c r="C4" s="99"/>
      <c r="D4" s="99"/>
      <c r="E4" s="99"/>
      <c r="F4" s="99"/>
      <c r="G4" s="99"/>
      <c r="H4" s="99"/>
      <c r="I4" s="99"/>
      <c r="J4" s="99"/>
    </row>
    <row r="5" spans="1:10" ht="22.35" customHeight="1">
      <c r="A5" s="99"/>
      <c r="B5" s="99"/>
      <c r="C5" s="99"/>
      <c r="D5" s="99"/>
      <c r="E5" s="99"/>
      <c r="F5" s="99"/>
      <c r="G5" s="99"/>
      <c r="H5" s="99"/>
      <c r="I5" s="99"/>
      <c r="J5" s="99"/>
    </row>
    <row r="6" spans="1:10" ht="22.35" customHeight="1">
      <c r="A6" s="99"/>
      <c r="B6" s="99"/>
      <c r="C6" s="99"/>
      <c r="D6" s="99"/>
      <c r="E6" s="99"/>
      <c r="F6" s="99"/>
      <c r="G6" s="99"/>
      <c r="H6" s="99"/>
      <c r="I6" s="99"/>
      <c r="J6" s="99"/>
    </row>
    <row r="8" spans="1:10" ht="20.85" customHeight="1">
      <c r="A8" s="100" t="s">
        <v>3973</v>
      </c>
      <c r="B8" s="100"/>
      <c r="C8" s="100"/>
      <c r="D8" s="100"/>
      <c r="E8" s="100"/>
      <c r="F8" s="100"/>
      <c r="G8" s="100"/>
      <c r="H8" s="100"/>
      <c r="I8" s="100"/>
      <c r="J8" s="100"/>
    </row>
    <row r="9" spans="1:10" ht="20.85" customHeight="1">
      <c r="A9" s="39" t="s">
        <v>712</v>
      </c>
      <c r="B9" s="39" t="s">
        <v>3974</v>
      </c>
      <c r="C9" s="39" t="s">
        <v>83</v>
      </c>
      <c r="D9" s="39" t="s">
        <v>3975</v>
      </c>
      <c r="E9" s="39" t="s">
        <v>3976</v>
      </c>
      <c r="F9" s="39" t="s">
        <v>3888</v>
      </c>
      <c r="G9" s="39" t="s">
        <v>1946</v>
      </c>
      <c r="H9" s="39" t="s">
        <v>3977</v>
      </c>
      <c r="I9" s="39" t="s">
        <v>3978</v>
      </c>
      <c r="J9" s="39" t="s">
        <v>1948</v>
      </c>
    </row>
    <row r="10" spans="1:10" ht="27.6">
      <c r="A10" s="3" t="s">
        <v>3704</v>
      </c>
      <c r="B10" s="33">
        <v>27</v>
      </c>
      <c r="C10" s="33" t="s">
        <v>98</v>
      </c>
      <c r="D10" s="33" t="s">
        <v>3979</v>
      </c>
      <c r="E10" s="33">
        <v>27.2</v>
      </c>
      <c r="F10" s="33">
        <v>0.19999999999999929</v>
      </c>
      <c r="G10" s="33">
        <v>0.74074074074073804</v>
      </c>
      <c r="H10" s="3" t="s">
        <v>3980</v>
      </c>
      <c r="I10" s="3" t="s">
        <v>3981</v>
      </c>
      <c r="J10" s="3" t="s">
        <v>3982</v>
      </c>
    </row>
    <row r="11" spans="1:10" ht="27.6">
      <c r="A11" s="3" t="s">
        <v>3821</v>
      </c>
      <c r="B11" s="33">
        <v>85</v>
      </c>
      <c r="C11" s="33" t="s">
        <v>140</v>
      </c>
      <c r="D11" s="33" t="s">
        <v>3979</v>
      </c>
      <c r="E11" s="33">
        <v>84.3</v>
      </c>
      <c r="F11" s="33">
        <v>-0.70000000000000284</v>
      </c>
      <c r="G11" s="33">
        <v>-0.82352941176470928</v>
      </c>
      <c r="H11" s="3" t="s">
        <v>3983</v>
      </c>
      <c r="I11" s="3" t="s">
        <v>3981</v>
      </c>
      <c r="J11" s="3" t="s">
        <v>3982</v>
      </c>
    </row>
    <row r="12" spans="1:10" ht="41.4">
      <c r="A12" s="3" t="s">
        <v>3692</v>
      </c>
      <c r="B12" s="33">
        <v>100</v>
      </c>
      <c r="C12" s="33" t="s">
        <v>107</v>
      </c>
      <c r="D12" s="33" t="s">
        <v>3984</v>
      </c>
      <c r="E12" s="33">
        <v>4.9629300000000001</v>
      </c>
      <c r="F12" s="33">
        <v>-95.03707</v>
      </c>
      <c r="G12" s="33">
        <v>-95.03707</v>
      </c>
      <c r="H12" s="3" t="s">
        <v>3985</v>
      </c>
      <c r="I12" s="3" t="s">
        <v>3981</v>
      </c>
      <c r="J12" s="3" t="s">
        <v>3986</v>
      </c>
    </row>
    <row r="13" spans="1:10" ht="27.6">
      <c r="A13" s="3" t="s">
        <v>3698</v>
      </c>
      <c r="B13" s="33">
        <v>848</v>
      </c>
      <c r="C13" s="33" t="s">
        <v>120</v>
      </c>
      <c r="D13" s="33" t="s">
        <v>3987</v>
      </c>
      <c r="E13" s="33">
        <v>848</v>
      </c>
      <c r="F13" s="33">
        <v>0</v>
      </c>
      <c r="G13" s="33">
        <v>0</v>
      </c>
      <c r="H13" s="3" t="s">
        <v>3988</v>
      </c>
      <c r="I13" s="3" t="s">
        <v>3989</v>
      </c>
      <c r="J13" s="3" t="s">
        <v>3990</v>
      </c>
    </row>
    <row r="16" spans="1:10" ht="20.85" customHeight="1">
      <c r="A16" s="101" t="s">
        <v>3991</v>
      </c>
      <c r="B16" s="101"/>
      <c r="C16" s="101"/>
      <c r="D16" s="101"/>
      <c r="E16" s="101"/>
      <c r="F16" s="101"/>
      <c r="G16" s="101"/>
      <c r="H16" s="101"/>
      <c r="I16" s="101"/>
      <c r="J16" s="101"/>
    </row>
    <row r="17" spans="1:10" ht="20.85" customHeight="1">
      <c r="A17" s="40" t="s">
        <v>712</v>
      </c>
      <c r="B17" s="40" t="s">
        <v>3662</v>
      </c>
      <c r="C17" s="40" t="s">
        <v>3992</v>
      </c>
      <c r="D17" s="40" t="s">
        <v>3993</v>
      </c>
      <c r="E17" s="40" t="s">
        <v>3994</v>
      </c>
      <c r="F17" s="40" t="s">
        <v>3995</v>
      </c>
      <c r="G17" s="40" t="s">
        <v>3996</v>
      </c>
      <c r="H17" s="40" t="s">
        <v>3997</v>
      </c>
      <c r="I17" s="40" t="s">
        <v>3998</v>
      </c>
      <c r="J17" s="40" t="s">
        <v>83</v>
      </c>
    </row>
    <row r="18" spans="1:10">
      <c r="A18" t="s">
        <v>3704</v>
      </c>
      <c r="B18">
        <v>242</v>
      </c>
      <c r="C18" s="16">
        <v>7.1</v>
      </c>
      <c r="D18" s="16">
        <v>27.3</v>
      </c>
      <c r="E18" s="16">
        <v>26.815702479338842</v>
      </c>
      <c r="F18" s="16">
        <v>27.3</v>
      </c>
      <c r="G18" s="16">
        <v>27.8</v>
      </c>
      <c r="H18" s="16">
        <v>29.1</v>
      </c>
      <c r="I18" s="16">
        <v>3.0068113068108566</v>
      </c>
      <c r="J18" t="s">
        <v>98</v>
      </c>
    </row>
    <row r="19" spans="1:10">
      <c r="A19" t="s">
        <v>3821</v>
      </c>
      <c r="B19">
        <v>242</v>
      </c>
      <c r="C19" s="16">
        <v>68.7</v>
      </c>
      <c r="D19" s="16">
        <v>76.900000000000006</v>
      </c>
      <c r="E19" s="16">
        <v>78.63760330578512</v>
      </c>
      <c r="F19" s="16">
        <v>80.8</v>
      </c>
      <c r="G19" s="16">
        <v>81.099999999999994</v>
      </c>
      <c r="H19" s="16">
        <v>86.5</v>
      </c>
      <c r="I19" s="16">
        <v>4.7910998962059539</v>
      </c>
      <c r="J19" t="s">
        <v>140</v>
      </c>
    </row>
    <row r="20" spans="1:10">
      <c r="A20" t="s">
        <v>3692</v>
      </c>
      <c r="B20">
        <v>242</v>
      </c>
      <c r="C20" s="16">
        <v>0</v>
      </c>
      <c r="D20" s="16">
        <v>0</v>
      </c>
      <c r="E20" s="16">
        <v>0.27615403719008264</v>
      </c>
      <c r="F20" s="16">
        <v>0</v>
      </c>
      <c r="G20" s="16">
        <v>0</v>
      </c>
      <c r="H20" s="16">
        <v>4.9629300000000001</v>
      </c>
      <c r="I20" s="16">
        <v>0.67065056310237903</v>
      </c>
      <c r="J20" t="s">
        <v>107</v>
      </c>
    </row>
    <row r="21" spans="1:10">
      <c r="A21" t="s">
        <v>3698</v>
      </c>
      <c r="B21">
        <v>20</v>
      </c>
      <c r="C21" s="16">
        <v>48</v>
      </c>
      <c r="D21" s="16">
        <v>819</v>
      </c>
      <c r="E21" s="16">
        <v>766.55</v>
      </c>
      <c r="F21" s="16">
        <v>847.5</v>
      </c>
      <c r="G21" s="16">
        <v>849.5</v>
      </c>
      <c r="H21" s="16">
        <v>865</v>
      </c>
      <c r="I21" s="16">
        <v>235.44101395600467</v>
      </c>
      <c r="J21" t="s">
        <v>120</v>
      </c>
    </row>
    <row r="24" spans="1:10" ht="20.85" customHeight="1">
      <c r="A24" s="102" t="s">
        <v>3999</v>
      </c>
      <c r="B24" s="102"/>
      <c r="C24" s="102"/>
      <c r="D24" s="102"/>
      <c r="E24" s="102"/>
      <c r="F24" s="102"/>
      <c r="G24" s="102"/>
      <c r="H24" s="102"/>
      <c r="I24" s="102"/>
      <c r="J24" s="102"/>
    </row>
    <row r="25" spans="1:10" ht="20.85" customHeight="1">
      <c r="A25" s="41" t="s">
        <v>3949</v>
      </c>
      <c r="B25" s="41" t="s">
        <v>4000</v>
      </c>
      <c r="C25" s="41" t="s">
        <v>4001</v>
      </c>
      <c r="D25" s="41" t="s">
        <v>4002</v>
      </c>
      <c r="E25" s="41" t="s">
        <v>4003</v>
      </c>
      <c r="F25" s="41" t="s">
        <v>4004</v>
      </c>
      <c r="G25" s="41" t="s">
        <v>4005</v>
      </c>
      <c r="H25" s="41" t="s">
        <v>4006</v>
      </c>
      <c r="I25" s="41" t="s">
        <v>4007</v>
      </c>
      <c r="J25" s="41" t="s">
        <v>4008</v>
      </c>
    </row>
    <row r="26" spans="1:10" ht="41.4">
      <c r="A26" s="3" t="s">
        <v>719</v>
      </c>
      <c r="B26" s="3" t="s">
        <v>4009</v>
      </c>
      <c r="C26" s="3" t="s">
        <v>4010</v>
      </c>
      <c r="D26" s="3" t="s">
        <v>4011</v>
      </c>
      <c r="E26" s="3" t="s">
        <v>4011</v>
      </c>
      <c r="F26" s="3" t="s">
        <v>4012</v>
      </c>
      <c r="G26" s="3" t="s">
        <v>4013</v>
      </c>
      <c r="H26" s="3" t="s">
        <v>4014</v>
      </c>
      <c r="I26" s="3" t="s">
        <v>4015</v>
      </c>
      <c r="J26" s="3" t="s">
        <v>4016</v>
      </c>
    </row>
    <row r="27" spans="1:10" ht="41.4">
      <c r="A27" s="3" t="s">
        <v>722</v>
      </c>
      <c r="B27" s="3" t="s">
        <v>4017</v>
      </c>
      <c r="C27" s="3" t="s">
        <v>4010</v>
      </c>
      <c r="D27" s="3" t="s">
        <v>4011</v>
      </c>
      <c r="E27" s="3" t="s">
        <v>4011</v>
      </c>
      <c r="F27" s="3" t="s">
        <v>4012</v>
      </c>
      <c r="G27" s="3" t="s">
        <v>4013</v>
      </c>
      <c r="H27" s="3" t="s">
        <v>4014</v>
      </c>
      <c r="I27" s="3" t="s">
        <v>4018</v>
      </c>
      <c r="J27" s="3" t="s">
        <v>4019</v>
      </c>
    </row>
    <row r="28" spans="1:10" ht="41.4">
      <c r="A28" s="3" t="s">
        <v>3852</v>
      </c>
      <c r="B28" s="3" t="s">
        <v>4020</v>
      </c>
      <c r="C28" s="3" t="s">
        <v>4010</v>
      </c>
      <c r="D28" s="3" t="s">
        <v>4011</v>
      </c>
      <c r="E28" s="3" t="s">
        <v>4011</v>
      </c>
      <c r="F28" s="3" t="s">
        <v>4021</v>
      </c>
      <c r="G28" s="3" t="s">
        <v>4022</v>
      </c>
      <c r="H28" s="3" t="s">
        <v>4023</v>
      </c>
      <c r="I28" s="3" t="s">
        <v>4024</v>
      </c>
      <c r="J28" s="3" t="s">
        <v>4025</v>
      </c>
    </row>
    <row r="29" spans="1:10" ht="55.2">
      <c r="A29" s="3" t="s">
        <v>3862</v>
      </c>
      <c r="B29" s="3" t="s">
        <v>4026</v>
      </c>
      <c r="C29" s="3" t="s">
        <v>4027</v>
      </c>
      <c r="D29" s="3" t="s">
        <v>4011</v>
      </c>
      <c r="E29" s="3" t="s">
        <v>4011</v>
      </c>
      <c r="F29" s="3" t="s">
        <v>4028</v>
      </c>
      <c r="G29" s="3" t="s">
        <v>4029</v>
      </c>
      <c r="H29" s="3" t="s">
        <v>4030</v>
      </c>
      <c r="I29" s="3" t="s">
        <v>4031</v>
      </c>
      <c r="J29" s="3" t="s">
        <v>4032</v>
      </c>
    </row>
    <row r="32" spans="1:10" ht="20.85" customHeight="1">
      <c r="A32" s="97" t="s">
        <v>4033</v>
      </c>
      <c r="B32" s="97"/>
      <c r="C32" s="97"/>
      <c r="D32" s="97"/>
      <c r="E32" s="97"/>
      <c r="F32" s="97"/>
      <c r="G32" s="97"/>
      <c r="H32" s="97"/>
      <c r="I32" s="97"/>
      <c r="J32" s="97"/>
    </row>
    <row r="33" spans="1:2" ht="124.2">
      <c r="A33" s="42" t="s">
        <v>719</v>
      </c>
      <c r="B33" s="3" t="s">
        <v>4034</v>
      </c>
    </row>
    <row r="34" spans="1:2" ht="124.2">
      <c r="A34" s="42" t="s">
        <v>722</v>
      </c>
      <c r="B34" s="3" t="s">
        <v>4035</v>
      </c>
    </row>
    <row r="35" spans="1:2" ht="124.2">
      <c r="A35" s="42" t="s">
        <v>3852</v>
      </c>
      <c r="B35" s="3" t="s">
        <v>4036</v>
      </c>
    </row>
    <row r="36" spans="1:2" ht="110.4">
      <c r="A36" s="42" t="s">
        <v>3862</v>
      </c>
      <c r="B36" s="3" t="s">
        <v>4037</v>
      </c>
    </row>
  </sheetData>
  <mergeCells count="6">
    <mergeCell ref="A32:J32"/>
    <mergeCell ref="A1:J2"/>
    <mergeCell ref="A4:J6"/>
    <mergeCell ref="A8:J8"/>
    <mergeCell ref="A16:J16"/>
    <mergeCell ref="A24:J24"/>
  </mergeCells>
  <conditionalFormatting sqref="G10:G13">
    <cfRule type="colorScale" priority="1">
      <colorScale>
        <cfvo type="min"/>
        <cfvo type="percentile" val="50"/>
        <cfvo type="max"/>
        <color rgb="FF63BE7B"/>
        <color rgb="FFFFEB84"/>
        <color rgb="FFF8696B"/>
      </colorScale>
    </cfRule>
  </conditionalFormatting>
  <conditionalFormatting sqref="H26:H29">
    <cfRule type="expression" dxfId="1" priority="2">
      <formula>ISNUMBER(SEARCH("incomplete",H26))</formula>
    </cfRule>
    <cfRule type="expression" dxfId="0" priority="3">
      <formula>ISNUMBER(SEARCH("not calibration",H26))</formula>
    </cfRule>
  </conditionalFormatting>
  <pageMargins left="0.7" right="0.7" top="0.75" bottom="0.75" header="0.3" footer="0.3"/>
  <tableParts count="3">
    <tablePart r:id="rId1"/>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2"/>
  <sheetViews>
    <sheetView topLeftCell="A6" workbookViewId="0">
      <selection sqref="A1:K2"/>
    </sheetView>
  </sheetViews>
  <sheetFormatPr defaultRowHeight="13.8"/>
  <cols>
    <col min="1" max="1" width="24" customWidth="1"/>
    <col min="2" max="2" width="9" customWidth="1"/>
    <col min="3" max="3" width="35" customWidth="1"/>
    <col min="4" max="4" width="20" customWidth="1"/>
    <col min="5" max="5" width="12" customWidth="1"/>
    <col min="6" max="11" width="18" customWidth="1"/>
  </cols>
  <sheetData>
    <row r="1" spans="1:11" ht="24" customHeight="1">
      <c r="A1" s="103" t="s">
        <v>4038</v>
      </c>
      <c r="B1" s="103"/>
      <c r="C1" s="103"/>
      <c r="D1" s="103"/>
      <c r="E1" s="103"/>
      <c r="F1" s="103"/>
      <c r="G1" s="103"/>
      <c r="H1" s="103"/>
      <c r="I1" s="103"/>
      <c r="J1" s="103"/>
      <c r="K1" s="103"/>
    </row>
    <row r="2" spans="1:11" ht="24" customHeight="1">
      <c r="A2" s="103"/>
      <c r="B2" s="103"/>
      <c r="C2" s="103"/>
      <c r="D2" s="103"/>
      <c r="E2" s="103"/>
      <c r="F2" s="103"/>
      <c r="G2" s="103"/>
      <c r="H2" s="103"/>
      <c r="I2" s="103"/>
      <c r="J2" s="103"/>
      <c r="K2" s="103"/>
    </row>
    <row r="4" spans="1:11" ht="22.35" customHeight="1">
      <c r="A4" s="104" t="s">
        <v>4039</v>
      </c>
      <c r="B4" s="104"/>
      <c r="C4" s="104"/>
      <c r="D4" s="104"/>
      <c r="E4" s="104"/>
      <c r="F4" s="104"/>
      <c r="G4" s="104"/>
      <c r="H4" s="104"/>
      <c r="I4" s="104"/>
      <c r="J4" s="104"/>
      <c r="K4" s="104"/>
    </row>
    <row r="5" spans="1:11" ht="22.35" customHeight="1">
      <c r="A5" s="104"/>
      <c r="B5" s="104"/>
      <c r="C5" s="104"/>
      <c r="D5" s="104"/>
      <c r="E5" s="104"/>
      <c r="F5" s="104"/>
      <c r="G5" s="104"/>
      <c r="H5" s="104"/>
      <c r="I5" s="104"/>
      <c r="J5" s="104"/>
      <c r="K5" s="104"/>
    </row>
    <row r="6" spans="1:11" ht="22.35" customHeight="1">
      <c r="A6" s="104"/>
      <c r="B6" s="104"/>
      <c r="C6" s="104"/>
      <c r="D6" s="104"/>
      <c r="E6" s="104"/>
      <c r="F6" s="104"/>
      <c r="G6" s="104"/>
      <c r="H6" s="104"/>
      <c r="I6" s="104"/>
      <c r="J6" s="104"/>
      <c r="K6" s="104"/>
    </row>
    <row r="8" spans="1:11" ht="21.6" customHeight="1">
      <c r="A8" s="46" t="s">
        <v>712</v>
      </c>
      <c r="B8" s="46" t="s">
        <v>3883</v>
      </c>
      <c r="C8" s="46" t="s">
        <v>4040</v>
      </c>
      <c r="D8" s="46" t="s">
        <v>4041</v>
      </c>
      <c r="E8" s="46" t="s">
        <v>83</v>
      </c>
      <c r="F8" s="46" t="s">
        <v>4042</v>
      </c>
      <c r="G8" s="46" t="s">
        <v>4043</v>
      </c>
      <c r="H8" s="46" t="s">
        <v>4044</v>
      </c>
      <c r="I8" s="46" t="s">
        <v>3887</v>
      </c>
      <c r="J8" s="46" t="s">
        <v>4045</v>
      </c>
      <c r="K8" s="46" t="s">
        <v>4046</v>
      </c>
    </row>
    <row r="9" spans="1:11">
      <c r="A9" s="3" t="s">
        <v>3704</v>
      </c>
      <c r="B9" s="3">
        <v>1</v>
      </c>
      <c r="C9" s="3" t="s">
        <v>4047</v>
      </c>
      <c r="D9" s="49">
        <v>27</v>
      </c>
      <c r="E9" s="49" t="s">
        <v>98</v>
      </c>
      <c r="F9" s="49">
        <v>27.2</v>
      </c>
      <c r="G9" s="49">
        <f t="shared" ref="G9:G20" si="0">F9-D9</f>
        <v>0.19999999999999929</v>
      </c>
      <c r="H9" s="49">
        <f t="shared" ref="H9:H20" si="1">IF(D9=0,"",G9/D9*100)</f>
        <v>0.74074074074073804</v>
      </c>
      <c r="I9" s="49">
        <f>$D$25*F9+$E$25</f>
        <v>27.197802197801998</v>
      </c>
      <c r="J9" s="49">
        <f t="shared" ref="J9:J20" si="2">I9-D9</f>
        <v>0.19780219780199815</v>
      </c>
      <c r="K9" s="49">
        <f t="shared" ref="K9:K20" si="3">IF(D9=0,"",J9/D9*100)</f>
        <v>0.73260073259999314</v>
      </c>
    </row>
    <row r="10" spans="1:11">
      <c r="A10" s="3" t="s">
        <v>3704</v>
      </c>
      <c r="B10" s="3">
        <v>2</v>
      </c>
      <c r="C10" s="3" t="s">
        <v>4047</v>
      </c>
      <c r="D10" s="49">
        <v>27.5</v>
      </c>
      <c r="E10" s="49" t="s">
        <v>98</v>
      </c>
      <c r="F10" s="49">
        <v>27.3</v>
      </c>
      <c r="G10" s="49">
        <f t="shared" si="0"/>
        <v>-0.19999999999999929</v>
      </c>
      <c r="H10" s="49">
        <f t="shared" si="1"/>
        <v>-0.72727272727272463</v>
      </c>
      <c r="I10" s="49">
        <f>$D$25*F10+$E$25</f>
        <v>27.280219780219639</v>
      </c>
      <c r="J10" s="49">
        <f t="shared" si="2"/>
        <v>-0.21978021978036111</v>
      </c>
      <c r="K10" s="49">
        <f t="shared" si="3"/>
        <v>-0.79920079920131315</v>
      </c>
    </row>
    <row r="11" spans="1:11">
      <c r="A11" s="3" t="s">
        <v>3704</v>
      </c>
      <c r="B11" s="3">
        <v>3</v>
      </c>
      <c r="C11" s="3" t="s">
        <v>4047</v>
      </c>
      <c r="D11" s="49">
        <v>28</v>
      </c>
      <c r="E11" s="49" t="s">
        <v>98</v>
      </c>
      <c r="F11" s="49">
        <v>28.2</v>
      </c>
      <c r="G11" s="49">
        <f t="shared" si="0"/>
        <v>0.19999999999999929</v>
      </c>
      <c r="H11" s="49">
        <f t="shared" si="1"/>
        <v>0.71428571428571175</v>
      </c>
      <c r="I11" s="49">
        <f>$D$25*F11+$E$25</f>
        <v>28.021978021978367</v>
      </c>
      <c r="J11" s="49">
        <f t="shared" si="2"/>
        <v>2.1978021978366513E-2</v>
      </c>
      <c r="K11" s="49">
        <f t="shared" si="3"/>
        <v>7.8492935637023267E-2</v>
      </c>
    </row>
    <row r="12" spans="1:11">
      <c r="A12" s="3" t="s">
        <v>3821</v>
      </c>
      <c r="B12" s="3">
        <v>1</v>
      </c>
      <c r="C12" s="3" t="s">
        <v>4047</v>
      </c>
      <c r="D12" s="49">
        <v>70</v>
      </c>
      <c r="E12" s="49" t="s">
        <v>140</v>
      </c>
      <c r="F12" s="49">
        <v>70</v>
      </c>
      <c r="G12" s="49">
        <f t="shared" si="0"/>
        <v>0</v>
      </c>
      <c r="H12" s="49">
        <f t="shared" si="1"/>
        <v>0</v>
      </c>
      <c r="I12" s="49">
        <f>$D$26*F12+$E$26</f>
        <v>70.017186673717461</v>
      </c>
      <c r="J12" s="49">
        <f t="shared" si="2"/>
        <v>1.7186673717461076E-2</v>
      </c>
      <c r="K12" s="49">
        <f t="shared" si="3"/>
        <v>2.4552391024944394E-2</v>
      </c>
    </row>
    <row r="13" spans="1:11">
      <c r="A13" s="3" t="s">
        <v>3821</v>
      </c>
      <c r="B13" s="3">
        <v>2</v>
      </c>
      <c r="C13" s="3" t="s">
        <v>4047</v>
      </c>
      <c r="D13" s="49">
        <v>81</v>
      </c>
      <c r="E13" s="49" t="s">
        <v>140</v>
      </c>
      <c r="F13" s="49">
        <v>80.8</v>
      </c>
      <c r="G13" s="49">
        <f t="shared" si="0"/>
        <v>-0.20000000000000284</v>
      </c>
      <c r="H13" s="49">
        <f t="shared" si="1"/>
        <v>-0.24691358024691709</v>
      </c>
      <c r="I13" s="49">
        <f>$D$26*F13+$E$26</f>
        <v>80.840031729243833</v>
      </c>
      <c r="J13" s="49">
        <f t="shared" si="2"/>
        <v>-0.15996827075616693</v>
      </c>
      <c r="K13" s="49">
        <f t="shared" si="3"/>
        <v>-0.19749169229156413</v>
      </c>
    </row>
    <row r="14" spans="1:11">
      <c r="A14" s="3" t="s">
        <v>3821</v>
      </c>
      <c r="B14" s="3">
        <v>3</v>
      </c>
      <c r="C14" s="3" t="s">
        <v>4047</v>
      </c>
      <c r="D14" s="49">
        <v>82</v>
      </c>
      <c r="E14" s="49" t="s">
        <v>140</v>
      </c>
      <c r="F14" s="49">
        <v>82.1</v>
      </c>
      <c r="G14" s="49">
        <f t="shared" si="0"/>
        <v>9.9999999999994316E-2</v>
      </c>
      <c r="H14" s="49">
        <f t="shared" si="1"/>
        <v>0.12195121951218818</v>
      </c>
      <c r="I14" s="49">
        <f>$D$26*F14+$E$26</f>
        <v>82.142781597038677</v>
      </c>
      <c r="J14" s="49">
        <f t="shared" si="2"/>
        <v>0.14278159703867743</v>
      </c>
      <c r="K14" s="49">
        <f t="shared" si="3"/>
        <v>0.17412389882765542</v>
      </c>
    </row>
    <row r="15" spans="1:11" ht="27.6">
      <c r="A15" s="3" t="s">
        <v>3692</v>
      </c>
      <c r="B15" s="3">
        <v>1</v>
      </c>
      <c r="C15" s="3" t="s">
        <v>4048</v>
      </c>
      <c r="D15" s="49">
        <v>0.7</v>
      </c>
      <c r="E15" s="49" t="s">
        <v>107</v>
      </c>
      <c r="F15" s="49">
        <v>0.69979999999999998</v>
      </c>
      <c r="G15" s="49">
        <f t="shared" si="0"/>
        <v>-1.9999999999997797E-4</v>
      </c>
      <c r="H15" s="49">
        <f t="shared" si="1"/>
        <v>-2.8571428571425424E-2</v>
      </c>
      <c r="I15" s="49">
        <f>$D$27*F15+$E$27</f>
        <v>0.69455517248155585</v>
      </c>
      <c r="J15" s="49">
        <f t="shared" si="2"/>
        <v>-5.4448275184441064E-3</v>
      </c>
      <c r="K15" s="49">
        <f t="shared" si="3"/>
        <v>-0.77783250263487236</v>
      </c>
    </row>
    <row r="16" spans="1:11" ht="27.6">
      <c r="A16" s="3" t="s">
        <v>3692</v>
      </c>
      <c r="B16" s="3">
        <v>2</v>
      </c>
      <c r="C16" s="3" t="s">
        <v>4048</v>
      </c>
      <c r="D16" s="49">
        <v>0.8</v>
      </c>
      <c r="E16" s="49" t="s">
        <v>107</v>
      </c>
      <c r="F16" s="49">
        <v>0.80910000000000004</v>
      </c>
      <c r="G16" s="49">
        <f t="shared" si="0"/>
        <v>9.099999999999997E-3</v>
      </c>
      <c r="H16" s="49">
        <f t="shared" si="1"/>
        <v>1.1374999999999997</v>
      </c>
      <c r="I16" s="49">
        <f>$D$27*F16+$E$27</f>
        <v>0.80632323290260022</v>
      </c>
      <c r="J16" s="49">
        <f t="shared" si="2"/>
        <v>6.3232329026001732E-3</v>
      </c>
      <c r="K16" s="49">
        <f t="shared" si="3"/>
        <v>0.79040411282502165</v>
      </c>
    </row>
    <row r="17" spans="1:11" ht="27.6">
      <c r="A17" s="3" t="s">
        <v>3692</v>
      </c>
      <c r="B17" s="3">
        <v>3</v>
      </c>
      <c r="C17" s="3" t="s">
        <v>4048</v>
      </c>
      <c r="D17" s="49">
        <v>1.5</v>
      </c>
      <c r="E17" s="49" t="s">
        <v>107</v>
      </c>
      <c r="F17" s="49">
        <v>1.4865999999999999</v>
      </c>
      <c r="G17" s="49">
        <f t="shared" si="0"/>
        <v>-1.3400000000000079E-2</v>
      </c>
      <c r="H17" s="49">
        <f t="shared" si="1"/>
        <v>-0.89333333333333853</v>
      </c>
      <c r="I17" s="49">
        <f>$D$27*F17+$E$27</f>
        <v>1.4991215946158438</v>
      </c>
      <c r="J17" s="49">
        <f t="shared" si="2"/>
        <v>-8.7840538415617786E-4</v>
      </c>
      <c r="K17" s="49">
        <f t="shared" si="3"/>
        <v>-5.8560358943745193E-2</v>
      </c>
    </row>
    <row r="18" spans="1:11" ht="27.6">
      <c r="A18" s="3" t="s">
        <v>3698</v>
      </c>
      <c r="B18" s="3">
        <v>1</v>
      </c>
      <c r="C18" s="3" t="s">
        <v>4049</v>
      </c>
      <c r="D18" s="49">
        <v>750</v>
      </c>
      <c r="E18" s="49" t="s">
        <v>120</v>
      </c>
      <c r="F18" s="49">
        <v>744.8</v>
      </c>
      <c r="G18" s="49">
        <f t="shared" si="0"/>
        <v>-5.2000000000000455</v>
      </c>
      <c r="H18" s="49">
        <f t="shared" si="1"/>
        <v>-0.69333333333333935</v>
      </c>
      <c r="I18" s="49">
        <f>$D$28*F18+$E$28</f>
        <v>750.07917274321505</v>
      </c>
      <c r="J18" s="49">
        <f t="shared" si="2"/>
        <v>7.9172743215053742E-2</v>
      </c>
      <c r="K18" s="49">
        <f t="shared" si="3"/>
        <v>1.0556365762007166E-2</v>
      </c>
    </row>
    <row r="19" spans="1:11" ht="27.6">
      <c r="A19" s="3" t="s">
        <v>3698</v>
      </c>
      <c r="B19" s="3">
        <v>2</v>
      </c>
      <c r="C19" s="3" t="s">
        <v>4049</v>
      </c>
      <c r="D19" s="49">
        <v>850</v>
      </c>
      <c r="E19" s="49" t="s">
        <v>120</v>
      </c>
      <c r="F19" s="49">
        <v>847.5</v>
      </c>
      <c r="G19" s="49">
        <f t="shared" si="0"/>
        <v>-2.5</v>
      </c>
      <c r="H19" s="49">
        <f t="shared" si="1"/>
        <v>-0.29411764705882354</v>
      </c>
      <c r="I19" s="49">
        <f>$D$28*F19+$E$28</f>
        <v>849.43100552616738</v>
      </c>
      <c r="J19" s="49">
        <f t="shared" si="2"/>
        <v>-0.56899447383261759</v>
      </c>
      <c r="K19" s="49">
        <f t="shared" si="3"/>
        <v>-6.6940526333249137E-2</v>
      </c>
    </row>
    <row r="20" spans="1:11" ht="27.6">
      <c r="A20" s="3" t="s">
        <v>3698</v>
      </c>
      <c r="B20" s="3">
        <v>3</v>
      </c>
      <c r="C20" s="3" t="s">
        <v>4049</v>
      </c>
      <c r="D20" s="49">
        <v>865</v>
      </c>
      <c r="E20" s="49" t="s">
        <v>120</v>
      </c>
      <c r="F20" s="49">
        <v>864.1</v>
      </c>
      <c r="G20" s="49">
        <f t="shared" si="0"/>
        <v>-0.89999999999997726</v>
      </c>
      <c r="H20" s="49">
        <f t="shared" si="1"/>
        <v>-0.10404624277456384</v>
      </c>
      <c r="I20" s="49">
        <f>$D$28*F20+$E$28</f>
        <v>865.48982173061734</v>
      </c>
      <c r="J20" s="49">
        <f t="shared" si="2"/>
        <v>0.48982173061733647</v>
      </c>
      <c r="K20" s="49">
        <f t="shared" si="3"/>
        <v>5.6626789666744101E-2</v>
      </c>
    </row>
    <row r="23" spans="1:11" ht="21.6" customHeight="1">
      <c r="A23" s="105" t="s">
        <v>4050</v>
      </c>
      <c r="B23" s="105"/>
      <c r="C23" s="105"/>
      <c r="D23" s="105"/>
      <c r="E23" s="105"/>
      <c r="F23" s="105"/>
      <c r="G23" s="105"/>
      <c r="H23" s="105"/>
      <c r="I23" s="105"/>
      <c r="J23" s="105"/>
      <c r="K23" s="105"/>
    </row>
    <row r="24" spans="1:11" ht="21.6" customHeight="1">
      <c r="A24" s="47" t="s">
        <v>712</v>
      </c>
      <c r="B24" s="47" t="s">
        <v>4051</v>
      </c>
      <c r="C24" s="47" t="s">
        <v>4052</v>
      </c>
      <c r="D24" s="47" t="s">
        <v>4053</v>
      </c>
      <c r="E24" s="47" t="s">
        <v>4054</v>
      </c>
      <c r="F24" s="47" t="s">
        <v>4055</v>
      </c>
      <c r="G24" s="47" t="s">
        <v>4056</v>
      </c>
      <c r="H24" s="47" t="s">
        <v>4057</v>
      </c>
      <c r="I24" s="47" t="s">
        <v>4058</v>
      </c>
      <c r="J24" s="47" t="s">
        <v>4059</v>
      </c>
      <c r="K24" s="47" t="s">
        <v>4060</v>
      </c>
    </row>
    <row r="25" spans="1:11" ht="41.4">
      <c r="A25" s="3" t="s">
        <v>3704</v>
      </c>
      <c r="B25" s="3" t="str">
        <f>MIN(F9:F11)&amp;" to "&amp;MAX(F9:F11)</f>
        <v>27.2 to 28.2</v>
      </c>
      <c r="C25" s="3" t="str">
        <f>MIN(D9:D11)&amp;" to "&amp;MAX(D9:D11)</f>
        <v>27 to 28</v>
      </c>
      <c r="D25" s="49">
        <f>(COUNT(F9:F11)*SUMPRODUCT(F9:F11,D9:D11)-SUM(F9:F11)*SUM(D9:D11))/(COUNT(F9:F11)*SUMSQ(F9:F11)-SUM(F9:F11)^2)</f>
        <v>0.82417582417636781</v>
      </c>
      <c r="E25" s="49">
        <f>AVERAGE(D9:D11)-D25*AVERAGE(F9:F11)</f>
        <v>4.7802197802047957</v>
      </c>
      <c r="F25" s="49" t="str">
        <f>"y = "&amp;TEXT(D25,"0.0000")&amp;"x + "&amp;TEXT(E25,"0.0000")</f>
        <v>y = 0.8242x + 4.7802</v>
      </c>
      <c r="G25" s="49">
        <f>AVERAGE(ABS(G9),ABS(G10),ABS(G11))</f>
        <v>0.19999999999999929</v>
      </c>
      <c r="H25" s="49">
        <f>AVERAGE(ABS(J9),ABS(J10),ABS(J11))</f>
        <v>0.14652014652024192</v>
      </c>
      <c r="I25" s="49">
        <f>AVERAGE(ABS(H9),ABS(H10),ABS(H11))</f>
        <v>0.72743306076639147</v>
      </c>
      <c r="J25" s="49">
        <f>AVERAGE(ABS(K9),ABS(K10),ABS(K11))</f>
        <v>0.53676482247944313</v>
      </c>
      <c r="K25" s="3" t="s">
        <v>4061</v>
      </c>
    </row>
    <row r="26" spans="1:11" ht="41.4">
      <c r="A26" s="3" t="s">
        <v>3821</v>
      </c>
      <c r="B26" s="3" t="str">
        <f>MIN(F12:F14)&amp;" to "&amp;MAX(F12:F14)</f>
        <v>70 to 82.1</v>
      </c>
      <c r="C26" s="3" t="str">
        <f>MIN(D12:D14)&amp;" to "&amp;MAX(D12:D14)</f>
        <v>70 to 82</v>
      </c>
      <c r="D26" s="49">
        <f>(COUNT(F12:F14)*SUMPRODUCT(F12:F14,D12:D14)-SUM(F12:F14)*SUM(D12:D14))/(COUNT(F12:F14)*SUMSQ(F12:F14)-SUM(F12:F14)^2)</f>
        <v>1.0021152829191091</v>
      </c>
      <c r="E26" s="49">
        <f>AVERAGE(D12:D14)-D26*AVERAGE(F12:F14)</f>
        <v>-0.13088313062017676</v>
      </c>
      <c r="F26" s="49" t="str">
        <f>"y = "&amp;TEXT(D26,"0.0000")&amp;"x + "&amp;TEXT(E26,"0.0000")</f>
        <v>y = 1.0021x + -0.1309</v>
      </c>
      <c r="G26" s="49">
        <f>AVERAGE(ABS(G12),ABS(G13),ABS(G14))</f>
        <v>9.9999999999999048E-2</v>
      </c>
      <c r="H26" s="49">
        <f>AVERAGE(ABS(J12),ABS(J13),ABS(J14))</f>
        <v>0.10664551383743515</v>
      </c>
      <c r="I26" s="49">
        <f>AVERAGE(ABS(H12),ABS(H13),ABS(H14))</f>
        <v>0.12295493325303508</v>
      </c>
      <c r="J26" s="49">
        <f>AVERAGE(ABS(K12),ABS(K13),ABS(K14))</f>
        <v>0.13205599404805465</v>
      </c>
      <c r="K26" s="3" t="s">
        <v>4061</v>
      </c>
    </row>
    <row r="27" spans="1:11" ht="41.4">
      <c r="A27" s="3" t="s">
        <v>3692</v>
      </c>
      <c r="B27" s="3" t="str">
        <f>MIN(F15:F17)&amp;" to "&amp;MAX(F15:F17)</f>
        <v>0.6998 to 1.4866</v>
      </c>
      <c r="C27" s="3" t="str">
        <f>MIN(D15:D17)&amp;" to "&amp;MAX(D15:D17)</f>
        <v>0.7 to 1.5</v>
      </c>
      <c r="D27" s="49">
        <f>(COUNT(F15:F17)*SUMPRODUCT(F15:F17,D15:D17)-SUM(F15:F17)*SUM(D15:D17))/(COUNT(F15:F17)*SUMSQ(F15:F17)-SUM(F15:F17)^2)</f>
        <v>1.0225806076948245</v>
      </c>
      <c r="E27" s="49">
        <f>AVERAGE(D15:D17)-D27*AVERAGE(F15:F17)</f>
        <v>-2.1046736783282283E-2</v>
      </c>
      <c r="F27" s="49" t="str">
        <f>"y = "&amp;TEXT(D27,"0.0000")&amp;"x + "&amp;TEXT(E27,"0.0000")</f>
        <v>y = 1.0226x + -0.0210</v>
      </c>
      <c r="G27" s="49">
        <f>AVERAGE(ABS(G15),ABS(G16),ABS(G17))</f>
        <v>7.5666666666666842E-3</v>
      </c>
      <c r="H27" s="49">
        <f>AVERAGE(ABS(J15),ABS(J16),ABS(J17))</f>
        <v>4.2154886017334858E-3</v>
      </c>
      <c r="I27" s="49">
        <f>AVERAGE(ABS(H15),ABS(H16),ABS(H17))</f>
        <v>0.6864682539682545</v>
      </c>
      <c r="J27" s="49">
        <f>AVERAGE(ABS(K15),ABS(K16),ABS(K17))</f>
        <v>0.5422656581345463</v>
      </c>
      <c r="K27" s="3" t="s">
        <v>4061</v>
      </c>
    </row>
    <row r="28" spans="1:11" ht="41.4">
      <c r="A28" s="3" t="s">
        <v>3698</v>
      </c>
      <c r="B28" s="3" t="str">
        <f>MIN(F18:F20)&amp;" to "&amp;MAX(F18:F20)</f>
        <v>744.8 to 864.1</v>
      </c>
      <c r="C28" s="3" t="str">
        <f>MIN(D18:D20)&amp;" to "&amp;MAX(D18:D20)</f>
        <v>750 to 865</v>
      </c>
      <c r="D28" s="49">
        <f>(COUNT(F18:F20)*SUMPRODUCT(F18:F20,D18:D20)-SUM(F18:F20)*SUM(D18:D20))/(COUNT(F18:F20)*SUMSQ(F18:F20)-SUM(F18:F20)^2)</f>
        <v>0.96739856653312806</v>
      </c>
      <c r="E28" s="49">
        <f>AVERAGE(D18:D20)-D28*AVERAGE(F18:F20)</f>
        <v>29.560720389341327</v>
      </c>
      <c r="F28" s="49" t="str">
        <f>"y = "&amp;TEXT(D28,"0.0000")&amp;"x + "&amp;TEXT(E28,"0.0000")</f>
        <v>y = 0.9674x + 29.5607</v>
      </c>
      <c r="G28" s="49">
        <f>AVERAGE(ABS(G18),ABS(G19),ABS(G20))</f>
        <v>2.8666666666666742</v>
      </c>
      <c r="H28" s="49">
        <f>AVERAGE(ABS(J18),ABS(J19),ABS(J20))</f>
        <v>0.37932964922166929</v>
      </c>
      <c r="I28" s="49">
        <f>AVERAGE(ABS(H18),ABS(H19),ABS(H20))</f>
        <v>0.36383240772224229</v>
      </c>
      <c r="J28" s="49">
        <f>AVERAGE(ABS(K18),ABS(K19),ABS(K20))</f>
        <v>4.4707893920666798E-2</v>
      </c>
      <c r="K28" s="3" t="s">
        <v>4061</v>
      </c>
    </row>
    <row r="31" spans="1:11" ht="21.6" customHeight="1">
      <c r="A31" s="106" t="s">
        <v>4062</v>
      </c>
      <c r="B31" s="106"/>
      <c r="C31" s="106"/>
      <c r="D31" s="106"/>
      <c r="E31" s="106"/>
      <c r="F31" s="106"/>
      <c r="G31" s="106"/>
      <c r="H31" s="106"/>
      <c r="I31" s="106"/>
      <c r="J31" s="106"/>
      <c r="K31" s="106"/>
    </row>
    <row r="32" spans="1:11" ht="165.6">
      <c r="A32" s="48" t="s">
        <v>4063</v>
      </c>
      <c r="B32" s="3" t="s">
        <v>4064</v>
      </c>
    </row>
    <row r="33" spans="1:15" ht="193.2">
      <c r="A33" s="48" t="s">
        <v>4065</v>
      </c>
      <c r="B33" s="3" t="s">
        <v>4066</v>
      </c>
    </row>
    <row r="34" spans="1:15" ht="124.2">
      <c r="A34" s="48" t="s">
        <v>4067</v>
      </c>
      <c r="B34" s="3" t="s">
        <v>4068</v>
      </c>
    </row>
    <row r="35" spans="1:15" ht="110.4">
      <c r="A35" s="48" t="s">
        <v>4069</v>
      </c>
      <c r="B35" s="3" t="s">
        <v>4070</v>
      </c>
    </row>
    <row r="36" spans="1:15" ht="165.6">
      <c r="A36" s="48" t="s">
        <v>4071</v>
      </c>
      <c r="B36" s="3" t="s">
        <v>4072</v>
      </c>
    </row>
    <row r="37" spans="1:15" ht="234.6">
      <c r="A37" s="48" t="s">
        <v>4073</v>
      </c>
      <c r="B37" s="3" t="s">
        <v>4074</v>
      </c>
    </row>
    <row r="40" spans="1:15" ht="21.6" customHeight="1">
      <c r="M40" s="50" t="s">
        <v>4075</v>
      </c>
      <c r="N40" s="50" t="s">
        <v>4076</v>
      </c>
      <c r="O40" s="50" t="s">
        <v>4077</v>
      </c>
    </row>
    <row r="41" spans="1:15">
      <c r="M41" t="s">
        <v>4078</v>
      </c>
      <c r="N41">
        <f t="shared" ref="N41:N52" si="4">ABS(H9)</f>
        <v>0.74074074074073804</v>
      </c>
      <c r="O41">
        <f t="shared" ref="O41:O52" si="5">ABS(K9)</f>
        <v>0.73260073259999314</v>
      </c>
    </row>
    <row r="42" spans="1:15">
      <c r="M42" t="s">
        <v>4079</v>
      </c>
      <c r="N42">
        <f t="shared" si="4"/>
        <v>0.72727272727272463</v>
      </c>
      <c r="O42">
        <f t="shared" si="5"/>
        <v>0.79920079920131315</v>
      </c>
    </row>
    <row r="43" spans="1:15">
      <c r="M43" t="s">
        <v>4080</v>
      </c>
      <c r="N43">
        <f t="shared" si="4"/>
        <v>0.71428571428571175</v>
      </c>
      <c r="O43">
        <f t="shared" si="5"/>
        <v>7.8492935637023267E-2</v>
      </c>
    </row>
    <row r="44" spans="1:15">
      <c r="M44" t="s">
        <v>4081</v>
      </c>
      <c r="N44">
        <f t="shared" si="4"/>
        <v>0</v>
      </c>
      <c r="O44">
        <f t="shared" si="5"/>
        <v>2.4552391024944394E-2</v>
      </c>
    </row>
    <row r="45" spans="1:15">
      <c r="M45" t="s">
        <v>4082</v>
      </c>
      <c r="N45">
        <f t="shared" si="4"/>
        <v>0.24691358024691709</v>
      </c>
      <c r="O45">
        <f t="shared" si="5"/>
        <v>0.19749169229156413</v>
      </c>
    </row>
    <row r="46" spans="1:15">
      <c r="M46" t="s">
        <v>4083</v>
      </c>
      <c r="N46">
        <f t="shared" si="4"/>
        <v>0.12195121951218818</v>
      </c>
      <c r="O46">
        <f t="shared" si="5"/>
        <v>0.17412389882765542</v>
      </c>
    </row>
    <row r="47" spans="1:15">
      <c r="M47" t="s">
        <v>4084</v>
      </c>
      <c r="N47">
        <f t="shared" si="4"/>
        <v>2.8571428571425424E-2</v>
      </c>
      <c r="O47">
        <f t="shared" si="5"/>
        <v>0.77783250263487236</v>
      </c>
    </row>
    <row r="48" spans="1:15">
      <c r="M48" t="s">
        <v>4085</v>
      </c>
      <c r="N48">
        <f t="shared" si="4"/>
        <v>1.1374999999999997</v>
      </c>
      <c r="O48">
        <f t="shared" si="5"/>
        <v>0.79040411282502165</v>
      </c>
    </row>
    <row r="49" spans="13:15">
      <c r="M49" t="s">
        <v>4086</v>
      </c>
      <c r="N49">
        <f t="shared" si="4"/>
        <v>0.89333333333333853</v>
      </c>
      <c r="O49">
        <f t="shared" si="5"/>
        <v>5.8560358943745193E-2</v>
      </c>
    </row>
    <row r="50" spans="13:15">
      <c r="M50" t="s">
        <v>4087</v>
      </c>
      <c r="N50">
        <f t="shared" si="4"/>
        <v>0.69333333333333935</v>
      </c>
      <c r="O50">
        <f t="shared" si="5"/>
        <v>1.0556365762007166E-2</v>
      </c>
    </row>
    <row r="51" spans="13:15">
      <c r="M51" t="s">
        <v>4088</v>
      </c>
      <c r="N51">
        <f t="shared" si="4"/>
        <v>0.29411764705882354</v>
      </c>
      <c r="O51">
        <f t="shared" si="5"/>
        <v>6.6940526333249137E-2</v>
      </c>
    </row>
    <row r="52" spans="13:15">
      <c r="M52" t="s">
        <v>4089</v>
      </c>
      <c r="N52">
        <f t="shared" si="4"/>
        <v>0.10404624277456384</v>
      </c>
      <c r="O52">
        <f t="shared" si="5"/>
        <v>5.6626789666744101E-2</v>
      </c>
    </row>
  </sheetData>
  <mergeCells count="4">
    <mergeCell ref="A1:K2"/>
    <mergeCell ref="A4:K6"/>
    <mergeCell ref="A23:K23"/>
    <mergeCell ref="A31:K31"/>
  </mergeCells>
  <conditionalFormatting sqref="H9:H20">
    <cfRule type="colorScale" priority="1">
      <colorScale>
        <cfvo type="min"/>
        <cfvo type="percentile" val="50"/>
        <cfvo type="max"/>
        <color rgb="FF63BE7B"/>
        <color rgb="FFFFEB84"/>
        <color rgb="FFF8696B"/>
      </colorScale>
    </cfRule>
  </conditionalFormatting>
  <conditionalFormatting sqref="K9:K20">
    <cfRule type="colorScale" priority="2">
      <colorScale>
        <cfvo type="min"/>
        <cfvo type="percentile" val="50"/>
        <cfvo type="max"/>
        <color rgb="FF63BE7B"/>
        <color rgb="FFFFEB84"/>
        <color rgb="FFF8696B"/>
      </colorScale>
    </cfRule>
  </conditionalFormatting>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00_Cover</vt:lpstr>
      <vt:lpstr>01_Dashboard</vt:lpstr>
      <vt:lpstr>02_Parameters</vt:lpstr>
      <vt:lpstr>03_Master_Data</vt:lpstr>
      <vt:lpstr>04_Clean_TimeSeries</vt:lpstr>
      <vt:lpstr>05_Long_Observations</vt:lpstr>
      <vt:lpstr>06_Calibration</vt:lpstr>
      <vt:lpstr>07_Event_Log</vt:lpstr>
      <vt:lpstr>08_Complete_Data_Archive</vt:lpstr>
      <vt:lpstr>09_Data_Dictionary</vt:lpstr>
      <vt:lpstr>10_Analysis_Data</vt:lpstr>
      <vt:lpstr>11_Firmware_Calibration</vt:lpstr>
      <vt:lpstr>12_Nominal_References</vt:lpstr>
      <vt:lpstr>13_Statistical_Calibration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Ali Al Hadi Akaamish</cp:lastModifiedBy>
  <dcterms:created xsi:type="dcterms:W3CDTF">2026-07-13T19:42:07Z</dcterms:created>
  <dcterms:modified xsi:type="dcterms:W3CDTF">2026-07-14T05:52:59Z</dcterms:modified>
</cp:coreProperties>
</file>